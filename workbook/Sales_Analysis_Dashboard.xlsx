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Clean_Data" sheetId="3" state="visible" r:id="rId3"/>
    <sheet name="Data_Quality" sheetId="4" state="visible" r:id="rId4"/>
    <sheet name="Pivot_Analysis" sheetId="5" state="visible" r:id="rId5"/>
    <sheet name="Dashboard" sheetId="6" state="visible" r:id="rId6"/>
    <sheet name="Business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+0.0%;-0.0%;0.0%"/>
    <numFmt numFmtId="167" formatCode="$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3C5FD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64748B"/>
      <sz val="10"/>
    </font>
    <font>
      <name val="Calibri"/>
      <b val="1"/>
      <color rgb="001B2A4A"/>
      <sz val="20"/>
    </font>
    <font>
      <name val="Calibri"/>
      <color rgb="0064748B"/>
      <sz val="9"/>
    </font>
    <font>
      <name val="Calibri"/>
      <b val="1"/>
      <color rgb="001B2A4A"/>
      <sz val="14"/>
    </font>
    <font>
      <name val="Calibri"/>
      <b val="1"/>
      <color rgb="00991B1B"/>
      <sz val="11"/>
    </font>
    <font>
      <name val="Calibri"/>
      <b val="1"/>
      <color rgb="00991B1B"/>
      <sz val="10"/>
    </font>
    <font>
      <name val="Calibri"/>
      <b val="1"/>
      <color rgb="0092400E"/>
      <sz val="11"/>
    </font>
    <font>
      <name val="Calibri"/>
      <b val="1"/>
      <color rgb="00166534"/>
      <sz val="11"/>
    </font>
    <font>
      <name val="Calibri"/>
      <b val="1"/>
      <color rgb="00166534"/>
      <sz val="10"/>
    </font>
    <font>
      <name val="Calibri"/>
      <i val="1"/>
      <color rgb="000D9488"/>
      <sz val="9"/>
    </font>
    <font>
      <name val="Calibri"/>
      <i val="1"/>
      <color rgb="001B2A4A"/>
      <sz val="10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406B"/>
        <bgColor rgb="002E406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top style="thin">
        <color rgb="001B2A4A"/>
      </top>
      <bottom style="double">
        <color rgb="001B2A4A"/>
      </bottom>
    </border>
    <border>
      <left style="medium">
        <color rgb="002E406B"/>
      </left>
    </border>
    <border>
      <right style="medium">
        <color rgb="002E406B"/>
      </right>
    </border>
    <border>
      <left style="medium">
        <color rgb="002E406B"/>
      </left>
      <top style="medium">
        <color rgb="002E406B"/>
      </top>
    </border>
    <border>
      <left style="medium">
        <color rgb="002E406B"/>
      </left>
      <bottom style="medium">
        <color rgb="002E406B"/>
      </bottom>
    </border>
    <border>
      <right style="medium">
        <color rgb="002E406B"/>
      </right>
      <top style="medium">
        <color rgb="002E406B"/>
      </top>
    </border>
    <border>
      <right style="medium">
        <color rgb="002E406B"/>
      </right>
      <bottom style="medium">
        <color rgb="002E406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164" fontId="4" fillId="0" borderId="3" pivotButton="0" quotePrefix="0" xfId="0"/>
    <xf numFmtId="165" fontId="4" fillId="0" borderId="3" pivotButton="0" quotePrefix="0" xfId="0"/>
    <xf numFmtId="3" fontId="4" fillId="0" borderId="3" pivotButton="0" quotePrefix="0" xfId="0"/>
    <xf numFmtId="0" fontId="5" fillId="0" borderId="1" applyAlignment="1" pivotButton="0" quotePrefix="0" xfId="0">
      <alignment horizontal="left" vertical="center"/>
    </xf>
    <xf numFmtId="165" fontId="11" fillId="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5" fontId="13" fillId="7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right" vertical="center"/>
    </xf>
    <xf numFmtId="0" fontId="7" fillId="4" borderId="6" applyAlignment="1" pivotButton="0" quotePrefix="0" xfId="0">
      <alignment horizontal="center" vertical="center"/>
    </xf>
    <xf numFmtId="0" fontId="0" fillId="0" borderId="8" pivotButton="0" quotePrefix="0" xfId="0"/>
    <xf numFmtId="167" fontId="8" fillId="4" borderId="4" applyAlignment="1" pivotButton="0" quotePrefix="0" xfId="0">
      <alignment horizontal="center" vertical="center"/>
    </xf>
    <xf numFmtId="0" fontId="0" fillId="0" borderId="5" pivotButton="0" quotePrefix="0" xfId="0"/>
    <xf numFmtId="3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0" fontId="0" fillId="0" borderId="4" pivotButton="0" quotePrefix="0" xfId="0"/>
    <xf numFmtId="0" fontId="16" fillId="4" borderId="7" applyAlignment="1" pivotButton="0" quotePrefix="0" xfId="0">
      <alignment horizontal="center" vertical="center"/>
    </xf>
    <xf numFmtId="0" fontId="0" fillId="0" borderId="9" pivotButton="0" quotePrefix="0" xfId="0"/>
    <xf numFmtId="0" fontId="17" fillId="8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Sales Trend ($)</a:t>
            </a:r>
          </a:p>
        </rich>
      </tx>
    </title>
    <plotArea>
      <lineChart>
        <grouping val="standard"/>
        <ser>
          <idx val="0"/>
          <order val="0"/>
          <tx>
            <strRef>
              <f>'Pivot_Analysis'!E5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'Pivot_Analysis'!$B$6:$B$17</f>
            </numRef>
          </cat>
          <val>
            <numRef>
              <f>'Pivot_Analysis'!$E$6:$E$17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Sales by Product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'Pivot_Analysis'!D21</f>
            </strRef>
          </tx>
          <spPr>
            <a:ln>
              <a:prstDash val="solid"/>
            </a:ln>
          </spPr>
          <cat>
            <numRef>
              <f>'Pivot_Analysis'!$A$22:$A$24</f>
            </numRef>
          </cat>
          <val>
            <numRef>
              <f>'Pivot_Analysis'!$D$22:$D$24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Net Profit by Geographic Region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'Pivot_Analysis'!E28</f>
            </strRef>
          </tx>
          <spPr>
            <a:ln>
              <a:prstDash val="solid"/>
            </a:ln>
          </spPr>
          <cat>
            <numRef>
              <f>'Pivot_Analysis'!$A$29:$A$32</f>
            </numRef>
          </cat>
          <val>
            <numRef>
              <f>'Pivot_Analysis'!$E$29:$E$32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 by Sales Channel (%)</a:t>
            </a:r>
          </a:p>
        </rich>
      </tx>
    </title>
    <plotArea>
      <pieChart>
        <varyColors val="1"/>
        <ser>
          <idx val="0"/>
          <order val="0"/>
          <tx>
            <strRef>
              <f>'Pivot_Analysis'!B36</f>
            </strRef>
          </tx>
          <spPr>
            <a:ln>
              <a:prstDash val="solid"/>
            </a:ln>
          </spPr>
          <cat>
            <numRef>
              <f>'Pivot_Analysis'!$A$37:$A$40</f>
            </numRef>
          </cat>
          <val>
            <numRef>
              <f>'Pivot_Analysis'!$B$37:$B$40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Products by Net Sales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'Pivot_Analysis'!D44</f>
            </strRef>
          </tx>
          <spPr>
            <a:ln>
              <a:prstDash val="solid"/>
            </a:ln>
          </spPr>
          <cat>
            <numRef>
              <f>'Pivot_Analysis'!$B$45:$B$54</f>
            </numRef>
          </cat>
          <val>
            <numRef>
              <f>'Pivot_Analysis'!$D$45:$D$54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Monthly Order Volume (# Orders)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'Pivot_Analysis'!I5</f>
            </strRef>
          </tx>
          <spPr>
            <a:ln>
              <a:prstDash val="solid"/>
            </a:ln>
          </spPr>
          <cat>
            <numRef>
              <f>'Pivot_Analysis'!$B$6:$B$17</f>
            </numRef>
          </cat>
          <val>
            <numRef>
              <f>'Pivot_Analysis'!$I$6:$I$17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Unique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61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25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612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41</row>
      <rowOff>0</rowOff>
    </from>
    <ext cx="540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T1005" headerRowCount="1">
  <autoFilter ref="A1:T1005"/>
  <tableColumns count="20">
    <tableColumn id="1" name="Order ID"/>
    <tableColumn id="2" name="Order Date"/>
    <tableColumn id="3" name="Product ID"/>
    <tableColumn id="4" name="Product Name"/>
    <tableColumn id="5" name="Category"/>
    <tableColumn id="6" name="Subcategory"/>
    <tableColumn id="7" name="Region"/>
    <tableColumn id="8" name="State"/>
    <tableColumn id="9" name="Sales Channel"/>
    <tableColumn id="10" name="Customer Segment"/>
    <tableColumn id="11" name="Quantity"/>
    <tableColumn id="12" name="Unit Price"/>
    <tableColumn id="13" name="Discount Percentage"/>
    <tableColumn id="14" name="Unit Cost"/>
    <tableColumn id="15" name="Gross Sales"/>
    <tableColumn id="16" name="Discount Amount"/>
    <tableColumn id="17" name="Net Sales"/>
    <tableColumn id="18" name="Total Cost"/>
    <tableColumn id="19" name="Profit"/>
    <tableColumn id="20" name="Profit Margi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leanSalesData" displayName="CleanSalesData" ref="A1:T1001" headerRowCount="1">
  <autoFilter ref="A1:T1001"/>
  <tableColumns count="20">
    <tableColumn id="1" name="Order ID"/>
    <tableColumn id="2" name="Order Date"/>
    <tableColumn id="3" name="Product ID"/>
    <tableColumn id="4" name="Product Name"/>
    <tableColumn id="5" name="Category"/>
    <tableColumn id="6" name="Subcategory"/>
    <tableColumn id="7" name="Region"/>
    <tableColumn id="8" name="State"/>
    <tableColumn id="9" name="Sales Channel"/>
    <tableColumn id="10" name="Customer Segment"/>
    <tableColumn id="11" name="Quantity"/>
    <tableColumn id="12" name="Unit Price"/>
    <tableColumn id="13" name="Discount Percentage"/>
    <tableColumn id="14" name="Unit Cost"/>
    <tableColumn id="15" name="Gross Sales"/>
    <tableColumn id="16" name="Discount Amount"/>
    <tableColumn id="17" name="Net Sales"/>
    <tableColumn id="18" name="Total Cost"/>
    <tableColumn id="19" name="Profit"/>
    <tableColumn id="20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SALES DATA ANALYSIS &amp; EXECUTIVE KPI DASHBOARD</t>
        </is>
      </c>
    </row>
    <row r="2"/>
    <row r="3">
      <c r="A3" s="2" t="inlineStr">
        <is>
          <t>Portfolio Project Documentation | Prepared for Product Analyst &amp; Business Intelligence Demonstration</t>
        </is>
      </c>
    </row>
    <row r="5">
      <c r="A5" s="3" t="inlineStr">
        <is>
          <t>1. EXECUTIVE SUMMARY &amp; BUSINESS OBJECTIVES</t>
        </is>
      </c>
    </row>
    <row r="6" ht="28" customHeight="1">
      <c r="A6" s="4" t="inlineStr">
        <is>
          <t>Business Problem</t>
        </is>
      </c>
      <c r="B6" s="5" t="inlineStr">
        <is>
          <t>A multi-channel retail company operating across three categories (Technology, Furniture, and Office Supplies) requires end-to-end sales and profitability visibility. Rapid revenue growth during promotional events has led to suspected margin erosion due to unmonitored discounting and sub-optimal regional performance.</t>
        </is>
      </c>
    </row>
    <row r="7" ht="28" customHeight="1">
      <c r="A7" s="4" t="inlineStr">
        <is>
          <t>Core Objective</t>
        </is>
      </c>
      <c r="B7" s="5" t="inlineStr">
        <is>
          <t>Analyze 1,000 retail transactions across products, categories, sales channels, and geographic regions. Convert raw sales data into actionable commercial insights, identify margin compression drivers, and deliver an interactive, executive-ready Excel dashboard.</t>
        </is>
      </c>
    </row>
    <row r="8" ht="28" customHeight="1">
      <c r="A8" s="4" t="inlineStr">
        <is>
          <t>Target Audience</t>
        </is>
      </c>
      <c r="B8" s="5" t="inlineStr">
        <is>
          <t>VP of Product, Head of Commercial Operations, Category Managers, and Sales Directors.</t>
        </is>
      </c>
    </row>
    <row r="10">
      <c r="A10" s="3" t="inlineStr">
        <is>
          <t>2. DATASET ARCHITECTURE &amp; TECHNICAL STACK</t>
        </is>
      </c>
    </row>
    <row r="11" ht="28" customHeight="1">
      <c r="A11" s="4" t="inlineStr">
        <is>
          <t>Dataset Scope</t>
        </is>
      </c>
      <c r="B11" s="5" t="inlineStr">
        <is>
          <t>1,000 validated transactions, 730 unique orders across FY 2024 (Jan 1, 2024 - Dec 31, 2024). Multi-item baskets reflect realistic retail ordering behavior.</t>
        </is>
      </c>
    </row>
    <row r="12" ht="28" customHeight="1">
      <c r="A12" s="4" t="inlineStr">
        <is>
          <t>Primary Tool</t>
        </is>
      </c>
      <c r="B12" s="5" t="inlineStr">
        <is>
          <t>Microsoft Excel 365 (Tables, Dynamic Array Formulas, Pivot Summaries, KPI Cards, Slicers, Native Visualizations).</t>
        </is>
      </c>
    </row>
    <row r="13" ht="28" customHeight="1">
      <c r="A13" s="4" t="inlineStr">
        <is>
          <t>Validation Engine</t>
        </is>
      </c>
      <c r="B13" s="5" t="inlineStr">
        <is>
          <t>Python 3.13 with Pandas for secondary reconciliation and automated anomaly auditing.</t>
        </is>
      </c>
    </row>
    <row r="14" ht="28" customHeight="1">
      <c r="A14" s="4" t="inlineStr">
        <is>
          <t>Key Columns</t>
        </is>
      </c>
      <c r="B14" s="5" t="inlineStr">
        <is>
          <t>Order ID, Order Date, Product ID, Product Name, Category, Subcategory, Region, State, Sales Channel, Customer Segment, Quantity, Unit Price, Discount %, Unit Cost, Gross Sales, Discount Amount, Net Sales, Total Cost, Profit, Profit Margin.</t>
        </is>
      </c>
    </row>
    <row r="16">
      <c r="A16" s="3" t="inlineStr">
        <is>
          <t>3. CORE KPI DEFINITIONS &amp; FORMULAS</t>
        </is>
      </c>
    </row>
    <row r="17" ht="28" customHeight="1">
      <c r="A17" s="4" t="inlineStr">
        <is>
          <t>Total Net Sales</t>
        </is>
      </c>
      <c r="B17" s="5" t="inlineStr">
        <is>
          <t>Total revenue realized after all promotional discounts. Formula: =SUM(Net_Sales) | [Gross Sales - Discount Amount].</t>
        </is>
      </c>
    </row>
    <row r="18" ht="28" customHeight="1">
      <c r="A18" s="4" t="inlineStr">
        <is>
          <t>Total Unique Orders</t>
        </is>
      </c>
      <c r="B18" s="5" t="inlineStr">
        <is>
          <t>True count of unique customer orders, not simply row count. In Excel: =SUMPRODUCT(1/COUNTIF(OrderID, OrderID)) or Distinct Count in PivotTable.</t>
        </is>
      </c>
    </row>
    <row r="19" ht="28" customHeight="1">
      <c r="A19" s="4" t="inlineStr">
        <is>
          <t>Total Units Sold</t>
        </is>
      </c>
      <c r="B19" s="5" t="inlineStr">
        <is>
          <t>Sum of all product units purchased. Formula: =SUM(Quantity).</t>
        </is>
      </c>
    </row>
    <row r="20" ht="28" customHeight="1">
      <c r="A20" s="4" t="inlineStr">
        <is>
          <t>Total Net Profit</t>
        </is>
      </c>
      <c r="B20" s="5" t="inlineStr">
        <is>
          <t>Bottom-line dollar profit remaining after cost of goods sold. Formula: =SUM(Profit) | [Net Sales - Total Cost].</t>
        </is>
      </c>
    </row>
    <row r="21" ht="28" customHeight="1">
      <c r="A21" s="4" t="inlineStr">
        <is>
          <t>Average Order Value (AOV)</t>
        </is>
      </c>
      <c r="B21" s="5" t="inlineStr">
        <is>
          <t>Average net revenue generated per unique purchase order. Formula: Total Net Sales / Total Unique Orders ($1,042,276 / 730 = $1,427.78).</t>
        </is>
      </c>
    </row>
    <row r="22" ht="28" customHeight="1">
      <c r="A22" s="4" t="inlineStr">
        <is>
          <t>Profit Margin %</t>
        </is>
      </c>
      <c r="B22" s="5" t="inlineStr">
        <is>
          <t>Overall operational profitability percentage. Formula: =IFERROR(Total Profit / Total Net Sales, 0) (15.75%).</t>
        </is>
      </c>
    </row>
    <row r="23" ht="28" customHeight="1">
      <c r="A23" s="4" t="inlineStr">
        <is>
          <t>Sales-Weighted Discount</t>
        </is>
      </c>
      <c r="B23" s="5" t="inlineStr">
        <is>
          <t>Total dollars discounted relative to total gross catalog value. Formula: =SUM(Discount Amount) / SUM(Gross Sales) (9.68%). Distinct from simple average discount (6.30%).</t>
        </is>
      </c>
    </row>
    <row r="24" ht="28" customHeight="1">
      <c r="A24" s="4" t="inlineStr">
        <is>
          <t>MoM Sales Growth %</t>
        </is>
      </c>
      <c r="B24" s="5" t="inlineStr">
        <is>
          <t>Month-over-month trajectory in net revenue. Formula: =(Net_Sales_Curr - Net_Sales_Prior) / Net_Sales_Prior.</t>
        </is>
      </c>
    </row>
    <row r="26">
      <c r="A26" s="3" t="inlineStr">
        <is>
          <t>4. WORKBOOK NAVIGATION GUIDE</t>
        </is>
      </c>
    </row>
    <row r="27" ht="28" customHeight="1">
      <c r="A27" s="4" t="inlineStr">
        <is>
          <t>Sheet: Raw_Data</t>
        </is>
      </c>
      <c r="B27" s="5" t="inlineStr">
        <is>
          <t>Contains original 1,004 raw transaction records (including 10 injected real-world anomalies for data cleaning demonstration). Formatted as table 'SalesData'.</t>
        </is>
      </c>
    </row>
    <row r="28" ht="28" customHeight="1">
      <c r="A28" s="4" t="inlineStr">
        <is>
          <t>Sheet: Clean_Data</t>
        </is>
      </c>
      <c r="B28" s="5" t="inlineStr">
        <is>
          <t>Contains 1,000 cleaned, standardized, and formula-derived records. Formatted as table 'CleanSalesData'.</t>
        </is>
      </c>
    </row>
    <row r="29" ht="28" customHeight="1">
      <c r="A29" s="4" t="inlineStr">
        <is>
          <t>Sheet: Data_Quality</t>
        </is>
      </c>
      <c r="B29" s="5" t="inlineStr">
        <is>
          <t>Automated data hygiene audit sheet displaying exception counts, validation test rules, and row-by-row remediation log.</t>
        </is>
      </c>
    </row>
    <row r="30" ht="28" customHeight="1">
      <c r="A30" s="4" t="inlineStr">
        <is>
          <t>Sheet: Pivot_Analysis</t>
        </is>
      </c>
      <c r="B30" s="5" t="inlineStr">
        <is>
          <t>Structured analytical tables providing pre-aggregated breakdowns across Months, Categories, Products, Regions, Channels, and Discount Tiers.</t>
        </is>
      </c>
    </row>
    <row r="31" ht="28" customHeight="1">
      <c r="A31" s="4" t="inlineStr">
        <is>
          <t>Sheet: Dashboard</t>
        </is>
      </c>
      <c r="B31" s="5" t="inlineStr">
        <is>
          <t>High-impact visual executive dashboard with 6 KPI cards, 6 dynamic charts, and interactive slicer instructions.</t>
        </is>
      </c>
    </row>
    <row r="32" ht="28" customHeight="1">
      <c r="A32" s="4" t="inlineStr">
        <is>
          <t>Sheet: Business_Insights</t>
        </is>
      </c>
      <c r="B32" s="5" t="inlineStr">
        <is>
          <t>Structured executive findings report answering key strategic questions with concrete data evidence and recommended actions.</t>
        </is>
      </c>
    </row>
    <row r="34">
      <c r="A34" s="3" t="inlineStr">
        <is>
          <t>5. KEY ASSUMPTIONS &amp; METHODOLOGICAL LIMITATIONS</t>
        </is>
      </c>
    </row>
    <row r="35" ht="28" customHeight="1">
      <c r="A35" s="4" t="inlineStr">
        <is>
          <t>Synthetic Generation</t>
        </is>
      </c>
      <c r="B35" s="5" t="inlineStr">
        <is>
          <t>All transaction data is synthetically generated for educational and portfolio demonstration purposes, reflecting realistic retail statistical properties.</t>
        </is>
      </c>
    </row>
    <row r="36" ht="28" customHeight="1">
      <c r="A36" s="4" t="inlineStr">
        <is>
          <t>Cost Basis</t>
        </is>
      </c>
      <c r="B36" s="5" t="inlineStr">
        <is>
          <t>Unit Cost represents fully burdened landed cost of goods. Return rates and corporate tax overhead are excluded from gross margin modeling.</t>
        </is>
      </c>
    </row>
    <row r="37" ht="28" customHeight="1">
      <c r="A37" s="4" t="inlineStr">
        <is>
          <t>Discounting Model</t>
        </is>
      </c>
      <c r="B37" s="5" t="inlineStr">
        <is>
          <t>Discounts are applied per line-item transaction. Bulk order rebates are mapped into the Wholesale channel price structure.</t>
        </is>
      </c>
    </row>
  </sheetData>
  <mergeCells count="31">
    <mergeCell ref="A1:G2"/>
    <mergeCell ref="B14:G14"/>
    <mergeCell ref="B17:G17"/>
    <mergeCell ref="B23:G23"/>
    <mergeCell ref="A5:G5"/>
    <mergeCell ref="B8:G8"/>
    <mergeCell ref="B13:G13"/>
    <mergeCell ref="B29:G29"/>
    <mergeCell ref="A10:G10"/>
    <mergeCell ref="B19:G19"/>
    <mergeCell ref="B28:G28"/>
    <mergeCell ref="B37:G37"/>
    <mergeCell ref="A34:G34"/>
    <mergeCell ref="B30:G30"/>
    <mergeCell ref="B6:G6"/>
    <mergeCell ref="B24:G24"/>
    <mergeCell ref="B20:G20"/>
    <mergeCell ref="B36:G36"/>
    <mergeCell ref="B32:G32"/>
    <mergeCell ref="B35:G35"/>
    <mergeCell ref="A16:G16"/>
    <mergeCell ref="B7:G7"/>
    <mergeCell ref="B22:G22"/>
    <mergeCell ref="A3:G3"/>
    <mergeCell ref="B31:G31"/>
    <mergeCell ref="B27:G27"/>
    <mergeCell ref="A26:G26"/>
    <mergeCell ref="B12:G12"/>
    <mergeCell ref="B18:G18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47" customWidth="1" min="4" max="4"/>
    <col width="18" customWidth="1" min="5" max="5"/>
    <col width="23" customWidth="1" min="6" max="6"/>
    <col width="12" customWidth="1" min="7" max="7"/>
    <col width="17" customWidth="1" min="8" max="8"/>
    <col width="17" customWidth="1" min="9" max="9"/>
    <col width="19" customWidth="1" min="10" max="10"/>
    <col width="12" customWidth="1" min="11" max="11"/>
    <col width="13" customWidth="1" min="12" max="12"/>
    <col width="22" customWidth="1" min="13" max="13"/>
    <col width="12" customWidth="1" min="14" max="14"/>
    <col width="14" customWidth="1" min="15" max="15"/>
    <col width="18" customWidth="1" min="16" max="16"/>
    <col width="12" customWidth="1" min="17" max="17"/>
    <col width="13" customWidth="1" min="18" max="18"/>
    <col width="12" customWidth="1" min="19" max="19"/>
    <col width="16" customWidth="1" min="20" max="20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Product ID</t>
        </is>
      </c>
      <c r="D1" s="6" t="inlineStr">
        <is>
          <t>Product Name</t>
        </is>
      </c>
      <c r="E1" s="6" t="inlineStr">
        <is>
          <t>Category</t>
        </is>
      </c>
      <c r="F1" s="6" t="inlineStr">
        <is>
          <t>Subcategory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Sales Channel</t>
        </is>
      </c>
      <c r="J1" s="6" t="inlineStr">
        <is>
          <t>Customer Segment</t>
        </is>
      </c>
      <c r="K1" s="6" t="inlineStr">
        <is>
          <t>Quantity</t>
        </is>
      </c>
      <c r="L1" s="6" t="inlineStr">
        <is>
          <t>Unit Price</t>
        </is>
      </c>
      <c r="M1" s="6" t="inlineStr">
        <is>
          <t>Discount Percentage</t>
        </is>
      </c>
      <c r="N1" s="6" t="inlineStr">
        <is>
          <t>Unit Cost</t>
        </is>
      </c>
      <c r="O1" s="6" t="inlineStr">
        <is>
          <t>Gross Sales</t>
        </is>
      </c>
      <c r="P1" s="6" t="inlineStr">
        <is>
          <t>Discount Amount</t>
        </is>
      </c>
      <c r="Q1" s="6" t="inlineStr">
        <is>
          <t>Net Sales</t>
        </is>
      </c>
      <c r="R1" s="6" t="inlineStr">
        <is>
          <t>Total Cost</t>
        </is>
      </c>
      <c r="S1" s="6" t="inlineStr">
        <is>
          <t>Profit</t>
        </is>
      </c>
      <c r="T1" s="6" t="inlineStr">
        <is>
          <t>Profit Margin</t>
        </is>
      </c>
    </row>
    <row r="2">
      <c r="A2" s="7" t="inlineStr">
        <is>
          <t>ORD-2024-1053</t>
        </is>
      </c>
      <c r="B2" s="7" t="inlineStr">
        <is>
          <t>2024-01-02</t>
        </is>
      </c>
      <c r="C2" s="7" t="inlineStr">
        <is>
          <t>FUR-DSK-003</t>
        </is>
      </c>
      <c r="D2" s="7" t="inlineStr">
        <is>
          <t>ApexMotor Dual-Motor Standing Desk</t>
        </is>
      </c>
      <c r="E2" s="7" t="inlineStr">
        <is>
          <t>Furniture</t>
        </is>
      </c>
      <c r="F2" s="7" t="inlineStr">
        <is>
          <t>Desks &amp; Workstations</t>
        </is>
      </c>
      <c r="G2" s="7" t="inlineStr">
        <is>
          <t>South</t>
        </is>
      </c>
      <c r="H2" s="7" t="inlineStr">
        <is>
          <t>Virginia</t>
        </is>
      </c>
      <c r="I2" s="7" t="inlineStr">
        <is>
          <t>Retail Partner</t>
        </is>
      </c>
      <c r="J2" s="7" t="inlineStr">
        <is>
          <t>Corporate</t>
        </is>
      </c>
      <c r="K2" s="8" t="n">
        <v>8</v>
      </c>
      <c r="L2" s="9" t="n">
        <v>549.99</v>
      </c>
      <c r="M2" s="10" t="n">
        <v>0</v>
      </c>
      <c r="N2" s="9" t="n">
        <v>439.99</v>
      </c>
      <c r="O2" s="9" t="n">
        <v>4399.92</v>
      </c>
      <c r="P2" s="9" t="n">
        <v>0</v>
      </c>
      <c r="Q2" s="9" t="n">
        <v>4399.92</v>
      </c>
      <c r="R2" s="9" t="n">
        <v>3519.92</v>
      </c>
      <c r="S2" s="9" t="n">
        <v>880</v>
      </c>
      <c r="T2" s="10" t="n">
        <v>0.2</v>
      </c>
    </row>
    <row r="3">
      <c r="A3" s="7" t="inlineStr">
        <is>
          <t>ORD-2024-1381</t>
        </is>
      </c>
      <c r="B3" s="7" t="inlineStr">
        <is>
          <t>2024-01-03</t>
        </is>
      </c>
      <c r="C3" s="7" t="inlineStr">
        <is>
          <t>TEC-ACC-008</t>
        </is>
      </c>
      <c r="D3" s="7" t="inlineStr">
        <is>
          <t>Precision Laser Bluetooth Mouse</t>
        </is>
      </c>
      <c r="E3" s="7" t="inlineStr">
        <is>
          <t>Technology</t>
        </is>
      </c>
      <c r="F3" s="7" t="inlineStr">
        <is>
          <t>Audio &amp; Accessories</t>
        </is>
      </c>
      <c r="G3" s="7" t="inlineStr">
        <is>
          <t>Central</t>
        </is>
      </c>
      <c r="H3" s="7" t="inlineStr">
        <is>
          <t>Ohio</t>
        </is>
      </c>
      <c r="I3" s="7" t="inlineStr">
        <is>
          <t>Direct Sales</t>
        </is>
      </c>
      <c r="J3" s="7" t="inlineStr">
        <is>
          <t>Consumer</t>
        </is>
      </c>
      <c r="K3" s="8" t="n">
        <v>1</v>
      </c>
      <c r="L3" s="9" t="n">
        <v>49.99</v>
      </c>
      <c r="M3" s="10" t="n">
        <v>0</v>
      </c>
      <c r="N3" s="9" t="n">
        <v>27.49</v>
      </c>
      <c r="O3" s="9" t="n">
        <v>49.99</v>
      </c>
      <c r="P3" s="9" t="n">
        <v>0</v>
      </c>
      <c r="Q3" s="9" t="n">
        <v>49.99</v>
      </c>
      <c r="R3" s="9" t="n">
        <v>27.49</v>
      </c>
      <c r="S3" s="9" t="n">
        <v>22.5</v>
      </c>
      <c r="T3" s="10" t="n">
        <v>0.4501</v>
      </c>
    </row>
    <row r="4">
      <c r="A4" s="7" t="inlineStr">
        <is>
          <t>ORD-2024-1381</t>
        </is>
      </c>
      <c r="B4" s="7" t="inlineStr">
        <is>
          <t>2024-01-03</t>
        </is>
      </c>
      <c r="C4" s="7" t="inlineStr">
        <is>
          <t>FUR-DSK-003</t>
        </is>
      </c>
      <c r="D4" s="7" t="inlineStr">
        <is>
          <t>ApexMotor Dual-Motor Standing Desk</t>
        </is>
      </c>
      <c r="E4" s="7" t="inlineStr">
        <is>
          <t>Furniture</t>
        </is>
      </c>
      <c r="F4" s="7" t="inlineStr">
        <is>
          <t>Desks &amp; Workstations</t>
        </is>
      </c>
      <c r="G4" s="7" t="inlineStr">
        <is>
          <t>Central</t>
        </is>
      </c>
      <c r="H4" s="7" t="inlineStr">
        <is>
          <t>Ohio</t>
        </is>
      </c>
      <c r="I4" s="7" t="inlineStr">
        <is>
          <t>Direct Sales</t>
        </is>
      </c>
      <c r="J4" s="7" t="inlineStr">
        <is>
          <t>Consumer</t>
        </is>
      </c>
      <c r="K4" s="8" t="n">
        <v>1</v>
      </c>
      <c r="L4" s="9" t="n">
        <v>549.99</v>
      </c>
      <c r="M4" s="10" t="n">
        <v>0.15</v>
      </c>
      <c r="N4" s="9" t="n">
        <v>439.99</v>
      </c>
      <c r="O4" s="9" t="n">
        <v>549.99</v>
      </c>
      <c r="P4" s="9" t="n">
        <v>82.5</v>
      </c>
      <c r="Q4" s="9" t="n">
        <v>467.49</v>
      </c>
      <c r="R4" s="9" t="n">
        <v>439.99</v>
      </c>
      <c r="S4" s="9" t="n">
        <v>27.5</v>
      </c>
      <c r="T4" s="10" t="n">
        <v>0.0588</v>
      </c>
    </row>
    <row r="5">
      <c r="A5" s="7" t="inlineStr">
        <is>
          <t>ORD-2024-1691</t>
        </is>
      </c>
      <c r="B5" s="7" t="inlineStr">
        <is>
          <t>2024-01-03</t>
        </is>
      </c>
      <c r="C5" s="7" t="inlineStr">
        <is>
          <t>FUR-BOK-005</t>
        </is>
      </c>
      <c r="D5" s="7" t="inlineStr">
        <is>
          <t>Modular 5-Tier Steel Bookcase</t>
        </is>
      </c>
      <c r="E5" s="7" t="inlineStr">
        <is>
          <t>Furniture</t>
        </is>
      </c>
      <c r="F5" s="7" t="inlineStr">
        <is>
          <t>Bookcases</t>
        </is>
      </c>
      <c r="G5" s="7" t="inlineStr">
        <is>
          <t>South</t>
        </is>
      </c>
      <c r="H5" s="7" t="inlineStr">
        <is>
          <t>Florida</t>
        </is>
      </c>
      <c r="I5" s="7" t="inlineStr">
        <is>
          <t>Retail Partner</t>
        </is>
      </c>
      <c r="J5" s="7" t="inlineStr">
        <is>
          <t>Consumer</t>
        </is>
      </c>
      <c r="K5" s="8" t="n">
        <v>3</v>
      </c>
      <c r="L5" s="9" t="n">
        <v>189.99</v>
      </c>
      <c r="M5" s="10" t="n">
        <v>0</v>
      </c>
      <c r="N5" s="9" t="n">
        <v>142.49</v>
      </c>
      <c r="O5" s="9" t="n">
        <v>569.97</v>
      </c>
      <c r="P5" s="9" t="n">
        <v>0</v>
      </c>
      <c r="Q5" s="9" t="n">
        <v>569.97</v>
      </c>
      <c r="R5" s="9" t="n">
        <v>427.47</v>
      </c>
      <c r="S5" s="9" t="n">
        <v>142.5</v>
      </c>
      <c r="T5" s="10" t="n">
        <v>0.25</v>
      </c>
    </row>
    <row r="6">
      <c r="A6" s="7" t="inlineStr">
        <is>
          <t>ORD-2024-1095</t>
        </is>
      </c>
      <c r="B6" s="7" t="inlineStr">
        <is>
          <t>2024-01-06</t>
        </is>
      </c>
      <c r="C6" s="7" t="inlineStr">
        <is>
          <t>TEC-LAP-002</t>
        </is>
      </c>
      <c r="D6" s="7" t="inlineStr">
        <is>
          <t>Apex Gaming Laptop 17"</t>
        </is>
      </c>
      <c r="E6" s="7" t="inlineStr">
        <is>
          <t>Technology</t>
        </is>
      </c>
      <c r="F6" s="7" t="inlineStr">
        <is>
          <t>Laptops</t>
        </is>
      </c>
      <c r="G6" s="7" t="inlineStr">
        <is>
          <t>Central</t>
        </is>
      </c>
      <c r="H6" s="7" t="inlineStr">
        <is>
          <t>Ohio</t>
        </is>
      </c>
      <c r="I6" s="7" t="inlineStr">
        <is>
          <t>Direct Sales</t>
        </is>
      </c>
      <c r="J6" s="7" t="inlineStr">
        <is>
          <t>Consumer</t>
        </is>
      </c>
      <c r="K6" s="8" t="n">
        <v>1</v>
      </c>
      <c r="L6" s="9" t="n">
        <v>1499.99</v>
      </c>
      <c r="M6" s="10" t="n">
        <v>0.25</v>
      </c>
      <c r="N6" s="9" t="n">
        <v>1259.99</v>
      </c>
      <c r="O6" s="9" t="n">
        <v>1499.99</v>
      </c>
      <c r="P6" s="9" t="n">
        <v>375</v>
      </c>
      <c r="Q6" s="9" t="n">
        <v>1124.99</v>
      </c>
      <c r="R6" s="9" t="n">
        <v>1259.99</v>
      </c>
      <c r="S6" s="9" t="n">
        <v>-135</v>
      </c>
      <c r="T6" s="10" t="n">
        <v>-0.12</v>
      </c>
    </row>
    <row r="7">
      <c r="A7" s="7" t="inlineStr">
        <is>
          <t>ORD-2024-1095</t>
        </is>
      </c>
      <c r="B7" s="7" t="inlineStr">
        <is>
          <t>2024-01-06</t>
        </is>
      </c>
      <c r="C7" s="7" t="inlineStr">
        <is>
          <t>OFF-ART-006</t>
        </is>
      </c>
      <c r="D7" s="7" t="inlineStr">
        <is>
          <t>Professional Presentation Dry Erase Board</t>
        </is>
      </c>
      <c r="E7" s="7" t="inlineStr">
        <is>
          <t>Office Supplies</t>
        </is>
      </c>
      <c r="F7" s="7" t="inlineStr">
        <is>
          <t>Presentation &amp; Art</t>
        </is>
      </c>
      <c r="G7" s="7" t="inlineStr">
        <is>
          <t>Central</t>
        </is>
      </c>
      <c r="H7" s="7" t="inlineStr">
        <is>
          <t>Ohio</t>
        </is>
      </c>
      <c r="I7" s="7" t="inlineStr">
        <is>
          <t>Direct Sales</t>
        </is>
      </c>
      <c r="J7" s="7" t="inlineStr">
        <is>
          <t>Consumer</t>
        </is>
      </c>
      <c r="K7" s="8" t="n">
        <v>4</v>
      </c>
      <c r="L7" s="9" t="n">
        <v>89.98999999999999</v>
      </c>
      <c r="M7" s="10" t="n">
        <v>0</v>
      </c>
      <c r="N7" s="9" t="n">
        <v>53.99</v>
      </c>
      <c r="O7" s="9" t="n">
        <v>359.96</v>
      </c>
      <c r="P7" s="9" t="n">
        <v>0</v>
      </c>
      <c r="Q7" s="9" t="n">
        <v>359.96</v>
      </c>
      <c r="R7" s="9" t="n">
        <v>215.96</v>
      </c>
      <c r="S7" s="9" t="n">
        <v>144</v>
      </c>
      <c r="T7" s="10" t="n">
        <v>0.4</v>
      </c>
    </row>
    <row r="8">
      <c r="A8" s="7" t="inlineStr">
        <is>
          <t>ORD-2024-1055</t>
        </is>
      </c>
      <c r="B8" s="7" t="inlineStr">
        <is>
          <t>2024-01-07</t>
        </is>
      </c>
      <c r="C8" s="7" t="inlineStr">
        <is>
          <t>TEC-ACC-005</t>
        </is>
      </c>
      <c r="D8" s="7" t="inlineStr">
        <is>
          <t>UltraWireless Noise-Canceling Headset</t>
        </is>
      </c>
      <c r="E8" s="7" t="inlineStr">
        <is>
          <t>Technology</t>
        </is>
      </c>
      <c r="F8" s="7" t="inlineStr">
        <is>
          <t>Audio &amp; Accessories</t>
        </is>
      </c>
      <c r="G8" s="7" t="inlineStr">
        <is>
          <t>East</t>
        </is>
      </c>
      <c r="H8" s="7" t="inlineStr">
        <is>
          <t>New Jersey</t>
        </is>
      </c>
      <c r="I8" s="7" t="inlineStr">
        <is>
          <t>Direct Sales</t>
        </is>
      </c>
      <c r="J8" s="7" t="inlineStr">
        <is>
          <t>Corporate</t>
        </is>
      </c>
      <c r="K8" s="8" t="n">
        <v>5</v>
      </c>
      <c r="L8" s="9" t="n">
        <v>179.99</v>
      </c>
      <c r="M8" s="10" t="n">
        <v>0.05</v>
      </c>
      <c r="N8" s="9" t="n">
        <v>111.59</v>
      </c>
      <c r="O8" s="9" t="n">
        <v>899.95</v>
      </c>
      <c r="P8" s="9" t="n">
        <v>45</v>
      </c>
      <c r="Q8" s="9" t="n">
        <v>854.95</v>
      </c>
      <c r="R8" s="9" t="n">
        <v>557.95</v>
      </c>
      <c r="S8" s="9" t="n">
        <v>297</v>
      </c>
      <c r="T8" s="10" t="n">
        <v>0.3474</v>
      </c>
    </row>
    <row r="9">
      <c r="A9" s="7" t="inlineStr">
        <is>
          <t>ORD-2024-1055</t>
        </is>
      </c>
      <c r="B9" s="7" t="inlineStr">
        <is>
          <t>2024-01-07</t>
        </is>
      </c>
      <c r="C9" s="7" t="inlineStr">
        <is>
          <t>TEC-ACC-006</t>
        </is>
      </c>
      <c r="D9" s="7" t="inlineStr">
        <is>
          <t>MultiPort Thunderbolt 4 Dock</t>
        </is>
      </c>
      <c r="E9" s="7" t="inlineStr">
        <is>
          <t>Technology</t>
        </is>
      </c>
      <c r="F9" s="7" t="inlineStr">
        <is>
          <t>Audio &amp; Accessories</t>
        </is>
      </c>
      <c r="G9" s="7" t="inlineStr">
        <is>
          <t>East</t>
        </is>
      </c>
      <c r="H9" s="7" t="inlineStr">
        <is>
          <t>New Jersey</t>
        </is>
      </c>
      <c r="I9" s="7" t="inlineStr">
        <is>
          <t>Direct Sales</t>
        </is>
      </c>
      <c r="J9" s="7" t="inlineStr">
        <is>
          <t>Corporate</t>
        </is>
      </c>
      <c r="K9" s="8" t="n">
        <v>4</v>
      </c>
      <c r="L9" s="9" t="n">
        <v>149.99</v>
      </c>
      <c r="M9" s="10" t="n">
        <v>0</v>
      </c>
      <c r="N9" s="9" t="n">
        <v>98.98999999999999</v>
      </c>
      <c r="O9" s="9" t="n">
        <v>599.96</v>
      </c>
      <c r="P9" s="9" t="n">
        <v>0</v>
      </c>
      <c r="Q9" s="9" t="n">
        <v>599.96</v>
      </c>
      <c r="R9" s="9" t="n">
        <v>395.96</v>
      </c>
      <c r="S9" s="9" t="n">
        <v>204</v>
      </c>
      <c r="T9" s="10" t="n">
        <v>0.34</v>
      </c>
    </row>
    <row r="10">
      <c r="A10" s="7" t="inlineStr">
        <is>
          <t>ORD-2024-1275</t>
        </is>
      </c>
      <c r="B10" s="7" t="inlineStr">
        <is>
          <t>2024-01-07</t>
        </is>
      </c>
      <c r="C10" s="7" t="inlineStr">
        <is>
          <t>OFF-STR-001</t>
        </is>
      </c>
      <c r="D10" s="7" t="inlineStr">
        <is>
          <t>SteelLock 3-Drawer File Cabinet</t>
        </is>
      </c>
      <c r="E10" s="7" t="inlineStr">
        <is>
          <t>Office Supplies</t>
        </is>
      </c>
      <c r="F10" s="7" t="inlineStr">
        <is>
          <t>Storage &amp; Organizers</t>
        </is>
      </c>
      <c r="G10" s="7" t="inlineStr">
        <is>
          <t>West</t>
        </is>
      </c>
      <c r="H10" s="7" t="inlineStr">
        <is>
          <t>Colorado</t>
        </is>
      </c>
      <c r="I10" s="7" t="inlineStr">
        <is>
          <t>Wholesale</t>
        </is>
      </c>
      <c r="J10" s="7" t="inlineStr">
        <is>
          <t>Home Office</t>
        </is>
      </c>
      <c r="K10" s="8" t="n">
        <v>8</v>
      </c>
      <c r="L10" s="9" t="n">
        <v>169.99</v>
      </c>
      <c r="M10" s="10" t="n">
        <v>0.15</v>
      </c>
      <c r="N10" s="9" t="n">
        <v>115.59</v>
      </c>
      <c r="O10" s="9" t="n">
        <v>1359.92</v>
      </c>
      <c r="P10" s="9" t="n">
        <v>203.99</v>
      </c>
      <c r="Q10" s="9" t="n">
        <v>1155.93</v>
      </c>
      <c r="R10" s="9" t="n">
        <v>924.72</v>
      </c>
      <c r="S10" s="9" t="n">
        <v>231.21</v>
      </c>
      <c r="T10" s="10" t="n">
        <v>0.2</v>
      </c>
    </row>
    <row r="11">
      <c r="A11" s="7" t="inlineStr">
        <is>
          <t>ORD-2024-1275</t>
        </is>
      </c>
      <c r="B11" s="7" t="inlineStr">
        <is>
          <t>2024-01-07</t>
        </is>
      </c>
      <c r="C11" s="7" t="inlineStr">
        <is>
          <t>FUR-DSK-004</t>
        </is>
      </c>
      <c r="D11" s="7" t="inlineStr">
        <is>
          <t>Metro Compact Corner Workstation</t>
        </is>
      </c>
      <c r="E11" s="7" t="inlineStr">
        <is>
          <t>Furniture</t>
        </is>
      </c>
      <c r="F11" s="7" t="inlineStr">
        <is>
          <t>Desks &amp; Workstations</t>
        </is>
      </c>
      <c r="G11" s="7" t="inlineStr">
        <is>
          <t>West</t>
        </is>
      </c>
      <c r="H11" s="7" t="inlineStr">
        <is>
          <t>Colorado</t>
        </is>
      </c>
      <c r="I11" s="7" t="inlineStr">
        <is>
          <t>Wholesale</t>
        </is>
      </c>
      <c r="J11" s="7" t="inlineStr">
        <is>
          <t>Home Office</t>
        </is>
      </c>
      <c r="K11" s="8" t="n">
        <v>6</v>
      </c>
      <c r="L11" s="9" t="n">
        <v>329.99</v>
      </c>
      <c r="M11" s="10" t="n">
        <v>0.1</v>
      </c>
      <c r="N11" s="9" t="n">
        <v>250.79</v>
      </c>
      <c r="O11" s="9" t="n">
        <v>1979.94</v>
      </c>
      <c r="P11" s="9" t="n">
        <v>197.99</v>
      </c>
      <c r="Q11" s="9" t="n">
        <v>1781.95</v>
      </c>
      <c r="R11" s="9" t="n">
        <v>1504.74</v>
      </c>
      <c r="S11" s="9" t="n">
        <v>277.21</v>
      </c>
      <c r="T11" s="10" t="n">
        <v>0.1556</v>
      </c>
    </row>
    <row r="12">
      <c r="A12" s="7" t="inlineStr">
        <is>
          <t>ORD-2024-1275</t>
        </is>
      </c>
      <c r="B12" s="7" t="inlineStr">
        <is>
          <t>2024-01-07</t>
        </is>
      </c>
      <c r="C12" s="7" t="inlineStr">
        <is>
          <t>OFF-DSK-008</t>
        </is>
      </c>
      <c r="D12" s="7" t="inlineStr">
        <is>
          <t>Steel Desktop Mesh Organizer Caddy</t>
        </is>
      </c>
      <c r="E12" s="7" t="inlineStr">
        <is>
          <t>Office Supplies</t>
        </is>
      </c>
      <c r="F12" s="7" t="inlineStr">
        <is>
          <t>Desk Supplies</t>
        </is>
      </c>
      <c r="G12" s="7" t="inlineStr">
        <is>
          <t>West</t>
        </is>
      </c>
      <c r="H12" s="7" t="inlineStr">
        <is>
          <t>Colorado</t>
        </is>
      </c>
      <c r="I12" s="7" t="inlineStr">
        <is>
          <t>Wholesale</t>
        </is>
      </c>
      <c r="J12" s="7" t="inlineStr">
        <is>
          <t>Home Office</t>
        </is>
      </c>
      <c r="K12" s="8" t="n">
        <v>10</v>
      </c>
      <c r="L12" s="9" t="n">
        <v>18.99</v>
      </c>
      <c r="M12" s="10" t="n">
        <v>0.15</v>
      </c>
      <c r="N12" s="9" t="n">
        <v>8.550000000000001</v>
      </c>
      <c r="O12" s="9" t="n">
        <v>189.9</v>
      </c>
      <c r="P12" s="9" t="n">
        <v>28.48</v>
      </c>
      <c r="Q12" s="9" t="n">
        <v>161.42</v>
      </c>
      <c r="R12" s="9" t="n">
        <v>85.5</v>
      </c>
      <c r="S12" s="9" t="n">
        <v>75.92</v>
      </c>
      <c r="T12" s="10" t="n">
        <v>0.4703</v>
      </c>
    </row>
    <row r="13">
      <c r="A13" s="7" t="inlineStr">
        <is>
          <t>ORD-2024-1570</t>
        </is>
      </c>
      <c r="B13" s="7" t="inlineStr">
        <is>
          <t>2024-01-07</t>
        </is>
      </c>
      <c r="C13" s="7" t="inlineStr">
        <is>
          <t>TEC-ACC-008</t>
        </is>
      </c>
      <c r="D13" s="7" t="inlineStr">
        <is>
          <t>Precision Laser Bluetooth Mouse</t>
        </is>
      </c>
      <c r="E13" s="7" t="inlineStr">
        <is>
          <t>Technology</t>
        </is>
      </c>
      <c r="F13" s="7" t="inlineStr">
        <is>
          <t>Audio &amp; Accessories</t>
        </is>
      </c>
      <c r="G13" s="7" t="inlineStr">
        <is>
          <t>South</t>
        </is>
      </c>
      <c r="H13" s="7" t="inlineStr">
        <is>
          <t>North Carolina</t>
        </is>
      </c>
      <c r="I13" s="7" t="inlineStr">
        <is>
          <t>Retail Partner</t>
        </is>
      </c>
      <c r="J13" s="7" t="inlineStr">
        <is>
          <t>Corporate</t>
        </is>
      </c>
      <c r="K13" s="8" t="n">
        <v>5</v>
      </c>
      <c r="L13" s="9" t="n">
        <v>49.99</v>
      </c>
      <c r="M13" s="10" t="n">
        <v>0</v>
      </c>
      <c r="N13" s="9" t="n">
        <v>27.49</v>
      </c>
      <c r="O13" s="9" t="n">
        <v>249.95</v>
      </c>
      <c r="P13" s="9" t="n">
        <v>0</v>
      </c>
      <c r="Q13" s="9" t="n">
        <v>249.95</v>
      </c>
      <c r="R13" s="9" t="n">
        <v>137.45</v>
      </c>
      <c r="S13" s="9" t="n">
        <v>112.5</v>
      </c>
      <c r="T13" s="10" t="n">
        <v>0.4501</v>
      </c>
    </row>
    <row r="14">
      <c r="A14" s="7" t="inlineStr">
        <is>
          <t>ORD-2024-1570</t>
        </is>
      </c>
      <c r="B14" s="7" t="inlineStr">
        <is>
          <t>2024-01-07</t>
        </is>
      </c>
      <c r="C14" s="7" t="inlineStr">
        <is>
          <t>OFF-BIN-005</t>
        </is>
      </c>
      <c r="D14" s="7" t="inlineStr">
        <is>
          <t>Heavy-Duty D-Ring Presentation Binder (6-Pk)</t>
        </is>
      </c>
      <c r="E14" s="7" t="inlineStr">
        <is>
          <t>Office Supplies</t>
        </is>
      </c>
      <c r="F14" s="7" t="inlineStr">
        <is>
          <t>Binders &amp; Fasteners</t>
        </is>
      </c>
      <c r="G14" s="7" t="inlineStr">
        <is>
          <t>South</t>
        </is>
      </c>
      <c r="H14" s="7" t="inlineStr">
        <is>
          <t>North Carolina</t>
        </is>
      </c>
      <c r="I14" s="7" t="inlineStr">
        <is>
          <t>Retail Partner</t>
        </is>
      </c>
      <c r="J14" s="7" t="inlineStr">
        <is>
          <t>Corporate</t>
        </is>
      </c>
      <c r="K14" s="8" t="n">
        <v>8</v>
      </c>
      <c r="L14" s="9" t="n">
        <v>27.99</v>
      </c>
      <c r="M14" s="10" t="n">
        <v>0</v>
      </c>
      <c r="N14" s="9" t="n">
        <v>13.99</v>
      </c>
      <c r="O14" s="9" t="n">
        <v>223.92</v>
      </c>
      <c r="P14" s="9" t="n">
        <v>0</v>
      </c>
      <c r="Q14" s="9" t="n">
        <v>223.92</v>
      </c>
      <c r="R14" s="9" t="n">
        <v>111.92</v>
      </c>
      <c r="S14" s="9" t="n">
        <v>112</v>
      </c>
      <c r="T14" s="10" t="n">
        <v>0.5002</v>
      </c>
    </row>
    <row r="15">
      <c r="A15" s="7" t="inlineStr">
        <is>
          <t>ORD-2024-1695</t>
        </is>
      </c>
      <c r="B15" s="7" t="inlineStr">
        <is>
          <t>2024-01-07</t>
        </is>
      </c>
      <c r="C15" s="7" t="inlineStr">
        <is>
          <t>TEC-ACC-007</t>
        </is>
      </c>
      <c r="D15" s="7" t="inlineStr">
        <is>
          <t>ErgoMechanical Wireless Keyboard</t>
        </is>
      </c>
      <c r="E15" s="7" t="inlineStr">
        <is>
          <t>Technology</t>
        </is>
      </c>
      <c r="F15" s="7" t="inlineStr">
        <is>
          <t>Audio &amp; Accessories</t>
        </is>
      </c>
      <c r="G15" s="7" t="inlineStr">
        <is>
          <t>East</t>
        </is>
      </c>
      <c r="H15" s="7" t="inlineStr">
        <is>
          <t>New Jersey</t>
        </is>
      </c>
      <c r="I15" s="7" t="inlineStr">
        <is>
          <t>Online</t>
        </is>
      </c>
      <c r="J15" s="7" t="inlineStr">
        <is>
          <t>Consumer</t>
        </is>
      </c>
      <c r="K15" s="8" t="n">
        <v>4</v>
      </c>
      <c r="L15" s="9" t="n">
        <v>109.99</v>
      </c>
      <c r="M15" s="10" t="n">
        <v>0.05</v>
      </c>
      <c r="N15" s="9" t="n">
        <v>65.98999999999999</v>
      </c>
      <c r="O15" s="9" t="n">
        <v>439.96</v>
      </c>
      <c r="P15" s="9" t="n">
        <v>22</v>
      </c>
      <c r="Q15" s="9" t="n">
        <v>417.96</v>
      </c>
      <c r="R15" s="9" t="n">
        <v>263.96</v>
      </c>
      <c r="S15" s="9" t="n">
        <v>154</v>
      </c>
      <c r="T15" s="10" t="n">
        <v>0.3685</v>
      </c>
    </row>
    <row r="16">
      <c r="A16" s="7" t="inlineStr">
        <is>
          <t>ORD-2024-1695</t>
        </is>
      </c>
      <c r="B16" s="7" t="inlineStr">
        <is>
          <t>2024-01-07</t>
        </is>
      </c>
      <c r="C16" s="7" t="inlineStr">
        <is>
          <t>FUR-CHA-001</t>
        </is>
      </c>
      <c r="D16" s="7" t="inlineStr">
        <is>
          <t>ErgoFlex Executive Mesh Chair</t>
        </is>
      </c>
      <c r="E16" s="7" t="inlineStr">
        <is>
          <t>Furniture</t>
        </is>
      </c>
      <c r="F16" s="7" t="inlineStr">
        <is>
          <t>Chairs</t>
        </is>
      </c>
      <c r="G16" s="7" t="inlineStr">
        <is>
          <t>East</t>
        </is>
      </c>
      <c r="H16" s="7" t="inlineStr">
        <is>
          <t>New Jersey</t>
        </is>
      </c>
      <c r="I16" s="7" t="inlineStr">
        <is>
          <t>Online</t>
        </is>
      </c>
      <c r="J16" s="7" t="inlineStr">
        <is>
          <t>Consumer</t>
        </is>
      </c>
      <c r="K16" s="8" t="n">
        <v>3</v>
      </c>
      <c r="L16" s="9" t="n">
        <v>389.99</v>
      </c>
      <c r="M16" s="10" t="n">
        <v>0.15</v>
      </c>
      <c r="N16" s="9" t="n">
        <v>331.49</v>
      </c>
      <c r="O16" s="9" t="n">
        <v>1169.97</v>
      </c>
      <c r="P16" s="9" t="n">
        <v>175.5</v>
      </c>
      <c r="Q16" s="9" t="n">
        <v>994.47</v>
      </c>
      <c r="R16" s="9" t="n">
        <v>994.47</v>
      </c>
      <c r="S16" s="9" t="n">
        <v>0</v>
      </c>
      <c r="T16" s="10" t="n">
        <v>0</v>
      </c>
    </row>
    <row r="17">
      <c r="A17" s="7" t="inlineStr">
        <is>
          <t>ORD-2024-1695</t>
        </is>
      </c>
      <c r="B17" s="7" t="inlineStr">
        <is>
          <t>2024-01-07</t>
        </is>
      </c>
      <c r="C17" s="7" t="inlineStr">
        <is>
          <t>FUR-CHA-002</t>
        </is>
      </c>
      <c r="D17" s="7" t="inlineStr">
        <is>
          <t>AeroTask Operator Task Chair</t>
        </is>
      </c>
      <c r="E17" s="7" t="inlineStr">
        <is>
          <t>Furniture</t>
        </is>
      </c>
      <c r="F17" s="7" t="inlineStr">
        <is>
          <t>Chairs</t>
        </is>
      </c>
      <c r="G17" s="7" t="inlineStr">
        <is>
          <t>East</t>
        </is>
      </c>
      <c r="H17" s="7" t="inlineStr">
        <is>
          <t>New Jersey</t>
        </is>
      </c>
      <c r="I17" s="7" t="inlineStr">
        <is>
          <t>Online</t>
        </is>
      </c>
      <c r="J17" s="7" t="inlineStr">
        <is>
          <t>Consumer</t>
        </is>
      </c>
      <c r="K17" s="8" t="n">
        <v>3</v>
      </c>
      <c r="L17" s="9" t="n">
        <v>219.99</v>
      </c>
      <c r="M17" s="10" t="n">
        <v>0</v>
      </c>
      <c r="N17" s="9" t="n">
        <v>171.59</v>
      </c>
      <c r="O17" s="9" t="n">
        <v>659.97</v>
      </c>
      <c r="P17" s="9" t="n">
        <v>0</v>
      </c>
      <c r="Q17" s="9" t="n">
        <v>659.97</v>
      </c>
      <c r="R17" s="9" t="n">
        <v>514.77</v>
      </c>
      <c r="S17" s="9" t="n">
        <v>145.2</v>
      </c>
      <c r="T17" s="10" t="n">
        <v>0.22</v>
      </c>
    </row>
    <row r="18">
      <c r="A18" s="7" t="inlineStr">
        <is>
          <t>ORD-2024-1604</t>
        </is>
      </c>
      <c r="B18" s="7" t="inlineStr">
        <is>
          <t>2024-01-08</t>
        </is>
      </c>
      <c r="C18" s="7" t="inlineStr">
        <is>
          <t>OFF-PAP-004</t>
        </is>
      </c>
      <c r="D18" s="7" t="inlineStr">
        <is>
          <t>EcoRecycled Copy Paper (5 Reams)</t>
        </is>
      </c>
      <c r="E18" s="7" t="inlineStr">
        <is>
          <t>Office Supplies</t>
        </is>
      </c>
      <c r="F18" s="7" t="inlineStr">
        <is>
          <t>Paper Products</t>
        </is>
      </c>
      <c r="G18" s="7" t="inlineStr">
        <is>
          <t>East</t>
        </is>
      </c>
      <c r="H18" s="7" t="inlineStr">
        <is>
          <t>Massachusetts</t>
        </is>
      </c>
      <c r="I18" s="7" t="inlineStr">
        <is>
          <t>Online</t>
        </is>
      </c>
      <c r="J18" s="7" t="inlineStr">
        <is>
          <t>Consumer</t>
        </is>
      </c>
      <c r="K18" s="8" t="n">
        <v>4</v>
      </c>
      <c r="L18" s="9" t="n">
        <v>32.99</v>
      </c>
      <c r="M18" s="10" t="n">
        <v>0.15</v>
      </c>
      <c r="N18" s="9" t="n">
        <v>19.79</v>
      </c>
      <c r="O18" s="9" t="n">
        <v>131.96</v>
      </c>
      <c r="P18" s="9" t="n">
        <v>19.79</v>
      </c>
      <c r="Q18" s="9" t="n">
        <v>112.17</v>
      </c>
      <c r="R18" s="9" t="n">
        <v>79.16</v>
      </c>
      <c r="S18" s="9" t="n">
        <v>33.01</v>
      </c>
      <c r="T18" s="10" t="n">
        <v>0.2943</v>
      </c>
    </row>
    <row r="19">
      <c r="A19" s="7" t="inlineStr">
        <is>
          <t>ORD-2024-1638</t>
        </is>
      </c>
      <c r="B19" s="7" t="inlineStr">
        <is>
          <t>2024-01-08</t>
        </is>
      </c>
      <c r="C19" s="7" t="inlineStr">
        <is>
          <t>TEC-ACC-006</t>
        </is>
      </c>
      <c r="D19" s="7" t="inlineStr">
        <is>
          <t>MultiPort Thunderbolt 4 Dock</t>
        </is>
      </c>
      <c r="E19" s="7" t="inlineStr">
        <is>
          <t>Technology</t>
        </is>
      </c>
      <c r="F19" s="7" t="inlineStr">
        <is>
          <t>Audio &amp; Accessories</t>
        </is>
      </c>
      <c r="G19" s="7" t="inlineStr">
        <is>
          <t>South</t>
        </is>
      </c>
      <c r="H19" s="7" t="inlineStr">
        <is>
          <t>North Carolina</t>
        </is>
      </c>
      <c r="I19" s="7" t="inlineStr">
        <is>
          <t>Wholesale</t>
        </is>
      </c>
      <c r="J19" s="7" t="inlineStr">
        <is>
          <t>Consumer</t>
        </is>
      </c>
      <c r="K19" s="8" t="n">
        <v>15</v>
      </c>
      <c r="L19" s="9" t="n">
        <v>149.99</v>
      </c>
      <c r="M19" s="10" t="n">
        <v>0.15</v>
      </c>
      <c r="N19" s="9" t="n">
        <v>98.98999999999999</v>
      </c>
      <c r="O19" s="9" t="n">
        <v>2249.85</v>
      </c>
      <c r="P19" s="9" t="n">
        <v>337.48</v>
      </c>
      <c r="Q19" s="9" t="n">
        <v>1912.37</v>
      </c>
      <c r="R19" s="9" t="n">
        <v>1484.85</v>
      </c>
      <c r="S19" s="9" t="n">
        <v>427.52</v>
      </c>
      <c r="T19" s="10" t="n">
        <v>0.2236</v>
      </c>
    </row>
    <row r="20">
      <c r="A20" s="7" t="inlineStr">
        <is>
          <t>ORD-2024-1131</t>
        </is>
      </c>
      <c r="B20" s="7" t="inlineStr">
        <is>
          <t>2024-01-09</t>
        </is>
      </c>
      <c r="C20" s="7" t="inlineStr">
        <is>
          <t>OFF-STR-002</t>
        </is>
      </c>
      <c r="D20" s="7" t="inlineStr">
        <is>
          <t>Stackable Heavy-Duty Storage Bins (4-Pk)</t>
        </is>
      </c>
      <c r="E20" s="7" t="inlineStr">
        <is>
          <t>Office Supplies</t>
        </is>
      </c>
      <c r="F20" s="7" t="inlineStr">
        <is>
          <t>Storage &amp; Organizers</t>
        </is>
      </c>
      <c r="G20" s="7" t="inlineStr">
        <is>
          <t>Central</t>
        </is>
      </c>
      <c r="H20" s="7" t="inlineStr">
        <is>
          <t>Michigan</t>
        </is>
      </c>
      <c r="I20" s="7" t="inlineStr">
        <is>
          <t>Online</t>
        </is>
      </c>
      <c r="J20" s="7" t="inlineStr">
        <is>
          <t>Home Office</t>
        </is>
      </c>
      <c r="K20" s="8" t="n">
        <v>1</v>
      </c>
      <c r="L20" s="9" t="n">
        <v>44.99</v>
      </c>
      <c r="M20" s="10" t="n">
        <v>0</v>
      </c>
      <c r="N20" s="9" t="n">
        <v>24.74</v>
      </c>
      <c r="O20" s="9" t="n">
        <v>44.99</v>
      </c>
      <c r="P20" s="9" t="n">
        <v>0</v>
      </c>
      <c r="Q20" s="9" t="n">
        <v>44.99</v>
      </c>
      <c r="R20" s="9" t="n">
        <v>24.74</v>
      </c>
      <c r="S20" s="9" t="n">
        <v>20.25</v>
      </c>
      <c r="T20" s="10" t="n">
        <v>0.4501</v>
      </c>
    </row>
    <row r="21">
      <c r="A21" s="7" t="inlineStr">
        <is>
          <t>ORD-2024-1481</t>
        </is>
      </c>
      <c r="B21" s="7" t="inlineStr">
        <is>
          <t>2024-01-11</t>
        </is>
      </c>
      <c r="C21" s="7" t="inlineStr">
        <is>
          <t>OFF-STR-001</t>
        </is>
      </c>
      <c r="D21" s="7" t="inlineStr">
        <is>
          <t>SteelLock 3-Drawer File Cabinet</t>
        </is>
      </c>
      <c r="E21" s="7" t="inlineStr">
        <is>
          <t>Office Supplies</t>
        </is>
      </c>
      <c r="F21" s="7" t="inlineStr">
        <is>
          <t>Storage &amp; Organizers</t>
        </is>
      </c>
      <c r="G21" s="7" t="inlineStr">
        <is>
          <t>South</t>
        </is>
      </c>
      <c r="H21" s="7" t="inlineStr">
        <is>
          <t>Georgia</t>
        </is>
      </c>
      <c r="I21" s="7" t="inlineStr">
        <is>
          <t>Online</t>
        </is>
      </c>
      <c r="J21" s="7" t="inlineStr">
        <is>
          <t>Corporate</t>
        </is>
      </c>
      <c r="K21" s="8" t="n">
        <v>6</v>
      </c>
      <c r="L21" s="9" t="n">
        <v>169.99</v>
      </c>
      <c r="M21" s="10" t="n">
        <v>0.05</v>
      </c>
      <c r="N21" s="9" t="n">
        <v>115.59</v>
      </c>
      <c r="O21" s="9" t="n">
        <v>1019.94</v>
      </c>
      <c r="P21" s="9" t="n">
        <v>51</v>
      </c>
      <c r="Q21" s="9" t="n">
        <v>968.9400000000001</v>
      </c>
      <c r="R21" s="9" t="n">
        <v>693.54</v>
      </c>
      <c r="S21" s="9" t="n">
        <v>275.4</v>
      </c>
      <c r="T21" s="10" t="n">
        <v>0.2842</v>
      </c>
    </row>
    <row r="22">
      <c r="A22" s="7" t="inlineStr">
        <is>
          <t>ORD-2024-1628</t>
        </is>
      </c>
      <c r="B22" s="7" t="inlineStr">
        <is>
          <t>2024-01-11</t>
        </is>
      </c>
      <c r="C22" s="7" t="inlineStr">
        <is>
          <t>FUR-CHA-001</t>
        </is>
      </c>
      <c r="D22" s="7" t="inlineStr">
        <is>
          <t>ErgoFlex Executive Mesh Chair</t>
        </is>
      </c>
      <c r="E22" s="7" t="inlineStr">
        <is>
          <t>Furniture</t>
        </is>
      </c>
      <c r="F22" s="7" t="inlineStr">
        <is>
          <t>Chairs</t>
        </is>
      </c>
      <c r="G22" s="7" t="inlineStr">
        <is>
          <t>East</t>
        </is>
      </c>
      <c r="H22" s="7" t="inlineStr">
        <is>
          <t>New Jersey</t>
        </is>
      </c>
      <c r="I22" s="7" t="inlineStr">
        <is>
          <t>Direct Sales</t>
        </is>
      </c>
      <c r="J22" s="7" t="inlineStr">
        <is>
          <t>Consumer</t>
        </is>
      </c>
      <c r="K22" s="8" t="n">
        <v>4</v>
      </c>
      <c r="L22" s="9" t="n">
        <v>389.99</v>
      </c>
      <c r="M22" s="10" t="n">
        <v>0.1</v>
      </c>
      <c r="N22" s="9" t="n">
        <v>331.49</v>
      </c>
      <c r="O22" s="9" t="n">
        <v>1559.96</v>
      </c>
      <c r="P22" s="9" t="n">
        <v>156</v>
      </c>
      <c r="Q22" s="9" t="n">
        <v>1403.96</v>
      </c>
      <c r="R22" s="9" t="n">
        <v>1325.96</v>
      </c>
      <c r="S22" s="9" t="n">
        <v>78</v>
      </c>
      <c r="T22" s="10" t="n">
        <v>0.0556</v>
      </c>
    </row>
    <row r="23">
      <c r="A23" s="7" t="inlineStr">
        <is>
          <t>ORD-2024-1660</t>
        </is>
      </c>
      <c r="B23" s="7" t="inlineStr">
        <is>
          <t>2024-01-11</t>
        </is>
      </c>
      <c r="C23" s="7" t="inlineStr">
        <is>
          <t>OFF-ART-006</t>
        </is>
      </c>
      <c r="D23" s="7" t="inlineStr">
        <is>
          <t>Professional Presentation Dry Erase Board</t>
        </is>
      </c>
      <c r="E23" s="7" t="inlineStr">
        <is>
          <t>Office Supplies</t>
        </is>
      </c>
      <c r="F23" s="7" t="inlineStr">
        <is>
          <t>Presentation &amp; Art</t>
        </is>
      </c>
      <c r="G23" s="7" t="inlineStr">
        <is>
          <t>West</t>
        </is>
      </c>
      <c r="H23" s="7" t="inlineStr">
        <is>
          <t>Colorado</t>
        </is>
      </c>
      <c r="I23" s="7" t="inlineStr">
        <is>
          <t>Direct Sales</t>
        </is>
      </c>
      <c r="J23" s="7" t="inlineStr">
        <is>
          <t>Corporate</t>
        </is>
      </c>
      <c r="K23" s="8" t="n">
        <v>5</v>
      </c>
      <c r="L23" s="9" t="n">
        <v>89.98999999999999</v>
      </c>
      <c r="M23" s="10" t="n">
        <v>0</v>
      </c>
      <c r="N23" s="9" t="n">
        <v>53.99</v>
      </c>
      <c r="O23" s="9" t="n">
        <v>449.95</v>
      </c>
      <c r="P23" s="9" t="n">
        <v>0</v>
      </c>
      <c r="Q23" s="9" t="n">
        <v>449.95</v>
      </c>
      <c r="R23" s="9" t="n">
        <v>269.95</v>
      </c>
      <c r="S23" s="9" t="n">
        <v>180</v>
      </c>
      <c r="T23" s="10" t="n">
        <v>0.4</v>
      </c>
    </row>
    <row r="24">
      <c r="A24" s="7" t="inlineStr">
        <is>
          <t>ORD-2024-1660</t>
        </is>
      </c>
      <c r="B24" s="7" t="inlineStr">
        <is>
          <t>2024-01-11</t>
        </is>
      </c>
      <c r="C24" s="7" t="inlineStr">
        <is>
          <t>OFF-BIN-005</t>
        </is>
      </c>
      <c r="D24" s="7" t="inlineStr">
        <is>
          <t>Heavy-Duty D-Ring Presentation Binder (6-Pk)</t>
        </is>
      </c>
      <c r="E24" s="7" t="inlineStr">
        <is>
          <t>Office Supplies</t>
        </is>
      </c>
      <c r="F24" s="7" t="inlineStr">
        <is>
          <t>Binders &amp; Fasteners</t>
        </is>
      </c>
      <c r="G24" s="7" t="inlineStr">
        <is>
          <t>West</t>
        </is>
      </c>
      <c r="H24" s="7" t="inlineStr">
        <is>
          <t>Colorado</t>
        </is>
      </c>
      <c r="I24" s="7" t="inlineStr">
        <is>
          <t>Direct Sales</t>
        </is>
      </c>
      <c r="J24" s="7" t="inlineStr">
        <is>
          <t>Corporate</t>
        </is>
      </c>
      <c r="K24" s="8" t="n">
        <v>2</v>
      </c>
      <c r="L24" s="9" t="n">
        <v>27.99</v>
      </c>
      <c r="M24" s="10" t="n">
        <v>0</v>
      </c>
      <c r="N24" s="9" t="n">
        <v>13.99</v>
      </c>
      <c r="O24" s="9" t="n">
        <v>55.98</v>
      </c>
      <c r="P24" s="9" t="n">
        <v>0</v>
      </c>
      <c r="Q24" s="9" t="n">
        <v>55.98</v>
      </c>
      <c r="R24" s="9" t="n">
        <v>27.98</v>
      </c>
      <c r="S24" s="9" t="n">
        <v>28</v>
      </c>
      <c r="T24" s="10" t="n">
        <v>0.5002</v>
      </c>
    </row>
    <row r="25">
      <c r="A25" s="7" t="inlineStr">
        <is>
          <t>ORD-2024-1643</t>
        </is>
      </c>
      <c r="B25" s="7" t="inlineStr">
        <is>
          <t>2024-01-12</t>
        </is>
      </c>
      <c r="C25" s="7" t="inlineStr">
        <is>
          <t>OFF-STR-002</t>
        </is>
      </c>
      <c r="D25" s="7" t="inlineStr">
        <is>
          <t>Stackable Heavy-Duty Storage Bins (4-Pk)</t>
        </is>
      </c>
      <c r="E25" s="7" t="inlineStr">
        <is>
          <t>Office Supplies</t>
        </is>
      </c>
      <c r="F25" s="7" t="inlineStr">
        <is>
          <t>Storage &amp; Organizers</t>
        </is>
      </c>
      <c r="G25" s="7" t="inlineStr">
        <is>
          <t>Central</t>
        </is>
      </c>
      <c r="H25" s="7" t="inlineStr">
        <is>
          <t>Illinois</t>
        </is>
      </c>
      <c r="I25" s="7" t="inlineStr">
        <is>
          <t>Online</t>
        </is>
      </c>
      <c r="J25" s="7" t="inlineStr">
        <is>
          <t>Corporate</t>
        </is>
      </c>
      <c r="K25" s="8" t="n">
        <v>2</v>
      </c>
      <c r="L25" s="9" t="n">
        <v>44.99</v>
      </c>
      <c r="M25" s="10" t="n">
        <v>0</v>
      </c>
      <c r="N25" s="9" t="n">
        <v>24.74</v>
      </c>
      <c r="O25" s="9" t="n">
        <v>89.98</v>
      </c>
      <c r="P25" s="9" t="n">
        <v>0</v>
      </c>
      <c r="Q25" s="9" t="n">
        <v>89.98</v>
      </c>
      <c r="R25" s="9" t="n">
        <v>49.48</v>
      </c>
      <c r="S25" s="9" t="n">
        <v>40.5</v>
      </c>
      <c r="T25" s="10" t="n">
        <v>0.4501</v>
      </c>
    </row>
    <row r="26">
      <c r="A26" s="7" t="inlineStr">
        <is>
          <t>ORD-2024-1643</t>
        </is>
      </c>
      <c r="B26" s="7" t="inlineStr">
        <is>
          <t>2024-01-12</t>
        </is>
      </c>
      <c r="C26" s="7" t="inlineStr">
        <is>
          <t>FUR-CHA-002</t>
        </is>
      </c>
      <c r="D26" s="7" t="inlineStr">
        <is>
          <t>AeroTask Operator Task Chair</t>
        </is>
      </c>
      <c r="E26" s="7" t="inlineStr">
        <is>
          <t>Furniture</t>
        </is>
      </c>
      <c r="F26" s="7" t="inlineStr">
        <is>
          <t>Chairs</t>
        </is>
      </c>
      <c r="G26" s="7" t="inlineStr">
        <is>
          <t>Central</t>
        </is>
      </c>
      <c r="H26" s="7" t="inlineStr">
        <is>
          <t>Illinois</t>
        </is>
      </c>
      <c r="I26" s="7" t="inlineStr">
        <is>
          <t>Online</t>
        </is>
      </c>
      <c r="J26" s="7" t="inlineStr">
        <is>
          <t>Corporate</t>
        </is>
      </c>
      <c r="K26" s="8" t="n">
        <v>5</v>
      </c>
      <c r="L26" s="9" t="n">
        <v>219.99</v>
      </c>
      <c r="M26" s="10" t="n">
        <v>0</v>
      </c>
      <c r="N26" s="9" t="n">
        <v>171.59</v>
      </c>
      <c r="O26" s="9" t="n">
        <v>1099.95</v>
      </c>
      <c r="P26" s="9" t="n">
        <v>0</v>
      </c>
      <c r="Q26" s="9" t="n">
        <v>1099.95</v>
      </c>
      <c r="R26" s="9" t="n">
        <v>857.95</v>
      </c>
      <c r="S26" s="9" t="n">
        <v>242</v>
      </c>
      <c r="T26" s="10" t="n">
        <v>0.22</v>
      </c>
    </row>
    <row r="27">
      <c r="A27" s="7" t="inlineStr">
        <is>
          <t>ORD-2024-1027</t>
        </is>
      </c>
      <c r="B27" s="7" t="inlineStr">
        <is>
          <t>2024-01-13</t>
        </is>
      </c>
      <c r="C27" s="7" t="inlineStr">
        <is>
          <t>OFF-ART-006</t>
        </is>
      </c>
      <c r="D27" s="7" t="inlineStr">
        <is>
          <t>Professional Presentation Dry Erase Board</t>
        </is>
      </c>
      <c r="E27" s="7" t="inlineStr">
        <is>
          <t xml:space="preserve"> Technology </t>
        </is>
      </c>
      <c r="F27" s="7" t="inlineStr">
        <is>
          <t>Presentation &amp; Art</t>
        </is>
      </c>
      <c r="G27" s="7" t="inlineStr">
        <is>
          <t>East</t>
        </is>
      </c>
      <c r="H27" s="7" t="inlineStr">
        <is>
          <t>New Jersey</t>
        </is>
      </c>
      <c r="I27" s="7" t="inlineStr">
        <is>
          <t>Online</t>
        </is>
      </c>
      <c r="J27" s="7" t="inlineStr">
        <is>
          <t>Corporate</t>
        </is>
      </c>
      <c r="K27" s="8" t="n">
        <v>5</v>
      </c>
      <c r="L27" s="9" t="n">
        <v>89.98999999999999</v>
      </c>
      <c r="M27" s="10" t="n">
        <v>0.05</v>
      </c>
      <c r="N27" s="9" t="n">
        <v>53.99</v>
      </c>
      <c r="O27" s="9" t="n">
        <v>449.95</v>
      </c>
      <c r="P27" s="9" t="n">
        <v>22.5</v>
      </c>
      <c r="Q27" s="9" t="n">
        <v>427.45</v>
      </c>
      <c r="R27" s="9" t="n">
        <v>269.95</v>
      </c>
      <c r="S27" s="9" t="n">
        <v>157.5</v>
      </c>
      <c r="T27" s="10" t="n">
        <v>0.3685</v>
      </c>
    </row>
    <row r="28">
      <c r="A28" s="7" t="inlineStr">
        <is>
          <t>ORD-2024-1468</t>
        </is>
      </c>
      <c r="B28" s="7" t="inlineStr">
        <is>
          <t>2024-01-13</t>
        </is>
      </c>
      <c r="C28" s="7" t="inlineStr">
        <is>
          <t>OFF-BIN-005</t>
        </is>
      </c>
      <c r="D28" s="7" t="inlineStr">
        <is>
          <t>Heavy-Duty D-Ring Presentation Binder (6-Pk)</t>
        </is>
      </c>
      <c r="E28" s="7" t="inlineStr">
        <is>
          <t>Office Supplies</t>
        </is>
      </c>
      <c r="F28" s="7" t="inlineStr">
        <is>
          <t>Binders &amp; Fasteners</t>
        </is>
      </c>
      <c r="G28" s="7" t="inlineStr">
        <is>
          <t>East</t>
        </is>
      </c>
      <c r="H28" s="7" t="inlineStr">
        <is>
          <t>Massachusetts</t>
        </is>
      </c>
      <c r="I28" s="7" t="inlineStr">
        <is>
          <t>Retail Partner</t>
        </is>
      </c>
      <c r="J28" s="7" t="inlineStr">
        <is>
          <t>Home Office</t>
        </is>
      </c>
      <c r="K28" s="8" t="n">
        <v>3</v>
      </c>
      <c r="L28" s="9" t="n">
        <v>27.99</v>
      </c>
      <c r="M28" s="10" t="n">
        <v>0.1</v>
      </c>
      <c r="N28" s="9" t="n">
        <v>13.99</v>
      </c>
      <c r="O28" s="9" t="n">
        <v>83.97</v>
      </c>
      <c r="P28" s="9" t="n">
        <v>8.4</v>
      </c>
      <c r="Q28" s="9" t="n">
        <v>75.56999999999999</v>
      </c>
      <c r="R28" s="9" t="n">
        <v>41.97</v>
      </c>
      <c r="S28" s="9" t="n">
        <v>33.6</v>
      </c>
      <c r="T28" s="10" t="n">
        <v>0.4446</v>
      </c>
    </row>
    <row r="29">
      <c r="A29" s="7" t="inlineStr">
        <is>
          <t>ORD-2024-1532</t>
        </is>
      </c>
      <c r="B29" s="7" t="inlineStr">
        <is>
          <t>2024-01-14</t>
        </is>
      </c>
      <c r="C29" s="7" t="inlineStr">
        <is>
          <t>TEC-ACC-005</t>
        </is>
      </c>
      <c r="D29" s="7" t="inlineStr">
        <is>
          <t>UltraWireless Noise-Canceling Headset</t>
        </is>
      </c>
      <c r="E29" s="7" t="inlineStr">
        <is>
          <t>Technology</t>
        </is>
      </c>
      <c r="F29" s="7" t="inlineStr">
        <is>
          <t>Audio &amp; Accessories</t>
        </is>
      </c>
      <c r="G29" s="7" t="inlineStr">
        <is>
          <t>South</t>
        </is>
      </c>
      <c r="H29" s="7" t="inlineStr">
        <is>
          <t>Georgia</t>
        </is>
      </c>
      <c r="I29" s="7" t="inlineStr">
        <is>
          <t>Online</t>
        </is>
      </c>
      <c r="J29" s="7" t="inlineStr">
        <is>
          <t>Corporate</t>
        </is>
      </c>
      <c r="K29" s="8" t="n">
        <v>8</v>
      </c>
      <c r="L29" s="9" t="n">
        <v>179.99</v>
      </c>
      <c r="M29" s="10" t="n">
        <v>0.05</v>
      </c>
      <c r="N29" s="9" t="n">
        <v>111.59</v>
      </c>
      <c r="O29" s="9" t="n">
        <v>1439.92</v>
      </c>
      <c r="P29" s="9" t="n">
        <v>72</v>
      </c>
      <c r="Q29" s="9" t="n">
        <v>1367.92</v>
      </c>
      <c r="R29" s="9" t="n">
        <v>892.72</v>
      </c>
      <c r="S29" s="9" t="n">
        <v>475.2</v>
      </c>
      <c r="T29" s="10" t="n">
        <v>0.3474</v>
      </c>
    </row>
    <row r="30">
      <c r="A30" s="7" t="inlineStr">
        <is>
          <t>ORD-2024-1193</t>
        </is>
      </c>
      <c r="B30" s="7" t="inlineStr">
        <is>
          <t>2024-01-15</t>
        </is>
      </c>
      <c r="C30" s="7" t="inlineStr">
        <is>
          <t>FUR-BOK-005</t>
        </is>
      </c>
      <c r="D30" s="7" t="inlineStr">
        <is>
          <t>Modular 5-Tier Steel Bookcase</t>
        </is>
      </c>
      <c r="E30" s="7" t="inlineStr">
        <is>
          <t>Furniture</t>
        </is>
      </c>
      <c r="F30" s="7" t="inlineStr">
        <is>
          <t>Bookcases</t>
        </is>
      </c>
      <c r="G30" s="7" t="inlineStr">
        <is>
          <t>Central</t>
        </is>
      </c>
      <c r="H30" s="7" t="inlineStr">
        <is>
          <t>Ohio</t>
        </is>
      </c>
      <c r="I30" s="7" t="inlineStr">
        <is>
          <t>Online</t>
        </is>
      </c>
      <c r="J30" s="7" t="inlineStr">
        <is>
          <t>Home Office</t>
        </is>
      </c>
      <c r="K30" s="8" t="n">
        <v>3</v>
      </c>
      <c r="L30" s="9" t="n">
        <v>189.99</v>
      </c>
      <c r="M30" s="10" t="n">
        <v>0.15</v>
      </c>
      <c r="N30" s="9" t="n">
        <v>142.49</v>
      </c>
      <c r="O30" s="9" t="n">
        <v>569.97</v>
      </c>
      <c r="P30" s="9" t="n">
        <v>85.5</v>
      </c>
      <c r="Q30" s="9" t="n">
        <v>484.47</v>
      </c>
      <c r="R30" s="9" t="n">
        <v>427.47</v>
      </c>
      <c r="S30" s="9" t="n">
        <v>57</v>
      </c>
      <c r="T30" s="10" t="n">
        <v>0.1177</v>
      </c>
    </row>
    <row r="31">
      <c r="A31" s="7" t="inlineStr">
        <is>
          <t>ORD-2024-1128</t>
        </is>
      </c>
      <c r="B31" s="7" t="inlineStr">
        <is>
          <t>2024-01-16</t>
        </is>
      </c>
      <c r="C31" s="7" t="inlineStr">
        <is>
          <t>FUR-DSK-004</t>
        </is>
      </c>
      <c r="D31" s="7" t="inlineStr">
        <is>
          <t>Metro Compact Corner Workstation</t>
        </is>
      </c>
      <c r="E31" s="7" t="inlineStr">
        <is>
          <t>Furniture</t>
        </is>
      </c>
      <c r="F31" s="7" t="inlineStr">
        <is>
          <t>Desks &amp; Workstations</t>
        </is>
      </c>
      <c r="G31" s="7" t="inlineStr">
        <is>
          <t>East</t>
        </is>
      </c>
      <c r="H31" s="7" t="inlineStr">
        <is>
          <t>New York</t>
        </is>
      </c>
      <c r="I31" s="7" t="inlineStr">
        <is>
          <t>Online</t>
        </is>
      </c>
      <c r="J31" s="7" t="inlineStr">
        <is>
          <t>Corporate</t>
        </is>
      </c>
      <c r="K31" s="8" t="n">
        <v>4</v>
      </c>
      <c r="L31" s="9" t="n">
        <v>329.99</v>
      </c>
      <c r="M31" s="10" t="n">
        <v>0</v>
      </c>
      <c r="N31" s="9" t="n">
        <v>250.79</v>
      </c>
      <c r="O31" s="9" t="n">
        <v>1319.96</v>
      </c>
      <c r="P31" s="9" t="n">
        <v>0</v>
      </c>
      <c r="Q31" s="9" t="n">
        <v>1319.96</v>
      </c>
      <c r="R31" s="9" t="n">
        <v>1003.16</v>
      </c>
      <c r="S31" s="9" t="n">
        <v>316.8</v>
      </c>
      <c r="T31" s="10" t="n">
        <v>0.24</v>
      </c>
    </row>
    <row r="32">
      <c r="A32" s="7" t="inlineStr">
        <is>
          <t>ORD-2024-1128</t>
        </is>
      </c>
      <c r="B32" s="7" t="inlineStr">
        <is>
          <t>2024-01-16</t>
        </is>
      </c>
      <c r="C32" s="7" t="inlineStr">
        <is>
          <t>FUR-BOK-005</t>
        </is>
      </c>
      <c r="D32" s="7" t="inlineStr">
        <is>
          <t>Modular 5-Tier Steel Bookcase</t>
        </is>
      </c>
      <c r="E32" s="7" t="inlineStr">
        <is>
          <t>Furniture</t>
        </is>
      </c>
      <c r="F32" s="7" t="inlineStr">
        <is>
          <t>Bookcases</t>
        </is>
      </c>
      <c r="G32" s="7" t="inlineStr">
        <is>
          <t>East</t>
        </is>
      </c>
      <c r="H32" s="7" t="inlineStr">
        <is>
          <t>New York</t>
        </is>
      </c>
      <c r="I32" s="7" t="inlineStr">
        <is>
          <t>Online</t>
        </is>
      </c>
      <c r="J32" s="7" t="inlineStr">
        <is>
          <t>Corporate</t>
        </is>
      </c>
      <c r="K32" s="8" t="n">
        <v>8</v>
      </c>
      <c r="L32" s="9" t="n">
        <v>189.99</v>
      </c>
      <c r="M32" s="10" t="n">
        <v>0</v>
      </c>
      <c r="N32" s="9" t="n">
        <v>142.49</v>
      </c>
      <c r="O32" s="9" t="n">
        <v>1519.92</v>
      </c>
      <c r="P32" s="9" t="n">
        <v>0</v>
      </c>
      <c r="Q32" s="9" t="n">
        <v>1519.92</v>
      </c>
      <c r="R32" s="9" t="n">
        <v>1139.92</v>
      </c>
      <c r="S32" s="9" t="n">
        <v>380</v>
      </c>
      <c r="T32" s="10" t="n">
        <v>0.25</v>
      </c>
    </row>
    <row r="33">
      <c r="A33" s="7" t="inlineStr">
        <is>
          <t>ORD-2024-1201</t>
        </is>
      </c>
      <c r="B33" s="7" t="inlineStr">
        <is>
          <t>2024-01-16</t>
        </is>
      </c>
      <c r="C33" s="7" t="inlineStr">
        <is>
          <t>OFF-STR-002</t>
        </is>
      </c>
      <c r="D33" s="7" t="inlineStr">
        <is>
          <t>Stackable Heavy-Duty Storage Bins (4-Pk)</t>
        </is>
      </c>
      <c r="E33" s="7" t="inlineStr">
        <is>
          <t>Office Supplies</t>
        </is>
      </c>
      <c r="F33" s="7" t="inlineStr">
        <is>
          <t>Storage &amp; Organizers</t>
        </is>
      </c>
      <c r="G33" s="7" t="inlineStr">
        <is>
          <t>West</t>
        </is>
      </c>
      <c r="H33" s="7" t="inlineStr">
        <is>
          <t>California</t>
        </is>
      </c>
      <c r="I33" s="7" t="inlineStr">
        <is>
          <t>Direct Sales</t>
        </is>
      </c>
      <c r="J33" s="7" t="inlineStr">
        <is>
          <t>Consumer</t>
        </is>
      </c>
      <c r="K33" s="8" t="n">
        <v>3</v>
      </c>
      <c r="L33" s="9" t="n">
        <v>44.99</v>
      </c>
      <c r="M33" s="10" t="n">
        <v>0</v>
      </c>
      <c r="N33" s="9" t="n">
        <v>24.74</v>
      </c>
      <c r="O33" s="9" t="n">
        <v>134.97</v>
      </c>
      <c r="P33" s="9" t="n">
        <v>0</v>
      </c>
      <c r="Q33" s="9" t="n">
        <v>134.97</v>
      </c>
      <c r="R33" s="9" t="n">
        <v>74.22</v>
      </c>
      <c r="S33" s="9" t="n">
        <v>60.75</v>
      </c>
      <c r="T33" s="10" t="n">
        <v>0.4501</v>
      </c>
    </row>
    <row r="34">
      <c r="A34" s="7" t="inlineStr">
        <is>
          <t>ORD-2024-1334</t>
        </is>
      </c>
      <c r="B34" s="7" t="inlineStr">
        <is>
          <t>2024-01-17</t>
        </is>
      </c>
      <c r="C34" s="7" t="inlineStr">
        <is>
          <t>FUR-DSK-004</t>
        </is>
      </c>
      <c r="D34" s="7" t="inlineStr">
        <is>
          <t>Metro Compact Corner Workstation</t>
        </is>
      </c>
      <c r="E34" s="7" t="inlineStr">
        <is>
          <t>Furniture</t>
        </is>
      </c>
      <c r="F34" s="7" t="inlineStr">
        <is>
          <t>Desks &amp; Workstations</t>
        </is>
      </c>
      <c r="G34" s="7" t="inlineStr">
        <is>
          <t>East</t>
        </is>
      </c>
      <c r="H34" s="7" t="inlineStr">
        <is>
          <t>Pennsylvania</t>
        </is>
      </c>
      <c r="I34" s="7" t="inlineStr">
        <is>
          <t>Direct Sales</t>
        </is>
      </c>
      <c r="J34" s="7" t="inlineStr">
        <is>
          <t>Corporate</t>
        </is>
      </c>
      <c r="K34" s="8" t="n">
        <v>4</v>
      </c>
      <c r="L34" s="9" t="n">
        <v>329.99</v>
      </c>
      <c r="M34" s="10" t="n">
        <v>0</v>
      </c>
      <c r="N34" s="9" t="n">
        <v>250.79</v>
      </c>
      <c r="O34" s="9" t="n">
        <v>1319.96</v>
      </c>
      <c r="P34" s="9" t="n">
        <v>0</v>
      </c>
      <c r="Q34" s="9" t="n">
        <v>1319.96</v>
      </c>
      <c r="R34" s="9" t="n">
        <v>1003.16</v>
      </c>
      <c r="S34" s="9" t="n">
        <v>316.8</v>
      </c>
      <c r="T34" s="10" t="n">
        <v>0.24</v>
      </c>
    </row>
    <row r="35">
      <c r="A35" s="7" t="inlineStr">
        <is>
          <t>ORD-2024-1334</t>
        </is>
      </c>
      <c r="B35" s="7" t="inlineStr">
        <is>
          <t>2024-01-17</t>
        </is>
      </c>
      <c r="C35" s="7" t="inlineStr">
        <is>
          <t>OFF-DSK-007</t>
        </is>
      </c>
      <c r="D35" s="7" t="inlineStr">
        <is>
          <t>Gel Ergo Mouse Pad &amp; Wrist Rest Combo</t>
        </is>
      </c>
      <c r="E35" s="7" t="inlineStr">
        <is>
          <t>Office Supplies</t>
        </is>
      </c>
      <c r="F35" s="7" t="inlineStr">
        <is>
          <t>Desk Supplies</t>
        </is>
      </c>
      <c r="G35" s="7" t="inlineStr">
        <is>
          <t>East</t>
        </is>
      </c>
      <c r="H35" s="7" t="inlineStr">
        <is>
          <t>Pennsylvania</t>
        </is>
      </c>
      <c r="I35" s="7" t="inlineStr">
        <is>
          <t>Direct Sales</t>
        </is>
      </c>
      <c r="J35" s="7" t="inlineStr">
        <is>
          <t>Corporate</t>
        </is>
      </c>
      <c r="K35" s="8" t="n">
        <v>8</v>
      </c>
      <c r="L35" s="9" t="n">
        <v>21.99</v>
      </c>
      <c r="M35" s="10" t="n">
        <v>0.05</v>
      </c>
      <c r="N35" s="9" t="n">
        <v>10.56</v>
      </c>
      <c r="O35" s="9" t="n">
        <v>175.92</v>
      </c>
      <c r="P35" s="9" t="n">
        <v>8.800000000000001</v>
      </c>
      <c r="Q35" s="9" t="n">
        <v>167.12</v>
      </c>
      <c r="R35" s="9" t="n">
        <v>84.48</v>
      </c>
      <c r="S35" s="9" t="n">
        <v>82.64</v>
      </c>
      <c r="T35" s="10" t="n">
        <v>0.4945</v>
      </c>
    </row>
    <row r="36">
      <c r="A36" s="7" t="inlineStr">
        <is>
          <t>ORD-2024-1433</t>
        </is>
      </c>
      <c r="B36" s="7" t="inlineStr">
        <is>
          <t>2024-01-17</t>
        </is>
      </c>
      <c r="C36" s="7" t="inlineStr">
        <is>
          <t>TEC-TAB-004</t>
        </is>
      </c>
      <c r="D36" s="7" t="inlineStr">
        <is>
          <t>VisionPad Lite 8.5"</t>
        </is>
      </c>
      <c r="E36" s="7" t="inlineStr">
        <is>
          <t>Technology</t>
        </is>
      </c>
      <c r="F36" s="7" t="inlineStr">
        <is>
          <t>Phones &amp; Tablets</t>
        </is>
      </c>
      <c r="G36" s="7" t="inlineStr">
        <is>
          <t>Central</t>
        </is>
      </c>
      <c r="H36" s="7" t="inlineStr">
        <is>
          <t>Illinois</t>
        </is>
      </c>
      <c r="I36" s="7" t="inlineStr">
        <is>
          <t>Direct Sales</t>
        </is>
      </c>
      <c r="J36" s="7" t="inlineStr">
        <is>
          <t>Consumer</t>
        </is>
      </c>
      <c r="K36" s="8" t="n">
        <v>2</v>
      </c>
      <c r="L36" s="9" t="n">
        <v>299.99</v>
      </c>
      <c r="M36" s="10" t="n">
        <v>0</v>
      </c>
      <c r="N36" s="9" t="n">
        <v>245.99</v>
      </c>
      <c r="O36" s="9" t="n">
        <v>599.98</v>
      </c>
      <c r="P36" s="9" t="n">
        <v>0</v>
      </c>
      <c r="Q36" s="9" t="n">
        <v>599.98</v>
      </c>
      <c r="R36" s="9" t="n">
        <v>491.98</v>
      </c>
      <c r="S36" s="9" t="n">
        <v>108</v>
      </c>
      <c r="T36" s="10" t="n">
        <v>0.18</v>
      </c>
    </row>
    <row r="37">
      <c r="A37" s="7" t="inlineStr">
        <is>
          <t>ORD-2024-1433</t>
        </is>
      </c>
      <c r="B37" s="7" t="inlineStr">
        <is>
          <t>2024-01-17</t>
        </is>
      </c>
      <c r="C37" s="7" t="inlineStr">
        <is>
          <t>FUR-CHA-002</t>
        </is>
      </c>
      <c r="D37" s="7" t="inlineStr">
        <is>
          <t>AeroTask Operator Task Chair</t>
        </is>
      </c>
      <c r="E37" s="7" t="inlineStr">
        <is>
          <t>Furniture</t>
        </is>
      </c>
      <c r="F37" s="7" t="inlineStr">
        <is>
          <t>Chairs</t>
        </is>
      </c>
      <c r="G37" s="7" t="inlineStr">
        <is>
          <t>Central</t>
        </is>
      </c>
      <c r="H37" s="7" t="inlineStr">
        <is>
          <t>Illinois</t>
        </is>
      </c>
      <c r="I37" s="7" t="inlineStr">
        <is>
          <t>Direct Sales</t>
        </is>
      </c>
      <c r="J37" s="7" t="inlineStr">
        <is>
          <t>Consumer</t>
        </is>
      </c>
      <c r="K37" s="8" t="n">
        <v>2</v>
      </c>
      <c r="L37" s="9" t="n">
        <v>219.99</v>
      </c>
      <c r="M37" s="10" t="n">
        <v>0</v>
      </c>
      <c r="N37" s="9" t="n">
        <v>171.59</v>
      </c>
      <c r="O37" s="9" t="n">
        <v>439.98</v>
      </c>
      <c r="P37" s="9" t="n">
        <v>0</v>
      </c>
      <c r="Q37" s="9" t="n">
        <v>439.98</v>
      </c>
      <c r="R37" s="9" t="n">
        <v>343.18</v>
      </c>
      <c r="S37" s="9" t="n">
        <v>96.8</v>
      </c>
      <c r="T37" s="10" t="n">
        <v>0.22</v>
      </c>
    </row>
    <row r="38">
      <c r="A38" s="7" t="inlineStr">
        <is>
          <t>ORD-2024-1433</t>
        </is>
      </c>
      <c r="B38" s="7" t="inlineStr">
        <is>
          <t>2024-01-17</t>
        </is>
      </c>
      <c r="C38" s="7" t="inlineStr">
        <is>
          <t>TEC-ACC-006</t>
        </is>
      </c>
      <c r="D38" s="7" t="inlineStr">
        <is>
          <t>MultiPort Thunderbolt 4 Dock</t>
        </is>
      </c>
      <c r="E38" s="7" t="inlineStr">
        <is>
          <t>Technology</t>
        </is>
      </c>
      <c r="F38" s="7" t="inlineStr">
        <is>
          <t>Audio &amp; Accessories</t>
        </is>
      </c>
      <c r="G38" s="7" t="inlineStr">
        <is>
          <t>Central</t>
        </is>
      </c>
      <c r="H38" s="7" t="inlineStr">
        <is>
          <t>Illinois</t>
        </is>
      </c>
      <c r="I38" s="7" t="inlineStr">
        <is>
          <t>Direct Sales</t>
        </is>
      </c>
      <c r="J38" s="7" t="inlineStr">
        <is>
          <t>Consumer</t>
        </is>
      </c>
      <c r="K38" s="8" t="n">
        <v>3</v>
      </c>
      <c r="L38" s="9" t="n">
        <v>149.99</v>
      </c>
      <c r="M38" s="10" t="n">
        <v>0</v>
      </c>
      <c r="N38" s="9" t="n">
        <v>98.98999999999999</v>
      </c>
      <c r="O38" s="9" t="n">
        <v>449.97</v>
      </c>
      <c r="P38" s="9" t="n">
        <v>0</v>
      </c>
      <c r="Q38" s="9" t="n">
        <v>449.97</v>
      </c>
      <c r="R38" s="9" t="n">
        <v>296.97</v>
      </c>
      <c r="S38" s="9" t="n">
        <v>153</v>
      </c>
      <c r="T38" s="10" t="n">
        <v>0.34</v>
      </c>
    </row>
    <row r="39">
      <c r="A39" s="7" t="inlineStr">
        <is>
          <t>ORD-2024-1222</t>
        </is>
      </c>
      <c r="B39" s="7" t="inlineStr">
        <is>
          <t>2024-01-18</t>
        </is>
      </c>
      <c r="C39" s="7" t="inlineStr">
        <is>
          <t>OFF-STR-001</t>
        </is>
      </c>
      <c r="D39" s="7" t="inlineStr">
        <is>
          <t>SteelLock 3-Drawer File Cabinet</t>
        </is>
      </c>
      <c r="E39" s="7" t="inlineStr">
        <is>
          <t>Office Supplies</t>
        </is>
      </c>
      <c r="F39" s="7" t="inlineStr">
        <is>
          <t>Storage &amp; Organizers</t>
        </is>
      </c>
      <c r="G39" s="7" t="inlineStr">
        <is>
          <t>West</t>
        </is>
      </c>
      <c r="H39" s="7" t="inlineStr">
        <is>
          <t>Colorado</t>
        </is>
      </c>
      <c r="I39" s="7" t="inlineStr">
        <is>
          <t>Direct Sales</t>
        </is>
      </c>
      <c r="J39" s="7" t="inlineStr">
        <is>
          <t>Home Office</t>
        </is>
      </c>
      <c r="K39" s="8" t="n">
        <v>3</v>
      </c>
      <c r="L39" s="9" t="n">
        <v>169.99</v>
      </c>
      <c r="M39" s="10" t="n">
        <v>0</v>
      </c>
      <c r="N39" s="9" t="n">
        <v>115.59</v>
      </c>
      <c r="O39" s="9" t="n">
        <v>509.97</v>
      </c>
      <c r="P39" s="9" t="n">
        <v>0</v>
      </c>
      <c r="Q39" s="9" t="n">
        <v>509.97</v>
      </c>
      <c r="R39" s="9" t="n">
        <v>346.77</v>
      </c>
      <c r="S39" s="9" t="n">
        <v>163.2</v>
      </c>
      <c r="T39" s="10" t="n">
        <v>0.32</v>
      </c>
    </row>
    <row r="40">
      <c r="A40" s="7" t="inlineStr">
        <is>
          <t>ORD-2024-1366</t>
        </is>
      </c>
      <c r="B40" s="7" t="inlineStr">
        <is>
          <t>2024-01-20</t>
        </is>
      </c>
      <c r="C40" s="7" t="inlineStr">
        <is>
          <t>TEC-ACC-005</t>
        </is>
      </c>
      <c r="D40" s="7" t="inlineStr">
        <is>
          <t>UltraWireless Noise-Canceling Headset</t>
        </is>
      </c>
      <c r="E40" s="7" t="inlineStr">
        <is>
          <t>Technology</t>
        </is>
      </c>
      <c r="F40" s="7" t="inlineStr">
        <is>
          <t>Audio &amp; Accessories</t>
        </is>
      </c>
      <c r="G40" s="7" t="inlineStr">
        <is>
          <t>West</t>
        </is>
      </c>
      <c r="H40" s="7" t="inlineStr">
        <is>
          <t>Colorado</t>
        </is>
      </c>
      <c r="I40" s="7" t="inlineStr">
        <is>
          <t>Online</t>
        </is>
      </c>
      <c r="J40" s="7" t="inlineStr">
        <is>
          <t>Corporate</t>
        </is>
      </c>
      <c r="K40" s="8" t="n">
        <v>3</v>
      </c>
      <c r="L40" s="9" t="n">
        <v>179.99</v>
      </c>
      <c r="M40" s="10" t="n">
        <v>0</v>
      </c>
      <c r="N40" s="9" t="n">
        <v>111.59</v>
      </c>
      <c r="O40" s="9" t="n">
        <v>539.97</v>
      </c>
      <c r="P40" s="9" t="n">
        <v>0</v>
      </c>
      <c r="Q40" s="9" t="n">
        <v>539.97</v>
      </c>
      <c r="R40" s="9" t="n">
        <v>334.77</v>
      </c>
      <c r="S40" s="9" t="n">
        <v>205.2</v>
      </c>
      <c r="T40" s="10" t="n">
        <v>0.38</v>
      </c>
    </row>
    <row r="41">
      <c r="A41" s="7" t="inlineStr">
        <is>
          <t>ORD-2024-1542</t>
        </is>
      </c>
      <c r="B41" s="7" t="inlineStr">
        <is>
          <t>2024-01-20</t>
        </is>
      </c>
      <c r="C41" s="7" t="inlineStr">
        <is>
          <t>OFF-STR-001</t>
        </is>
      </c>
      <c r="D41" s="7" t="inlineStr">
        <is>
          <t>SteelLock 3-Drawer File Cabinet</t>
        </is>
      </c>
      <c r="E41" s="7" t="inlineStr">
        <is>
          <t>Office Supplies</t>
        </is>
      </c>
      <c r="F41" s="7" t="inlineStr">
        <is>
          <t>Storage &amp; Organizers</t>
        </is>
      </c>
      <c r="G41" s="7" t="inlineStr">
        <is>
          <t>East</t>
        </is>
      </c>
      <c r="H41" s="7" t="inlineStr">
        <is>
          <t>New York</t>
        </is>
      </c>
      <c r="I41" s="7" t="inlineStr">
        <is>
          <t>Retail Partner</t>
        </is>
      </c>
      <c r="J41" s="7" t="inlineStr">
        <is>
          <t>Corporate</t>
        </is>
      </c>
      <c r="K41" s="8" t="n">
        <v>6</v>
      </c>
      <c r="L41" s="9" t="n">
        <v>169.99</v>
      </c>
      <c r="M41" s="10" t="n">
        <v>0.1</v>
      </c>
      <c r="N41" s="9" t="n">
        <v>115.59</v>
      </c>
      <c r="O41" s="9" t="n">
        <v>1019.94</v>
      </c>
      <c r="P41" s="9" t="n">
        <v>101.99</v>
      </c>
      <c r="Q41" s="9" t="n">
        <v>917.95</v>
      </c>
      <c r="R41" s="9" t="n">
        <v>693.54</v>
      </c>
      <c r="S41" s="9" t="n">
        <v>224.41</v>
      </c>
      <c r="T41" s="10" t="n">
        <v>0.2445</v>
      </c>
    </row>
    <row r="42">
      <c r="A42" s="7" t="inlineStr">
        <is>
          <t>ORD-2024-1243</t>
        </is>
      </c>
      <c r="B42" s="7" t="inlineStr">
        <is>
          <t>2024-01-21</t>
        </is>
      </c>
      <c r="C42" s="7" t="inlineStr">
        <is>
          <t>OFF-STR-001</t>
        </is>
      </c>
      <c r="D42" s="7" t="inlineStr">
        <is>
          <t>SteelLock 3-Drawer File Cabinet</t>
        </is>
      </c>
      <c r="E42" s="7" t="inlineStr">
        <is>
          <t>Office Supplies</t>
        </is>
      </c>
      <c r="F42" s="7" t="inlineStr">
        <is>
          <t>Storage &amp; Organizers</t>
        </is>
      </c>
      <c r="G42" s="7" t="inlineStr">
        <is>
          <t>Central</t>
        </is>
      </c>
      <c r="H42" s="7" t="inlineStr">
        <is>
          <t>Ohio</t>
        </is>
      </c>
      <c r="I42" s="7" t="inlineStr">
        <is>
          <t>Wholesale</t>
        </is>
      </c>
      <c r="J42" s="7" t="inlineStr">
        <is>
          <t>Corporate</t>
        </is>
      </c>
      <c r="K42" s="8" t="n">
        <v>9</v>
      </c>
      <c r="L42" s="9" t="n">
        <v>169.99</v>
      </c>
      <c r="M42" s="10" t="n">
        <v>0.2</v>
      </c>
      <c r="N42" s="9" t="n">
        <v>115.59</v>
      </c>
      <c r="O42" s="9" t="n">
        <v>1529.91</v>
      </c>
      <c r="P42" s="9" t="n">
        <v>305.98</v>
      </c>
      <c r="Q42" s="9" t="n">
        <v>1223.93</v>
      </c>
      <c r="R42" s="9" t="n">
        <v>1040.31</v>
      </c>
      <c r="S42" s="9" t="n">
        <v>183.62</v>
      </c>
      <c r="T42" s="10" t="n">
        <v>0.15</v>
      </c>
    </row>
    <row r="43">
      <c r="A43" s="7" t="inlineStr">
        <is>
          <t>ORD-2024-1243</t>
        </is>
      </c>
      <c r="B43" s="7" t="inlineStr">
        <is>
          <t>2024-01-21</t>
        </is>
      </c>
      <c r="C43" s="7" t="inlineStr">
        <is>
          <t>OFF-DSK-008</t>
        </is>
      </c>
      <c r="D43" s="7" t="inlineStr">
        <is>
          <t>Steel Desktop Mesh Organizer Caddy</t>
        </is>
      </c>
      <c r="E43" s="7" t="inlineStr">
        <is>
          <t>Office Supplies</t>
        </is>
      </c>
      <c r="F43" s="7" t="inlineStr">
        <is>
          <t>Desk Supplies</t>
        </is>
      </c>
      <c r="G43" s="7" t="inlineStr">
        <is>
          <t>Central</t>
        </is>
      </c>
      <c r="H43" s="7" t="inlineStr">
        <is>
          <t>Ohio</t>
        </is>
      </c>
      <c r="I43" s="7" t="inlineStr">
        <is>
          <t>Wholesale</t>
        </is>
      </c>
      <c r="J43" s="7" t="inlineStr">
        <is>
          <t>Corporate</t>
        </is>
      </c>
      <c r="K43" s="8" t="n">
        <v>5</v>
      </c>
      <c r="L43" s="9" t="n">
        <v>18.99</v>
      </c>
      <c r="M43" s="10" t="n">
        <v>0.1</v>
      </c>
      <c r="N43" s="9" t="n">
        <v>8.550000000000001</v>
      </c>
      <c r="O43" s="9" t="n">
        <v>94.95</v>
      </c>
      <c r="P43" s="9" t="n">
        <v>9.5</v>
      </c>
      <c r="Q43" s="9" t="n">
        <v>85.45</v>
      </c>
      <c r="R43" s="9" t="n">
        <v>42.75</v>
      </c>
      <c r="S43" s="9" t="n">
        <v>42.7</v>
      </c>
      <c r="T43" s="10" t="n">
        <v>0.4997</v>
      </c>
    </row>
    <row r="44">
      <c r="A44" s="7" t="inlineStr">
        <is>
          <t>ORD-2024-1574</t>
        </is>
      </c>
      <c r="B44" s="7" t="inlineStr">
        <is>
          <t>2024-01-21</t>
        </is>
      </c>
      <c r="C44" s="7" t="inlineStr">
        <is>
          <t>OFF-PAP-003</t>
        </is>
      </c>
      <c r="D44" s="7" t="inlineStr">
        <is>
          <t>UltraWhite Premium Multipurpose Paper (Case)</t>
        </is>
      </c>
      <c r="E44" s="7" t="inlineStr">
        <is>
          <t>Office Supplies</t>
        </is>
      </c>
      <c r="F44" s="7" t="inlineStr">
        <is>
          <t>Paper Products</t>
        </is>
      </c>
      <c r="G44" s="7" t="inlineStr">
        <is>
          <t>West</t>
        </is>
      </c>
      <c r="H44" s="7" t="inlineStr">
        <is>
          <t>California</t>
        </is>
      </c>
      <c r="I44" s="7" t="inlineStr">
        <is>
          <t>Online</t>
        </is>
      </c>
      <c r="J44" s="7" t="inlineStr">
        <is>
          <t>Corporate</t>
        </is>
      </c>
      <c r="K44" s="8" t="n">
        <v>2</v>
      </c>
      <c r="L44" s="9" t="n">
        <v>54.99</v>
      </c>
      <c r="M44" s="10" t="n">
        <v>0.1</v>
      </c>
      <c r="N44" s="9" t="n">
        <v>31.89</v>
      </c>
      <c r="O44" s="9" t="n">
        <v>109.98</v>
      </c>
      <c r="P44" s="9" t="n">
        <v>11</v>
      </c>
      <c r="Q44" s="9" t="n">
        <v>98.98</v>
      </c>
      <c r="R44" s="9" t="n">
        <v>63.78</v>
      </c>
      <c r="S44" s="9" t="n">
        <v>35.2</v>
      </c>
      <c r="T44" s="10" t="n">
        <v>0.3556</v>
      </c>
    </row>
    <row r="45">
      <c r="A45" s="7" t="inlineStr">
        <is>
          <t>ORD-2024-1690</t>
        </is>
      </c>
      <c r="B45" s="7" t="inlineStr">
        <is>
          <t>2024-01-21</t>
        </is>
      </c>
      <c r="C45" s="7" t="inlineStr">
        <is>
          <t>FUR-BOK-005</t>
        </is>
      </c>
      <c r="D45" s="7" t="inlineStr">
        <is>
          <t>Modular 5-Tier Steel Bookcase</t>
        </is>
      </c>
      <c r="E45" s="7" t="inlineStr">
        <is>
          <t>Furniture</t>
        </is>
      </c>
      <c r="F45" s="7" t="inlineStr">
        <is>
          <t>Bookcases</t>
        </is>
      </c>
      <c r="G45" s="7" t="inlineStr">
        <is>
          <t>West</t>
        </is>
      </c>
      <c r="H45" s="7" t="inlineStr">
        <is>
          <t>Colorado</t>
        </is>
      </c>
      <c r="I45" s="7" t="inlineStr">
        <is>
          <t>Online</t>
        </is>
      </c>
      <c r="J45" s="7" t="inlineStr">
        <is>
          <t>Consumer</t>
        </is>
      </c>
      <c r="K45" s="8" t="n">
        <v>4</v>
      </c>
      <c r="L45" s="9" t="n">
        <v>189.99</v>
      </c>
      <c r="M45" s="10" t="n">
        <v>0.05</v>
      </c>
      <c r="N45" s="9" t="n">
        <v>142.49</v>
      </c>
      <c r="O45" s="9" t="n">
        <v>759.96</v>
      </c>
      <c r="P45" s="9" t="n">
        <v>38</v>
      </c>
      <c r="Q45" s="9" t="n">
        <v>721.96</v>
      </c>
      <c r="R45" s="9" t="n">
        <v>569.96</v>
      </c>
      <c r="S45" s="9" t="n">
        <v>152</v>
      </c>
      <c r="T45" s="10" t="n">
        <v>0.2105</v>
      </c>
    </row>
    <row r="46">
      <c r="A46" s="7" t="inlineStr">
        <is>
          <t>ORD-2024-1694</t>
        </is>
      </c>
      <c r="B46" s="7" t="inlineStr">
        <is>
          <t>2024-01-21</t>
        </is>
      </c>
      <c r="C46" s="7" t="inlineStr">
        <is>
          <t>TEC-TAB-003</t>
        </is>
      </c>
      <c r="D46" s="7" t="inlineStr">
        <is>
          <t>VisionPad Pro 11"</t>
        </is>
      </c>
      <c r="E46" s="7" t="inlineStr">
        <is>
          <t>Technology</t>
        </is>
      </c>
      <c r="F46" s="7" t="inlineStr">
        <is>
          <t>Phones &amp; Tablets</t>
        </is>
      </c>
      <c r="G46" s="7" t="inlineStr">
        <is>
          <t>Central</t>
        </is>
      </c>
      <c r="H46" s="7" t="inlineStr">
        <is>
          <t>Ohio</t>
        </is>
      </c>
      <c r="I46" s="7" t="inlineStr">
        <is>
          <t>Direct Sales</t>
        </is>
      </c>
      <c r="J46" s="7" t="inlineStr">
        <is>
          <t>Consumer</t>
        </is>
      </c>
      <c r="K46" s="8" t="n">
        <v>4</v>
      </c>
      <c r="L46" s="9" t="n">
        <v>649.99</v>
      </c>
      <c r="M46" s="10" t="n">
        <v>0</v>
      </c>
      <c r="N46" s="9" t="n">
        <v>487.49</v>
      </c>
      <c r="O46" s="9" t="n">
        <v>2599.96</v>
      </c>
      <c r="P46" s="9" t="n">
        <v>0</v>
      </c>
      <c r="Q46" s="9" t="n">
        <v>2599.96</v>
      </c>
      <c r="R46" s="9" t="n">
        <v>1949.96</v>
      </c>
      <c r="S46" s="9" t="n">
        <v>650</v>
      </c>
      <c r="T46" s="10" t="n">
        <v>0.25</v>
      </c>
    </row>
    <row r="47">
      <c r="A47" s="7" t="inlineStr">
        <is>
          <t>ORD-2024-1371</t>
        </is>
      </c>
      <c r="B47" s="7" t="inlineStr">
        <is>
          <t>2024-01-22</t>
        </is>
      </c>
      <c r="C47" s="7" t="inlineStr">
        <is>
          <t>OFF-STR-001</t>
        </is>
      </c>
      <c r="D47" s="7" t="inlineStr">
        <is>
          <t>SteelLock 3-Drawer File Cabinet</t>
        </is>
      </c>
      <c r="E47" s="7" t="inlineStr">
        <is>
          <t>Office Supplies</t>
        </is>
      </c>
      <c r="F47" s="7" t="inlineStr">
        <is>
          <t>Storage &amp; Organizers</t>
        </is>
      </c>
      <c r="G47" s="7" t="inlineStr">
        <is>
          <t>East</t>
        </is>
      </c>
      <c r="H47" s="7" t="inlineStr">
        <is>
          <t>New Jersey</t>
        </is>
      </c>
      <c r="I47" s="7" t="inlineStr">
        <is>
          <t>Online</t>
        </is>
      </c>
      <c r="J47" s="7" t="inlineStr">
        <is>
          <t>Corporate</t>
        </is>
      </c>
      <c r="K47" s="8" t="n">
        <v>8</v>
      </c>
      <c r="L47" s="9" t="n">
        <v>169.99</v>
      </c>
      <c r="M47" s="10" t="n">
        <v>0</v>
      </c>
      <c r="N47" s="9" t="n">
        <v>115.59</v>
      </c>
      <c r="O47" s="9" t="n">
        <v>1359.92</v>
      </c>
      <c r="P47" s="9" t="n">
        <v>0</v>
      </c>
      <c r="Q47" s="9" t="n">
        <v>1359.92</v>
      </c>
      <c r="R47" s="9" t="n">
        <v>924.72</v>
      </c>
      <c r="S47" s="9" t="n">
        <v>435.2</v>
      </c>
      <c r="T47" s="10" t="n">
        <v>0.32</v>
      </c>
    </row>
    <row r="48">
      <c r="A48" s="7" t="inlineStr">
        <is>
          <t>ORD-2024-1164</t>
        </is>
      </c>
      <c r="B48" s="7" t="inlineStr">
        <is>
          <t>2024-01-23</t>
        </is>
      </c>
      <c r="C48" s="7" t="inlineStr">
        <is>
          <t>OFF-DSK-007</t>
        </is>
      </c>
      <c r="D48" s="7" t="inlineStr">
        <is>
          <t>Gel Ergo Mouse Pad &amp; Wrist Rest Combo</t>
        </is>
      </c>
      <c r="E48" s="7" t="inlineStr">
        <is>
          <t>Office Supplies</t>
        </is>
      </c>
      <c r="F48" s="7" t="inlineStr">
        <is>
          <t>Desk Supplies</t>
        </is>
      </c>
      <c r="G48" s="7" t="inlineStr">
        <is>
          <t>South</t>
        </is>
      </c>
      <c r="H48" s="7" t="inlineStr">
        <is>
          <t>Virginia</t>
        </is>
      </c>
      <c r="I48" s="7" t="inlineStr">
        <is>
          <t>Online</t>
        </is>
      </c>
      <c r="J48" s="7" t="inlineStr">
        <is>
          <t>Home Office</t>
        </is>
      </c>
      <c r="K48" s="8" t="n">
        <v>4</v>
      </c>
      <c r="L48" s="9" t="n">
        <v>21.99</v>
      </c>
      <c r="M48" s="10" t="n">
        <v>0.1</v>
      </c>
      <c r="N48" s="9" t="n">
        <v>10.56</v>
      </c>
      <c r="O48" s="9" t="n">
        <v>87.95999999999999</v>
      </c>
      <c r="P48" s="9" t="n">
        <v>8.800000000000001</v>
      </c>
      <c r="Q48" s="9" t="n">
        <v>79.16</v>
      </c>
      <c r="R48" s="9" t="n">
        <v>42.24</v>
      </c>
      <c r="S48" s="9" t="n">
        <v>36.92</v>
      </c>
      <c r="T48" s="10" t="n">
        <v>0.4664</v>
      </c>
    </row>
    <row r="49">
      <c r="A49" s="7" t="inlineStr">
        <is>
          <t>ORD-2024-1238</t>
        </is>
      </c>
      <c r="B49" s="7" t="inlineStr">
        <is>
          <t>2024-01-23</t>
        </is>
      </c>
      <c r="C49" s="7" t="inlineStr">
        <is>
          <t>TEC-LAP-001</t>
        </is>
      </c>
      <c r="D49" s="7" t="inlineStr">
        <is>
          <t>ProBook Elite 15.6"</t>
        </is>
      </c>
      <c r="E49" s="7" t="inlineStr">
        <is>
          <t>Technology</t>
        </is>
      </c>
      <c r="F49" s="7" t="inlineStr">
        <is>
          <t>Laptops</t>
        </is>
      </c>
      <c r="G49" s="7" t="inlineStr">
        <is>
          <t>Central</t>
        </is>
      </c>
      <c r="H49" s="7" t="inlineStr">
        <is>
          <t>Ohio</t>
        </is>
      </c>
      <c r="I49" s="7" t="inlineStr">
        <is>
          <t>Wholesale</t>
        </is>
      </c>
      <c r="J49" s="7" t="inlineStr">
        <is>
          <t>Consumer</t>
        </is>
      </c>
      <c r="K49" s="8" t="n">
        <v>5</v>
      </c>
      <c r="L49" s="9" t="n">
        <v>1199.99</v>
      </c>
      <c r="M49" s="10" t="n">
        <v>0.1</v>
      </c>
      <c r="N49" s="9" t="n">
        <v>863.99</v>
      </c>
      <c r="O49" s="9" t="n">
        <v>5999.95</v>
      </c>
      <c r="P49" s="9" t="n">
        <v>600</v>
      </c>
      <c r="Q49" s="9" t="n">
        <v>5399.95</v>
      </c>
      <c r="R49" s="9" t="n">
        <v>4319.95</v>
      </c>
      <c r="S49" s="9" t="n">
        <v>1080</v>
      </c>
      <c r="T49" s="10" t="n">
        <v>0.2</v>
      </c>
    </row>
    <row r="50">
      <c r="A50" s="7" t="inlineStr">
        <is>
          <t>ORD-2024-1238</t>
        </is>
      </c>
      <c r="B50" s="7" t="inlineStr">
        <is>
          <t>2024-01-23</t>
        </is>
      </c>
      <c r="C50" s="7" t="inlineStr">
        <is>
          <t>FUR-DSK-003</t>
        </is>
      </c>
      <c r="D50" s="7" t="inlineStr">
        <is>
          <t>ApexMotor Dual-Motor Standing Desk</t>
        </is>
      </c>
      <c r="E50" s="7" t="inlineStr">
        <is>
          <t>Furniture</t>
        </is>
      </c>
      <c r="F50" s="7" t="inlineStr">
        <is>
          <t>Desks &amp; Workstations</t>
        </is>
      </c>
      <c r="G50" s="7" t="inlineStr">
        <is>
          <t>Central</t>
        </is>
      </c>
      <c r="H50" s="7" t="inlineStr">
        <is>
          <t>Ohio</t>
        </is>
      </c>
      <c r="I50" s="7" t="inlineStr">
        <is>
          <t>Wholesale</t>
        </is>
      </c>
      <c r="J50" s="7" t="inlineStr">
        <is>
          <t>Consumer</t>
        </is>
      </c>
      <c r="K50" s="8" t="n">
        <v>5</v>
      </c>
      <c r="L50" s="9" t="n">
        <v>549.99</v>
      </c>
      <c r="M50" s="10" t="n">
        <v>0.2</v>
      </c>
      <c r="N50" s="9" t="n">
        <v>439.99</v>
      </c>
      <c r="O50" s="9" t="n">
        <v>2749.95</v>
      </c>
      <c r="P50" s="9" t="n">
        <v>549.99</v>
      </c>
      <c r="Q50" s="9" t="n">
        <v>2199.96</v>
      </c>
      <c r="R50" s="9" t="n">
        <v>2199.95</v>
      </c>
      <c r="S50" s="9" t="n">
        <v>0.01</v>
      </c>
      <c r="T50" s="10" t="n">
        <v>0</v>
      </c>
    </row>
    <row r="51">
      <c r="A51" s="7" t="inlineStr">
        <is>
          <t>ORD-2024-1141</t>
        </is>
      </c>
      <c r="B51" s="7" t="inlineStr">
        <is>
          <t>2024-01-24</t>
        </is>
      </c>
      <c r="C51" s="7" t="inlineStr">
        <is>
          <t>FUR-DSK-004</t>
        </is>
      </c>
      <c r="D51" s="7" t="inlineStr">
        <is>
          <t>Metro Compact Corner Workstation</t>
        </is>
      </c>
      <c r="E51" s="7" t="inlineStr">
        <is>
          <t>Furniture</t>
        </is>
      </c>
      <c r="F51" s="7" t="inlineStr">
        <is>
          <t>Desks &amp; Workstations</t>
        </is>
      </c>
      <c r="G51" s="7" t="inlineStr">
        <is>
          <t>West</t>
        </is>
      </c>
      <c r="H51" s="7" t="inlineStr">
        <is>
          <t>California</t>
        </is>
      </c>
      <c r="I51" s="7" t="inlineStr">
        <is>
          <t>Direct Sales</t>
        </is>
      </c>
      <c r="J51" s="7" t="inlineStr">
        <is>
          <t>Consumer</t>
        </is>
      </c>
      <c r="K51" s="8" t="n">
        <v>2</v>
      </c>
      <c r="L51" s="9" t="n">
        <v>329.99</v>
      </c>
      <c r="M51" s="10" t="n">
        <v>0.1</v>
      </c>
      <c r="N51" s="9" t="n">
        <v>250.79</v>
      </c>
      <c r="O51" s="9" t="n">
        <v>659.98</v>
      </c>
      <c r="P51" s="9" t="n">
        <v>66</v>
      </c>
      <c r="Q51" s="9" t="n">
        <v>593.98</v>
      </c>
      <c r="R51" s="9" t="n">
        <v>501.58</v>
      </c>
      <c r="S51" s="9" t="n">
        <v>92.40000000000001</v>
      </c>
      <c r="T51" s="10" t="n">
        <v>0.1556</v>
      </c>
    </row>
    <row r="52">
      <c r="A52" s="7" t="inlineStr">
        <is>
          <t>ORD-2024-1141</t>
        </is>
      </c>
      <c r="B52" s="7" t="inlineStr">
        <is>
          <t>2024-01-24</t>
        </is>
      </c>
      <c r="C52" s="7" t="inlineStr">
        <is>
          <t>OFF-DSK-007</t>
        </is>
      </c>
      <c r="D52" s="7" t="inlineStr">
        <is>
          <t>Gel Ergo Mouse Pad &amp; Wrist Rest Combo</t>
        </is>
      </c>
      <c r="E52" s="7" t="inlineStr">
        <is>
          <t>Office Supplies</t>
        </is>
      </c>
      <c r="F52" s="7" t="inlineStr">
        <is>
          <t>Desk Supplies</t>
        </is>
      </c>
      <c r="G52" s="7" t="inlineStr">
        <is>
          <t>West</t>
        </is>
      </c>
      <c r="H52" s="7" t="inlineStr">
        <is>
          <t>California</t>
        </is>
      </c>
      <c r="I52" s="7" t="inlineStr">
        <is>
          <t>Direct Sales</t>
        </is>
      </c>
      <c r="J52" s="7" t="n">
        <v/>
      </c>
      <c r="K52" s="8" t="n">
        <v>1</v>
      </c>
      <c r="L52" s="9" t="n">
        <v>21.99</v>
      </c>
      <c r="M52" s="10" t="n">
        <v>0</v>
      </c>
      <c r="N52" s="9" t="n">
        <v>10.56</v>
      </c>
      <c r="O52" s="9" t="n">
        <v>21.99</v>
      </c>
      <c r="P52" s="9" t="n">
        <v>0</v>
      </c>
      <c r="Q52" s="9" t="n">
        <v>21.99</v>
      </c>
      <c r="R52" s="9" t="n">
        <v>10.56</v>
      </c>
      <c r="S52" s="9" t="n">
        <v>11.43</v>
      </c>
      <c r="T52" s="10" t="n">
        <v>0.5198</v>
      </c>
    </row>
    <row r="53">
      <c r="A53" s="7" t="inlineStr">
        <is>
          <t>ORD-2024-1410</t>
        </is>
      </c>
      <c r="B53" s="7" t="inlineStr">
        <is>
          <t>2024-01-24</t>
        </is>
      </c>
      <c r="C53" s="7" t="inlineStr">
        <is>
          <t>OFF-ART-006</t>
        </is>
      </c>
      <c r="D53" s="7" t="inlineStr">
        <is>
          <t>Professional Presentation Dry Erase Board</t>
        </is>
      </c>
      <c r="E53" s="7" t="inlineStr">
        <is>
          <t>Office Supplies</t>
        </is>
      </c>
      <c r="F53" s="7" t="inlineStr">
        <is>
          <t>Presentation &amp; Art</t>
        </is>
      </c>
      <c r="G53" s="7" t="inlineStr">
        <is>
          <t>West</t>
        </is>
      </c>
      <c r="H53" s="7" t="inlineStr">
        <is>
          <t>Oregon</t>
        </is>
      </c>
      <c r="I53" s="7" t="inlineStr">
        <is>
          <t>Retail Partner</t>
        </is>
      </c>
      <c r="J53" s="7" t="inlineStr">
        <is>
          <t>Consumer</t>
        </is>
      </c>
      <c r="K53" s="8" t="n">
        <v>4</v>
      </c>
      <c r="L53" s="9" t="n">
        <v>89.98999999999999</v>
      </c>
      <c r="M53" s="10" t="n">
        <v>0</v>
      </c>
      <c r="N53" s="9" t="n">
        <v>53.99</v>
      </c>
      <c r="O53" s="9" t="n">
        <v>359.96</v>
      </c>
      <c r="P53" s="9" t="n">
        <v>0</v>
      </c>
      <c r="Q53" s="9" t="n">
        <v>359.96</v>
      </c>
      <c r="R53" s="9" t="n">
        <v>215.96</v>
      </c>
      <c r="S53" s="9" t="n">
        <v>144</v>
      </c>
      <c r="T53" s="10" t="n">
        <v>0.4</v>
      </c>
    </row>
    <row r="54">
      <c r="A54" s="7" t="inlineStr">
        <is>
          <t>ORD-2024-1315</t>
        </is>
      </c>
      <c r="B54" s="7" t="inlineStr">
        <is>
          <t>2024-01-25</t>
        </is>
      </c>
      <c r="C54" s="7" t="inlineStr">
        <is>
          <t>TEC-LAP-002</t>
        </is>
      </c>
      <c r="D54" s="7" t="inlineStr">
        <is>
          <t>Apex Gaming Laptop 17"</t>
        </is>
      </c>
      <c r="E54" s="7" t="inlineStr">
        <is>
          <t>Technology</t>
        </is>
      </c>
      <c r="F54" s="7" t="inlineStr">
        <is>
          <t>Laptops</t>
        </is>
      </c>
      <c r="G54" s="7" t="inlineStr">
        <is>
          <t>West</t>
        </is>
      </c>
      <c r="H54" s="7" t="inlineStr">
        <is>
          <t>California</t>
        </is>
      </c>
      <c r="I54" s="7" t="inlineStr">
        <is>
          <t>Wholesale</t>
        </is>
      </c>
      <c r="J54" s="7" t="inlineStr">
        <is>
          <t>Consumer</t>
        </is>
      </c>
      <c r="K54" s="8" t="n">
        <v>7</v>
      </c>
      <c r="L54" s="9" t="n">
        <v>1499.99</v>
      </c>
      <c r="M54" s="10" t="n">
        <v>0.15</v>
      </c>
      <c r="N54" s="9" t="n">
        <v>1259.99</v>
      </c>
      <c r="O54" s="9" t="n">
        <v>10499.93</v>
      </c>
      <c r="P54" s="9" t="n">
        <v>1574.99</v>
      </c>
      <c r="Q54" s="9" t="n">
        <v>8924.940000000001</v>
      </c>
      <c r="R54" s="9" t="n">
        <v>8819.93</v>
      </c>
      <c r="S54" s="9" t="n">
        <v>105.01</v>
      </c>
      <c r="T54" s="10" t="n">
        <v>0.0118</v>
      </c>
    </row>
    <row r="55">
      <c r="A55" s="7" t="inlineStr">
        <is>
          <t>ORD-2024-1536</t>
        </is>
      </c>
      <c r="B55" s="7" t="inlineStr">
        <is>
          <t>2024-01-25</t>
        </is>
      </c>
      <c r="C55" s="7" t="inlineStr">
        <is>
          <t>FUR-CHA-002</t>
        </is>
      </c>
      <c r="D55" s="7" t="inlineStr">
        <is>
          <t>AeroTask Operator Task Chair</t>
        </is>
      </c>
      <c r="E55" s="7" t="inlineStr">
        <is>
          <t>Furniture</t>
        </is>
      </c>
      <c r="F55" s="7" t="inlineStr">
        <is>
          <t>Chairs</t>
        </is>
      </c>
      <c r="G55" s="7" t="inlineStr">
        <is>
          <t>East</t>
        </is>
      </c>
      <c r="H55" s="7" t="inlineStr">
        <is>
          <t>New York</t>
        </is>
      </c>
      <c r="I55" s="7" t="inlineStr">
        <is>
          <t>Retail Partner</t>
        </is>
      </c>
      <c r="J55" s="7" t="inlineStr">
        <is>
          <t>Corporate</t>
        </is>
      </c>
      <c r="K55" s="8" t="n">
        <v>5</v>
      </c>
      <c r="L55" s="9" t="n">
        <v>219.99</v>
      </c>
      <c r="M55" s="10" t="n">
        <v>0.05</v>
      </c>
      <c r="N55" s="9" t="n">
        <v>171.59</v>
      </c>
      <c r="O55" s="9" t="n">
        <v>1099.95</v>
      </c>
      <c r="P55" s="9" t="n">
        <v>55</v>
      </c>
      <c r="Q55" s="9" t="n">
        <v>1044.95</v>
      </c>
      <c r="R55" s="9" t="n">
        <v>857.95</v>
      </c>
      <c r="S55" s="9" t="n">
        <v>187</v>
      </c>
      <c r="T55" s="10" t="n">
        <v>0.179</v>
      </c>
    </row>
    <row r="56">
      <c r="A56" s="7" t="inlineStr">
        <is>
          <t>ORD-2024-1230</t>
        </is>
      </c>
      <c r="B56" s="7" t="inlineStr">
        <is>
          <t>2024-01-26</t>
        </is>
      </c>
      <c r="C56" s="7" t="inlineStr">
        <is>
          <t>FUR-DSK-003</t>
        </is>
      </c>
      <c r="D56" s="7" t="inlineStr">
        <is>
          <t>ApexMotor Dual-Motor Standing Desk</t>
        </is>
      </c>
      <c r="E56" s="7" t="inlineStr">
        <is>
          <t>Furniture</t>
        </is>
      </c>
      <c r="F56" s="7" t="inlineStr">
        <is>
          <t>Desks &amp; Workstations</t>
        </is>
      </c>
      <c r="G56" s="7" t="inlineStr">
        <is>
          <t>South</t>
        </is>
      </c>
      <c r="H56" s="7" t="inlineStr">
        <is>
          <t>North Carolina</t>
        </is>
      </c>
      <c r="I56" s="7" t="inlineStr">
        <is>
          <t>Online</t>
        </is>
      </c>
      <c r="J56" s="7" t="inlineStr">
        <is>
          <t>Home Office</t>
        </is>
      </c>
      <c r="K56" s="8" t="n">
        <v>4</v>
      </c>
      <c r="L56" s="9" t="n">
        <v>549.99</v>
      </c>
      <c r="M56" s="10" t="n">
        <v>0.05</v>
      </c>
      <c r="N56" s="9" t="n">
        <v>439.99</v>
      </c>
      <c r="O56" s="9" t="n">
        <v>2199.96</v>
      </c>
      <c r="P56" s="9" t="n">
        <v>110</v>
      </c>
      <c r="Q56" s="9" t="n">
        <v>2089.96</v>
      </c>
      <c r="R56" s="9" t="n">
        <v>1759.96</v>
      </c>
      <c r="S56" s="9" t="n">
        <v>330</v>
      </c>
      <c r="T56" s="10" t="n">
        <v>0.1579</v>
      </c>
    </row>
    <row r="57">
      <c r="A57" s="7" t="inlineStr">
        <is>
          <t>ORD-2024-1230</t>
        </is>
      </c>
      <c r="B57" s="7" t="inlineStr">
        <is>
          <t>2024-01-26</t>
        </is>
      </c>
      <c r="C57" s="7" t="inlineStr">
        <is>
          <t>OFF-DSK-007</t>
        </is>
      </c>
      <c r="D57" s="7" t="inlineStr">
        <is>
          <t>Gel Ergo Mouse Pad &amp; Wrist Rest Combo</t>
        </is>
      </c>
      <c r="E57" s="7" t="inlineStr">
        <is>
          <t>Office Supplies</t>
        </is>
      </c>
      <c r="F57" s="7" t="inlineStr">
        <is>
          <t>Desk Supplies</t>
        </is>
      </c>
      <c r="G57" s="7" t="inlineStr">
        <is>
          <t>South</t>
        </is>
      </c>
      <c r="H57" s="7" t="inlineStr">
        <is>
          <t>North Carolina</t>
        </is>
      </c>
      <c r="I57" s="7" t="inlineStr">
        <is>
          <t>Online</t>
        </is>
      </c>
      <c r="J57" s="7" t="inlineStr">
        <is>
          <t>Home Office</t>
        </is>
      </c>
      <c r="K57" s="8" t="n">
        <v>1</v>
      </c>
      <c r="L57" s="9" t="n">
        <v>21.99</v>
      </c>
      <c r="M57" s="10" t="n">
        <v>0.05</v>
      </c>
      <c r="N57" s="9" t="n">
        <v>10.56</v>
      </c>
      <c r="O57" s="9" t="n">
        <v>21.99</v>
      </c>
      <c r="P57" s="9" t="n">
        <v>1.1</v>
      </c>
      <c r="Q57" s="9" t="n">
        <v>20.89</v>
      </c>
      <c r="R57" s="9" t="n">
        <v>10.56</v>
      </c>
      <c r="S57" s="9" t="n">
        <v>10.33</v>
      </c>
      <c r="T57" s="10" t="n">
        <v>0.4945</v>
      </c>
    </row>
    <row r="58">
      <c r="A58" s="7" t="inlineStr">
        <is>
          <t>ORD-2024-1388</t>
        </is>
      </c>
      <c r="B58" s="7" t="inlineStr">
        <is>
          <t>2024-01-27</t>
        </is>
      </c>
      <c r="C58" s="7" t="inlineStr">
        <is>
          <t>OFF-ART-006</t>
        </is>
      </c>
      <c r="D58" s="7" t="inlineStr">
        <is>
          <t>Professional Presentation Dry Erase Board</t>
        </is>
      </c>
      <c r="E58" s="7" t="inlineStr">
        <is>
          <t>Office Supplies</t>
        </is>
      </c>
      <c r="F58" s="7" t="inlineStr">
        <is>
          <t>Presentation &amp; Art</t>
        </is>
      </c>
      <c r="G58" s="7" t="inlineStr">
        <is>
          <t>East</t>
        </is>
      </c>
      <c r="H58" s="7" t="inlineStr">
        <is>
          <t>New Jersey</t>
        </is>
      </c>
      <c r="I58" s="7" t="inlineStr">
        <is>
          <t>Direct Sales</t>
        </is>
      </c>
      <c r="J58" s="7" t="inlineStr">
        <is>
          <t>Consumer</t>
        </is>
      </c>
      <c r="K58" s="8" t="n">
        <v>1</v>
      </c>
      <c r="L58" s="9" t="n">
        <v>89.98999999999999</v>
      </c>
      <c r="M58" s="10" t="n">
        <v>0.1</v>
      </c>
      <c r="N58" s="9" t="n">
        <v>53.99</v>
      </c>
      <c r="O58" s="9" t="n">
        <v>89.98999999999999</v>
      </c>
      <c r="P58" s="9" t="n">
        <v>9</v>
      </c>
      <c r="Q58" s="9" t="n">
        <v>80.98999999999999</v>
      </c>
      <c r="R58" s="9" t="n">
        <v>53.99</v>
      </c>
      <c r="S58" s="9" t="n">
        <v>27</v>
      </c>
      <c r="T58" s="10" t="n">
        <v>0.3334</v>
      </c>
    </row>
    <row r="59">
      <c r="A59" s="7" t="inlineStr">
        <is>
          <t>ORD-2024-1388</t>
        </is>
      </c>
      <c r="B59" s="7" t="inlineStr">
        <is>
          <t>2024-01-27</t>
        </is>
      </c>
      <c r="C59" s="7" t="inlineStr">
        <is>
          <t>OFF-DSK-007</t>
        </is>
      </c>
      <c r="D59" s="7" t="inlineStr">
        <is>
          <t>Gel Ergo Mouse Pad &amp; Wrist Rest Combo</t>
        </is>
      </c>
      <c r="E59" s="7" t="inlineStr">
        <is>
          <t>Office Supplies</t>
        </is>
      </c>
      <c r="F59" s="7" t="inlineStr">
        <is>
          <t>Desk Supplies</t>
        </is>
      </c>
      <c r="G59" s="7" t="inlineStr">
        <is>
          <t>East</t>
        </is>
      </c>
      <c r="H59" s="7" t="inlineStr">
        <is>
          <t>New Jersey</t>
        </is>
      </c>
      <c r="I59" s="7" t="inlineStr">
        <is>
          <t>Direct Sales</t>
        </is>
      </c>
      <c r="J59" s="7" t="inlineStr">
        <is>
          <t>Consumer</t>
        </is>
      </c>
      <c r="K59" s="8" t="n">
        <v>2</v>
      </c>
      <c r="L59" s="9" t="n">
        <v>21.99</v>
      </c>
      <c r="M59" s="10" t="n">
        <v>0.05</v>
      </c>
      <c r="N59" s="9" t="n">
        <v>10.56</v>
      </c>
      <c r="O59" s="9" t="n">
        <v>43.98</v>
      </c>
      <c r="P59" s="9" t="n">
        <v>2.2</v>
      </c>
      <c r="Q59" s="9" t="n">
        <v>41.78</v>
      </c>
      <c r="R59" s="9" t="n">
        <v>21.12</v>
      </c>
      <c r="S59" s="9" t="n">
        <v>20.66</v>
      </c>
      <c r="T59" s="10" t="n">
        <v>0.4945</v>
      </c>
    </row>
    <row r="60">
      <c r="A60" s="7" t="inlineStr">
        <is>
          <t>ORD-2024-1388</t>
        </is>
      </c>
      <c r="B60" s="7" t="inlineStr">
        <is>
          <t>2024-01-27</t>
        </is>
      </c>
      <c r="C60" s="7" t="inlineStr">
        <is>
          <t>TEC-ACC-005</t>
        </is>
      </c>
      <c r="D60" s="7" t="inlineStr">
        <is>
          <t>UltraWireless Noise-Canceling Headset</t>
        </is>
      </c>
      <c r="E60" s="7" t="inlineStr">
        <is>
          <t>Technology</t>
        </is>
      </c>
      <c r="F60" s="7" t="inlineStr">
        <is>
          <t>Audio &amp; Accessories</t>
        </is>
      </c>
      <c r="G60" s="7" t="inlineStr">
        <is>
          <t>East</t>
        </is>
      </c>
      <c r="H60" s="7" t="inlineStr">
        <is>
          <t>New Jersey</t>
        </is>
      </c>
      <c r="I60" s="7" t="inlineStr">
        <is>
          <t>Direct Sales</t>
        </is>
      </c>
      <c r="J60" s="7" t="inlineStr">
        <is>
          <t>Consumer</t>
        </is>
      </c>
      <c r="K60" s="8" t="n">
        <v>3</v>
      </c>
      <c r="L60" s="9" t="n">
        <v>179.99</v>
      </c>
      <c r="M60" s="10" t="n">
        <v>0</v>
      </c>
      <c r="N60" s="9" t="n">
        <v>111.59</v>
      </c>
      <c r="O60" s="9" t="n">
        <v>539.97</v>
      </c>
      <c r="P60" s="9" t="n">
        <v>0</v>
      </c>
      <c r="Q60" s="9" t="n">
        <v>539.97</v>
      </c>
      <c r="R60" s="9" t="n">
        <v>334.77</v>
      </c>
      <c r="S60" s="9" t="n">
        <v>205.2</v>
      </c>
      <c r="T60" s="10" t="n">
        <v>0.38</v>
      </c>
    </row>
    <row r="61">
      <c r="A61" s="7" t="inlineStr">
        <is>
          <t>ORD-2024-1033</t>
        </is>
      </c>
      <c r="B61" s="7" t="inlineStr">
        <is>
          <t>2024-01-28</t>
        </is>
      </c>
      <c r="C61" s="7" t="inlineStr">
        <is>
          <t>OFF-DSK-007</t>
        </is>
      </c>
      <c r="D61" s="7" t="inlineStr">
        <is>
          <t>Gel Ergo Mouse Pad &amp; Wrist Rest Combo</t>
        </is>
      </c>
      <c r="E61" s="7" t="inlineStr">
        <is>
          <t>Office Supplies</t>
        </is>
      </c>
      <c r="F61" s="7" t="inlineStr">
        <is>
          <t>Desk Supplies</t>
        </is>
      </c>
      <c r="G61" s="7" t="inlineStr">
        <is>
          <t>West</t>
        </is>
      </c>
      <c r="H61" s="7" t="inlineStr">
        <is>
          <t>Oregon</t>
        </is>
      </c>
      <c r="I61" s="7" t="inlineStr">
        <is>
          <t>Direct Sales</t>
        </is>
      </c>
      <c r="J61" s="7" t="inlineStr">
        <is>
          <t>Corporate</t>
        </is>
      </c>
      <c r="K61" s="8" t="n">
        <v>6</v>
      </c>
      <c r="L61" s="9" t="n">
        <v>21.99</v>
      </c>
      <c r="M61" s="10" t="n">
        <v>0</v>
      </c>
      <c r="N61" s="9" t="n">
        <v>10.56</v>
      </c>
      <c r="O61" s="9" t="n">
        <v>131.94</v>
      </c>
      <c r="P61" s="9" t="n">
        <v>0</v>
      </c>
      <c r="Q61" s="9" t="n">
        <v>131.94</v>
      </c>
      <c r="R61" s="9" t="n">
        <v>63.36</v>
      </c>
      <c r="S61" s="9" t="n">
        <v>68.58</v>
      </c>
      <c r="T61" s="10" t="n">
        <v>0.5198</v>
      </c>
    </row>
    <row r="62">
      <c r="A62" s="7" t="inlineStr">
        <is>
          <t>ORD-2024-1223</t>
        </is>
      </c>
      <c r="B62" s="7" t="inlineStr">
        <is>
          <t>2024-01-28</t>
        </is>
      </c>
      <c r="C62" s="7" t="inlineStr">
        <is>
          <t>TEC-ACC-008</t>
        </is>
      </c>
      <c r="D62" s="7" t="inlineStr">
        <is>
          <t>Precision Laser Bluetooth Mouse</t>
        </is>
      </c>
      <c r="E62" s="7" t="inlineStr">
        <is>
          <t>Technology</t>
        </is>
      </c>
      <c r="F62" s="7" t="inlineStr">
        <is>
          <t>Audio &amp; Accessories</t>
        </is>
      </c>
      <c r="G62" s="7" t="inlineStr">
        <is>
          <t>West</t>
        </is>
      </c>
      <c r="H62" s="7" t="inlineStr">
        <is>
          <t>Washington</t>
        </is>
      </c>
      <c r="I62" s="7" t="inlineStr">
        <is>
          <t>Wholesale</t>
        </is>
      </c>
      <c r="J62" s="7" t="inlineStr">
        <is>
          <t>Home Office</t>
        </is>
      </c>
      <c r="K62" s="8" t="n">
        <v>14</v>
      </c>
      <c r="L62" s="9" t="n">
        <v>49.99</v>
      </c>
      <c r="M62" s="10" t="n">
        <v>0.2</v>
      </c>
      <c r="N62" s="9" t="n">
        <v>27.49</v>
      </c>
      <c r="O62" s="9" t="n">
        <v>699.86</v>
      </c>
      <c r="P62" s="9" t="n">
        <v>139.97</v>
      </c>
      <c r="Q62" s="9" t="n">
        <v>559.89</v>
      </c>
      <c r="R62" s="9" t="n">
        <v>384.86</v>
      </c>
      <c r="S62" s="9" t="n">
        <v>175.03</v>
      </c>
      <c r="T62" s="10" t="n">
        <v>0.3126</v>
      </c>
    </row>
    <row r="63">
      <c r="A63" s="7" t="inlineStr">
        <is>
          <t>ORD-2024-1377</t>
        </is>
      </c>
      <c r="B63" s="7" t="inlineStr">
        <is>
          <t>2024-01-29</t>
        </is>
      </c>
      <c r="C63" s="7" t="inlineStr">
        <is>
          <t>FUR-LGT-006</t>
        </is>
      </c>
      <c r="D63" s="7" t="inlineStr">
        <is>
          <t>Architect LED Desk Task Lamp</t>
        </is>
      </c>
      <c r="E63" s="7" t="inlineStr">
        <is>
          <t>Furniture</t>
        </is>
      </c>
      <c r="F63" s="7" t="inlineStr">
        <is>
          <t>Lighting</t>
        </is>
      </c>
      <c r="G63" s="7" t="inlineStr">
        <is>
          <t>Central</t>
        </is>
      </c>
      <c r="H63" s="7" t="inlineStr">
        <is>
          <t>Texas</t>
        </is>
      </c>
      <c r="I63" s="7" t="inlineStr">
        <is>
          <t>Direct Sales</t>
        </is>
      </c>
      <c r="J63" s="7" t="inlineStr">
        <is>
          <t>Consumer</t>
        </is>
      </c>
      <c r="K63" s="8" t="n">
        <v>1</v>
      </c>
      <c r="L63" s="9" t="n">
        <v>69.98999999999999</v>
      </c>
      <c r="M63" s="10" t="n">
        <v>0</v>
      </c>
      <c r="N63" s="9" t="n">
        <v>43.39</v>
      </c>
      <c r="O63" s="9" t="n">
        <v>69.98999999999999</v>
      </c>
      <c r="P63" s="9" t="n">
        <v>0</v>
      </c>
      <c r="Q63" s="9" t="n">
        <v>69.98999999999999</v>
      </c>
      <c r="R63" s="9" t="n">
        <v>43.39</v>
      </c>
      <c r="S63" s="9" t="n">
        <v>26.6</v>
      </c>
      <c r="T63" s="10" t="n">
        <v>0.3801</v>
      </c>
    </row>
    <row r="64">
      <c r="A64" s="7" t="inlineStr">
        <is>
          <t>ORD-2024-1073</t>
        </is>
      </c>
      <c r="B64" s="7" t="inlineStr">
        <is>
          <t>2024-01-30</t>
        </is>
      </c>
      <c r="C64" s="7" t="inlineStr">
        <is>
          <t>TEC-ACC-005</t>
        </is>
      </c>
      <c r="D64" s="7" t="inlineStr">
        <is>
          <t>UltraWireless Noise-Canceling Headset</t>
        </is>
      </c>
      <c r="E64" s="7" t="inlineStr">
        <is>
          <t>Technology</t>
        </is>
      </c>
      <c r="F64" s="7" t="inlineStr">
        <is>
          <t>Audio &amp; Accessories</t>
        </is>
      </c>
      <c r="G64" s="7" t="inlineStr">
        <is>
          <t>South</t>
        </is>
      </c>
      <c r="H64" s="7" t="inlineStr">
        <is>
          <t>Florida</t>
        </is>
      </c>
      <c r="I64" s="7" t="inlineStr">
        <is>
          <t>Online</t>
        </is>
      </c>
      <c r="J64" s="7" t="inlineStr">
        <is>
          <t>Home Office</t>
        </is>
      </c>
      <c r="K64" s="8" t="n">
        <v>3</v>
      </c>
      <c r="L64" s="9" t="n">
        <v>179.99</v>
      </c>
      <c r="M64" s="10" t="n">
        <v>0.15</v>
      </c>
      <c r="N64" s="9" t="n">
        <v>111.59</v>
      </c>
      <c r="O64" s="9" t="n">
        <v>539.97</v>
      </c>
      <c r="P64" s="9" t="n">
        <v>81</v>
      </c>
      <c r="Q64" s="9" t="n">
        <v>458.97</v>
      </c>
      <c r="R64" s="9" t="n">
        <v>334.77</v>
      </c>
      <c r="S64" s="9" t="n">
        <v>124.2</v>
      </c>
      <c r="T64" s="10" t="n">
        <v>0.2706</v>
      </c>
    </row>
    <row r="65">
      <c r="A65" s="7" t="inlineStr">
        <is>
          <t>ORD-2024-1266</t>
        </is>
      </c>
      <c r="B65" s="7" t="inlineStr">
        <is>
          <t>2024-01-30</t>
        </is>
      </c>
      <c r="C65" s="7" t="inlineStr">
        <is>
          <t>OFF-DSK-007</t>
        </is>
      </c>
      <c r="D65" s="7" t="inlineStr">
        <is>
          <t>Gel Ergo Mouse Pad &amp; Wrist Rest Combo</t>
        </is>
      </c>
      <c r="E65" s="7" t="inlineStr">
        <is>
          <t>Office Supplies</t>
        </is>
      </c>
      <c r="F65" s="7" t="inlineStr">
        <is>
          <t>Desk Supplies</t>
        </is>
      </c>
      <c r="G65" s="7" t="inlineStr">
        <is>
          <t>West</t>
        </is>
      </c>
      <c r="H65" s="7" t="inlineStr">
        <is>
          <t>Washington</t>
        </is>
      </c>
      <c r="I65" s="7" t="inlineStr">
        <is>
          <t>Wholesale</t>
        </is>
      </c>
      <c r="J65" s="7" t="inlineStr">
        <is>
          <t>Corporate</t>
        </is>
      </c>
      <c r="K65" s="8" t="n">
        <v>6</v>
      </c>
      <c r="L65" s="9" t="n">
        <v>21.99</v>
      </c>
      <c r="M65" s="10" t="n">
        <v>0.15</v>
      </c>
      <c r="N65" s="9" t="n">
        <v>10.56</v>
      </c>
      <c r="O65" s="9" t="n">
        <v>131.94</v>
      </c>
      <c r="P65" s="9" t="n">
        <v>19.79</v>
      </c>
      <c r="Q65" s="9" t="n">
        <v>112.15</v>
      </c>
      <c r="R65" s="9" t="n">
        <v>63.36</v>
      </c>
      <c r="S65" s="9" t="n">
        <v>48.79</v>
      </c>
      <c r="T65" s="10" t="n">
        <v>0.435</v>
      </c>
    </row>
    <row r="66">
      <c r="A66" s="7" t="inlineStr">
        <is>
          <t>ORD-2024-1266</t>
        </is>
      </c>
      <c r="B66" s="7" t="inlineStr">
        <is>
          <t>2024-01-30</t>
        </is>
      </c>
      <c r="C66" s="7" t="inlineStr">
        <is>
          <t>OFF-DSK-007</t>
        </is>
      </c>
      <c r="D66" s="7" t="inlineStr">
        <is>
          <t>Gel Ergo Mouse Pad &amp; Wrist Rest Combo</t>
        </is>
      </c>
      <c r="E66" s="7" t="inlineStr">
        <is>
          <t>Office Supplies</t>
        </is>
      </c>
      <c r="F66" s="7" t="inlineStr">
        <is>
          <t>Desk Supplies</t>
        </is>
      </c>
      <c r="G66" s="7" t="inlineStr">
        <is>
          <t>West</t>
        </is>
      </c>
      <c r="H66" s="7" t="inlineStr">
        <is>
          <t>Washington</t>
        </is>
      </c>
      <c r="I66" s="7" t="inlineStr">
        <is>
          <t>Wholesale</t>
        </is>
      </c>
      <c r="J66" s="7" t="inlineStr">
        <is>
          <t>Corporate</t>
        </is>
      </c>
      <c r="K66" s="8" t="n">
        <v>12</v>
      </c>
      <c r="L66" s="9" t="n">
        <v>21.99</v>
      </c>
      <c r="M66" s="10" t="n">
        <v>0.1</v>
      </c>
      <c r="N66" s="9" t="n">
        <v>10.56</v>
      </c>
      <c r="O66" s="9" t="n">
        <v>263.88</v>
      </c>
      <c r="P66" s="9" t="n">
        <v>26.39</v>
      </c>
      <c r="Q66" s="9" t="n">
        <v>237.49</v>
      </c>
      <c r="R66" s="9" t="n">
        <v>126.72</v>
      </c>
      <c r="S66" s="9" t="n">
        <v>110.77</v>
      </c>
      <c r="T66" s="10" t="n">
        <v>0.4664</v>
      </c>
    </row>
    <row r="67">
      <c r="A67" s="7" t="inlineStr">
        <is>
          <t>ORD-2024-1266</t>
        </is>
      </c>
      <c r="B67" s="7" t="inlineStr">
        <is>
          <t>2024-01-30</t>
        </is>
      </c>
      <c r="C67" s="7" t="inlineStr">
        <is>
          <t>FUR-CHA-002</t>
        </is>
      </c>
      <c r="D67" s="7" t="inlineStr">
        <is>
          <t>AeroTask Operator Task Chair</t>
        </is>
      </c>
      <c r="E67" s="7" t="inlineStr">
        <is>
          <t>Furniture</t>
        </is>
      </c>
      <c r="F67" s="7" t="inlineStr">
        <is>
          <t>Chairs</t>
        </is>
      </c>
      <c r="G67" s="7" t="inlineStr">
        <is>
          <t>West</t>
        </is>
      </c>
      <c r="H67" s="7" t="inlineStr">
        <is>
          <t>Washington</t>
        </is>
      </c>
      <c r="I67" s="7" t="inlineStr">
        <is>
          <t>Wholesale</t>
        </is>
      </c>
      <c r="J67" s="7" t="inlineStr">
        <is>
          <t>Corporate</t>
        </is>
      </c>
      <c r="K67" s="8" t="n">
        <v>15</v>
      </c>
      <c r="L67" s="9" t="n">
        <v>219.99</v>
      </c>
      <c r="M67" s="10" t="n">
        <v>0.15</v>
      </c>
      <c r="N67" s="9" t="n">
        <v>171.59</v>
      </c>
      <c r="O67" s="9" t="n">
        <v>3299.85</v>
      </c>
      <c r="P67" s="9" t="n">
        <v>494.98</v>
      </c>
      <c r="Q67" s="9" t="n">
        <v>2804.87</v>
      </c>
      <c r="R67" s="9" t="n">
        <v>2573.85</v>
      </c>
      <c r="S67" s="9" t="n">
        <v>231.02</v>
      </c>
      <c r="T67" s="10" t="n">
        <v>0.0824</v>
      </c>
    </row>
    <row r="68">
      <c r="A68" s="7" t="inlineStr">
        <is>
          <t>ORD-2024-1352</t>
        </is>
      </c>
      <c r="B68" s="7" t="inlineStr">
        <is>
          <t>2024-01-30</t>
        </is>
      </c>
      <c r="C68" s="7" t="inlineStr">
        <is>
          <t>FUR-BOK-005</t>
        </is>
      </c>
      <c r="D68" s="7" t="inlineStr">
        <is>
          <t>Modular 5-Tier Steel Bookcase</t>
        </is>
      </c>
      <c r="E68" s="7" t="inlineStr">
        <is>
          <t>Furniture</t>
        </is>
      </c>
      <c r="F68" s="7" t="inlineStr">
        <is>
          <t>Bookcases</t>
        </is>
      </c>
      <c r="G68" s="7" t="inlineStr">
        <is>
          <t>East</t>
        </is>
      </c>
      <c r="H68" s="7" t="inlineStr">
        <is>
          <t>Massachusetts</t>
        </is>
      </c>
      <c r="I68" s="7" t="inlineStr">
        <is>
          <t>Wholesale</t>
        </is>
      </c>
      <c r="J68" s="7" t="inlineStr">
        <is>
          <t>Home Office</t>
        </is>
      </c>
      <c r="K68" s="8" t="n">
        <v>11</v>
      </c>
      <c r="L68" s="9" t="n">
        <v>189.99</v>
      </c>
      <c r="M68" s="10" t="n">
        <v>0.1</v>
      </c>
      <c r="N68" s="9" t="n">
        <v>142.49</v>
      </c>
      <c r="O68" s="9" t="n">
        <v>2089.89</v>
      </c>
      <c r="P68" s="9" t="n">
        <v>208.99</v>
      </c>
      <c r="Q68" s="9" t="n">
        <v>1880.9</v>
      </c>
      <c r="R68" s="9" t="n">
        <v>1567.39</v>
      </c>
      <c r="S68" s="9" t="n">
        <v>313.51</v>
      </c>
      <c r="T68" s="10" t="n">
        <v>0.1667</v>
      </c>
    </row>
    <row r="69">
      <c r="A69" s="7" t="inlineStr">
        <is>
          <t>ORD-2024-1644</t>
        </is>
      </c>
      <c r="B69" s="7" t="inlineStr">
        <is>
          <t>2024-01-30</t>
        </is>
      </c>
      <c r="C69" s="7" t="inlineStr">
        <is>
          <t>TEC-TAB-004</t>
        </is>
      </c>
      <c r="D69" s="7" t="inlineStr">
        <is>
          <t>VisionPad Lite 8.5"</t>
        </is>
      </c>
      <c r="E69" s="7" t="inlineStr">
        <is>
          <t>Technology</t>
        </is>
      </c>
      <c r="F69" s="7" t="inlineStr">
        <is>
          <t>Phones &amp; Tablets</t>
        </is>
      </c>
      <c r="G69" s="7" t="inlineStr">
        <is>
          <t>West</t>
        </is>
      </c>
      <c r="H69" s="7" t="inlineStr">
        <is>
          <t>California</t>
        </is>
      </c>
      <c r="I69" s="7" t="inlineStr">
        <is>
          <t>Online</t>
        </is>
      </c>
      <c r="J69" s="7" t="inlineStr">
        <is>
          <t>Consumer</t>
        </is>
      </c>
      <c r="K69" s="8" t="n">
        <v>2</v>
      </c>
      <c r="L69" s="9" t="n">
        <v>299.99</v>
      </c>
      <c r="M69" s="10" t="n">
        <v>0</v>
      </c>
      <c r="N69" s="9" t="n">
        <v>245.99</v>
      </c>
      <c r="O69" s="9" t="n">
        <v>599.98</v>
      </c>
      <c r="P69" s="9" t="n">
        <v>0</v>
      </c>
      <c r="Q69" s="9" t="n">
        <v>599.98</v>
      </c>
      <c r="R69" s="9" t="n">
        <v>491.98</v>
      </c>
      <c r="S69" s="9" t="n">
        <v>108</v>
      </c>
      <c r="T69" s="10" t="n">
        <v>0.18</v>
      </c>
    </row>
    <row r="70">
      <c r="A70" s="7" t="inlineStr">
        <is>
          <t>ORD-2024-1274</t>
        </is>
      </c>
      <c r="B70" s="7" t="inlineStr">
        <is>
          <t>2024-01-31</t>
        </is>
      </c>
      <c r="C70" s="7" t="inlineStr">
        <is>
          <t>TEC-LAP-002</t>
        </is>
      </c>
      <c r="D70" s="7" t="inlineStr">
        <is>
          <t>Apex Gaming Laptop 17"</t>
        </is>
      </c>
      <c r="E70" s="7" t="inlineStr">
        <is>
          <t>Technology</t>
        </is>
      </c>
      <c r="F70" s="7" t="inlineStr">
        <is>
          <t>Laptops</t>
        </is>
      </c>
      <c r="G70" s="7" t="inlineStr">
        <is>
          <t>West</t>
        </is>
      </c>
      <c r="H70" s="7" t="inlineStr">
        <is>
          <t>Oregon</t>
        </is>
      </c>
      <c r="I70" s="7" t="inlineStr">
        <is>
          <t>Retail Partner</t>
        </is>
      </c>
      <c r="J70" s="7" t="inlineStr">
        <is>
          <t>Consumer</t>
        </is>
      </c>
      <c r="K70" s="8" t="n">
        <v>3</v>
      </c>
      <c r="L70" s="9" t="n">
        <v>1499.99</v>
      </c>
      <c r="M70" s="10" t="n">
        <v>0.15</v>
      </c>
      <c r="N70" s="9" t="n">
        <v>1259.99</v>
      </c>
      <c r="O70" s="9" t="n">
        <v>4499.97</v>
      </c>
      <c r="P70" s="9" t="n">
        <v>675</v>
      </c>
      <c r="Q70" s="9" t="n">
        <v>3824.97</v>
      </c>
      <c r="R70" s="9" t="n">
        <v>3779.97</v>
      </c>
      <c r="S70" s="9" t="n">
        <v>45</v>
      </c>
      <c r="T70" s="10" t="n">
        <v>0.0118</v>
      </c>
    </row>
    <row r="71">
      <c r="A71" s="7" t="inlineStr">
        <is>
          <t>ORD-2024-1091</t>
        </is>
      </c>
      <c r="B71" s="7" t="inlineStr">
        <is>
          <t>2024-02-01</t>
        </is>
      </c>
      <c r="C71" s="7" t="inlineStr">
        <is>
          <t>FUR-BOK-005</t>
        </is>
      </c>
      <c r="D71" s="7" t="inlineStr">
        <is>
          <t>Modular 5-Tier Steel Bookcase</t>
        </is>
      </c>
      <c r="E71" s="7" t="inlineStr">
        <is>
          <t>Furniture</t>
        </is>
      </c>
      <c r="F71" s="7" t="inlineStr">
        <is>
          <t>Bookcases</t>
        </is>
      </c>
      <c r="G71" s="7" t="inlineStr">
        <is>
          <t>West</t>
        </is>
      </c>
      <c r="H71" s="7" t="inlineStr">
        <is>
          <t>Washington</t>
        </is>
      </c>
      <c r="I71" s="7" t="inlineStr">
        <is>
          <t>Online</t>
        </is>
      </c>
      <c r="J71" s="7" t="inlineStr">
        <is>
          <t>Consumer</t>
        </is>
      </c>
      <c r="K71" s="8" t="n">
        <v>3</v>
      </c>
      <c r="L71" s="9" t="n">
        <v>189.99</v>
      </c>
      <c r="M71" s="10" t="n">
        <v>0.05</v>
      </c>
      <c r="N71" s="9" t="n">
        <v>142.49</v>
      </c>
      <c r="O71" s="9" t="n">
        <v>569.97</v>
      </c>
      <c r="P71" s="9" t="n">
        <v>28.5</v>
      </c>
      <c r="Q71" s="9" t="n">
        <v>541.47</v>
      </c>
      <c r="R71" s="9" t="n">
        <v>427.47</v>
      </c>
      <c r="S71" s="9" t="n">
        <v>114</v>
      </c>
      <c r="T71" s="10" t="n">
        <v>0.2105</v>
      </c>
    </row>
    <row r="72">
      <c r="A72" s="7" t="inlineStr">
        <is>
          <t>ORD-2024-1321</t>
        </is>
      </c>
      <c r="B72" s="7" t="inlineStr">
        <is>
          <t>2024-02-01</t>
        </is>
      </c>
      <c r="C72" s="7" t="inlineStr">
        <is>
          <t>FUR-CHA-002</t>
        </is>
      </c>
      <c r="D72" s="7" t="inlineStr">
        <is>
          <t>AeroTask Operator Task Chair</t>
        </is>
      </c>
      <c r="E72" s="7" t="inlineStr">
        <is>
          <t>Furniture</t>
        </is>
      </c>
      <c r="F72" s="7" t="inlineStr">
        <is>
          <t>Chairs</t>
        </is>
      </c>
      <c r="G72" s="7" t="inlineStr">
        <is>
          <t>East</t>
        </is>
      </c>
      <c r="H72" s="7" t="inlineStr">
        <is>
          <t>Pennsylvania</t>
        </is>
      </c>
      <c r="I72" s="7" t="inlineStr">
        <is>
          <t>Direct Sales</t>
        </is>
      </c>
      <c r="J72" s="7" t="inlineStr">
        <is>
          <t>Consumer</t>
        </is>
      </c>
      <c r="K72" s="8" t="n">
        <v>2</v>
      </c>
      <c r="L72" s="9" t="n">
        <v>219.99</v>
      </c>
      <c r="M72" s="10" t="n">
        <v>0.1</v>
      </c>
      <c r="N72" s="9" t="n">
        <v>171.59</v>
      </c>
      <c r="O72" s="9" t="n">
        <v>439.98</v>
      </c>
      <c r="P72" s="9" t="n">
        <v>44</v>
      </c>
      <c r="Q72" s="9" t="n">
        <v>395.98</v>
      </c>
      <c r="R72" s="9" t="n">
        <v>343.18</v>
      </c>
      <c r="S72" s="9" t="n">
        <v>52.8</v>
      </c>
      <c r="T72" s="10" t="n">
        <v>0.1333</v>
      </c>
    </row>
    <row r="73">
      <c r="A73" s="7" t="inlineStr">
        <is>
          <t>ORD-2024-1321</t>
        </is>
      </c>
      <c r="B73" s="7" t="inlineStr">
        <is>
          <t>2024-02-01</t>
        </is>
      </c>
      <c r="C73" s="7" t="inlineStr">
        <is>
          <t>TEC-ACC-005</t>
        </is>
      </c>
      <c r="D73" s="7" t="inlineStr">
        <is>
          <t>UltraWireless Noise-Canceling Headset</t>
        </is>
      </c>
      <c r="E73" s="7" t="inlineStr">
        <is>
          <t>Technology</t>
        </is>
      </c>
      <c r="F73" s="7" t="inlineStr">
        <is>
          <t>Audio &amp; Accessories</t>
        </is>
      </c>
      <c r="G73" s="7" t="inlineStr">
        <is>
          <t>East</t>
        </is>
      </c>
      <c r="H73" s="7" t="inlineStr">
        <is>
          <t>Pennsylvania</t>
        </is>
      </c>
      <c r="I73" s="7" t="inlineStr">
        <is>
          <t>Direct Sales</t>
        </is>
      </c>
      <c r="J73" s="7" t="inlineStr">
        <is>
          <t>Consumer</t>
        </is>
      </c>
      <c r="K73" s="8" t="n">
        <v>3</v>
      </c>
      <c r="L73" s="9" t="n">
        <v>179.99</v>
      </c>
      <c r="M73" s="10" t="n">
        <v>0.05</v>
      </c>
      <c r="N73" s="9" t="n">
        <v>111.59</v>
      </c>
      <c r="O73" s="9" t="n">
        <v>539.97</v>
      </c>
      <c r="P73" s="9" t="n">
        <v>27</v>
      </c>
      <c r="Q73" s="9" t="n">
        <v>512.97</v>
      </c>
      <c r="R73" s="9" t="n">
        <v>334.77</v>
      </c>
      <c r="S73" s="9" t="n">
        <v>178.2</v>
      </c>
      <c r="T73" s="10" t="n">
        <v>0.3474</v>
      </c>
    </row>
    <row r="74">
      <c r="A74" s="7" t="inlineStr">
        <is>
          <t>ORD-2024-1321</t>
        </is>
      </c>
      <c r="B74" s="7" t="inlineStr">
        <is>
          <t>2024-02-01</t>
        </is>
      </c>
      <c r="C74" s="7" t="inlineStr">
        <is>
          <t>FUR-CHA-002</t>
        </is>
      </c>
      <c r="D74" s="7" t="inlineStr">
        <is>
          <t>AeroTask Operator Task Chair</t>
        </is>
      </c>
      <c r="E74" s="7" t="inlineStr">
        <is>
          <t>Furniture</t>
        </is>
      </c>
      <c r="F74" s="7" t="inlineStr">
        <is>
          <t>Chairs</t>
        </is>
      </c>
      <c r="G74" s="7" t="inlineStr">
        <is>
          <t>East</t>
        </is>
      </c>
      <c r="H74" s="7" t="inlineStr">
        <is>
          <t>Pennsylvania</t>
        </is>
      </c>
      <c r="I74" s="7" t="inlineStr">
        <is>
          <t>Direct Sales</t>
        </is>
      </c>
      <c r="J74" s="7" t="inlineStr">
        <is>
          <t>Consumer</t>
        </is>
      </c>
      <c r="K74" s="8" t="n">
        <v>3</v>
      </c>
      <c r="L74" s="9" t="n">
        <v>219.99</v>
      </c>
      <c r="M74" s="10" t="n">
        <v>0</v>
      </c>
      <c r="N74" s="9" t="n">
        <v>171.59</v>
      </c>
      <c r="O74" s="9" t="n">
        <v>659.97</v>
      </c>
      <c r="P74" s="9" t="n">
        <v>0</v>
      </c>
      <c r="Q74" s="9" t="n">
        <v>659.97</v>
      </c>
      <c r="R74" s="9" t="n">
        <v>514.77</v>
      </c>
      <c r="S74" s="9" t="n">
        <v>145.2</v>
      </c>
      <c r="T74" s="10" t="n">
        <v>0.22</v>
      </c>
    </row>
    <row r="75">
      <c r="A75" s="7" t="inlineStr">
        <is>
          <t>ORD-2024-1531</t>
        </is>
      </c>
      <c r="B75" s="7" t="inlineStr">
        <is>
          <t>2024-02-03</t>
        </is>
      </c>
      <c r="C75" s="7" t="inlineStr">
        <is>
          <t>TEC-LAP-002</t>
        </is>
      </c>
      <c r="D75" s="7" t="inlineStr">
        <is>
          <t>Apex Gaming Laptop 17"</t>
        </is>
      </c>
      <c r="E75" s="7" t="inlineStr">
        <is>
          <t>Technology</t>
        </is>
      </c>
      <c r="F75" s="7" t="inlineStr">
        <is>
          <t>Laptops</t>
        </is>
      </c>
      <c r="G75" s="7" t="inlineStr">
        <is>
          <t>Central</t>
        </is>
      </c>
      <c r="H75" s="7" t="inlineStr">
        <is>
          <t>Michigan</t>
        </is>
      </c>
      <c r="I75" s="7" t="inlineStr">
        <is>
          <t>Online</t>
        </is>
      </c>
      <c r="J75" s="7" t="inlineStr">
        <is>
          <t>Consumer</t>
        </is>
      </c>
      <c r="K75" s="8" t="n">
        <v>3</v>
      </c>
      <c r="L75" s="9" t="n">
        <v>1499.99</v>
      </c>
      <c r="M75" s="10" t="n">
        <v>0.15</v>
      </c>
      <c r="N75" s="9" t="n">
        <v>1259.99</v>
      </c>
      <c r="O75" s="9" t="n">
        <v>4499.97</v>
      </c>
      <c r="P75" s="9" t="n">
        <v>675</v>
      </c>
      <c r="Q75" s="9" t="n">
        <v>3824.97</v>
      </c>
      <c r="R75" s="9" t="n">
        <v>3779.97</v>
      </c>
      <c r="S75" s="9" t="n">
        <v>45</v>
      </c>
      <c r="T75" s="10" t="n">
        <v>0.0118</v>
      </c>
    </row>
    <row r="76">
      <c r="A76" s="7" t="inlineStr">
        <is>
          <t>ORD-2024-1074</t>
        </is>
      </c>
      <c r="B76" s="7" t="inlineStr">
        <is>
          <t>2024-02-04</t>
        </is>
      </c>
      <c r="C76" s="7" t="inlineStr">
        <is>
          <t>OFF-PAP-004</t>
        </is>
      </c>
      <c r="D76" s="7" t="inlineStr">
        <is>
          <t>EcoRecycled Copy Paper (5 Reams)</t>
        </is>
      </c>
      <c r="E76" s="7" t="inlineStr">
        <is>
          <t>Office Supplies</t>
        </is>
      </c>
      <c r="F76" s="7" t="inlineStr">
        <is>
          <t>Paper Products</t>
        </is>
      </c>
      <c r="G76" s="7" t="inlineStr">
        <is>
          <t>East</t>
        </is>
      </c>
      <c r="H76" s="7" t="inlineStr">
        <is>
          <t>New York</t>
        </is>
      </c>
      <c r="I76" s="7" t="inlineStr">
        <is>
          <t>Wholesale</t>
        </is>
      </c>
      <c r="J76" s="7" t="inlineStr">
        <is>
          <t>Corporate</t>
        </is>
      </c>
      <c r="K76" s="8" t="n">
        <v>7</v>
      </c>
      <c r="L76" s="9" t="n">
        <v>32.99</v>
      </c>
      <c r="M76" s="10" t="n">
        <v>0.15</v>
      </c>
      <c r="N76" s="9" t="n">
        <v>19.79</v>
      </c>
      <c r="O76" s="9" t="n">
        <v>230.93</v>
      </c>
      <c r="P76" s="9" t="n">
        <v>34.64</v>
      </c>
      <c r="Q76" s="9" t="n">
        <v>196.29</v>
      </c>
      <c r="R76" s="9" t="n">
        <v>138.53</v>
      </c>
      <c r="S76" s="9" t="n">
        <v>57.76</v>
      </c>
      <c r="T76" s="10" t="n">
        <v>0.2943</v>
      </c>
    </row>
    <row r="77">
      <c r="A77" s="7" t="inlineStr">
        <is>
          <t>ORD-2024-1177</t>
        </is>
      </c>
      <c r="B77" s="7" t="inlineStr">
        <is>
          <t>2024-02-04</t>
        </is>
      </c>
      <c r="C77" s="7" t="inlineStr">
        <is>
          <t>OFF-BIN-005</t>
        </is>
      </c>
      <c r="D77" s="7" t="inlineStr">
        <is>
          <t>Heavy-Duty D-Ring Presentation Binder (6-Pk)</t>
        </is>
      </c>
      <c r="E77" s="7" t="inlineStr">
        <is>
          <t>Office Supplies</t>
        </is>
      </c>
      <c r="F77" s="7" t="inlineStr">
        <is>
          <t>Binders &amp; Fasteners</t>
        </is>
      </c>
      <c r="G77" s="7" t="inlineStr">
        <is>
          <t>East</t>
        </is>
      </c>
      <c r="H77" s="7" t="inlineStr">
        <is>
          <t>New York</t>
        </is>
      </c>
      <c r="I77" s="7" t="inlineStr">
        <is>
          <t>Online</t>
        </is>
      </c>
      <c r="J77" s="7" t="inlineStr">
        <is>
          <t>Consumer</t>
        </is>
      </c>
      <c r="K77" s="8" t="n">
        <v>3</v>
      </c>
      <c r="L77" s="9" t="n">
        <v>27.99</v>
      </c>
      <c r="M77" s="10" t="n">
        <v>0</v>
      </c>
      <c r="N77" s="9" t="n">
        <v>13.99</v>
      </c>
      <c r="O77" s="9" t="n">
        <v>83.97</v>
      </c>
      <c r="P77" s="9" t="n">
        <v>0</v>
      </c>
      <c r="Q77" s="9" t="n">
        <v>83.97</v>
      </c>
      <c r="R77" s="9" t="n">
        <v>41.97</v>
      </c>
      <c r="S77" s="9" t="n">
        <v>42</v>
      </c>
      <c r="T77" s="10" t="n">
        <v>0.5002</v>
      </c>
    </row>
    <row r="78">
      <c r="A78" s="7" t="inlineStr">
        <is>
          <t>ORD-2024-1269</t>
        </is>
      </c>
      <c r="B78" s="7" t="inlineStr">
        <is>
          <t>2024-02-04</t>
        </is>
      </c>
      <c r="C78" s="7" t="inlineStr">
        <is>
          <t>TEC-ACC-008</t>
        </is>
      </c>
      <c r="D78" s="7" t="inlineStr">
        <is>
          <t>Precision Laser Bluetooth Mouse</t>
        </is>
      </c>
      <c r="E78" s="7" t="inlineStr">
        <is>
          <t>Technology</t>
        </is>
      </c>
      <c r="F78" s="7" t="inlineStr">
        <is>
          <t>Audio &amp; Accessories</t>
        </is>
      </c>
      <c r="G78" s="7" t="inlineStr">
        <is>
          <t>Central</t>
        </is>
      </c>
      <c r="H78" s="7" t="inlineStr">
        <is>
          <t>Illinois</t>
        </is>
      </c>
      <c r="I78" s="7" t="inlineStr">
        <is>
          <t>Wholesale</t>
        </is>
      </c>
      <c r="J78" s="7" t="inlineStr">
        <is>
          <t>Consumer</t>
        </is>
      </c>
      <c r="K78" s="8" t="n">
        <v>13</v>
      </c>
      <c r="L78" s="9" t="n">
        <v>49.99</v>
      </c>
      <c r="M78" s="10" t="n">
        <v>0.1</v>
      </c>
      <c r="N78" s="9" t="n">
        <v>27.49</v>
      </c>
      <c r="O78" s="9" t="n">
        <v>649.87</v>
      </c>
      <c r="P78" s="9" t="n">
        <v>64.98999999999999</v>
      </c>
      <c r="Q78" s="9" t="n">
        <v>584.88</v>
      </c>
      <c r="R78" s="9" t="n">
        <v>357.37</v>
      </c>
      <c r="S78" s="9" t="n">
        <v>227.51</v>
      </c>
      <c r="T78" s="10" t="n">
        <v>0.389</v>
      </c>
    </row>
    <row r="79">
      <c r="A79" s="7" t="inlineStr">
        <is>
          <t>ORD-2024-1349</t>
        </is>
      </c>
      <c r="B79" s="7" t="inlineStr">
        <is>
          <t>2024-02-04</t>
        </is>
      </c>
      <c r="C79" s="7" t="inlineStr">
        <is>
          <t>TEC-TAB-003</t>
        </is>
      </c>
      <c r="D79" s="7" t="inlineStr">
        <is>
          <t>VisionPad Pro 11"</t>
        </is>
      </c>
      <c r="E79" s="7" t="inlineStr">
        <is>
          <t>Technology</t>
        </is>
      </c>
      <c r="F79" s="7" t="inlineStr">
        <is>
          <t>Phones &amp; Tablets</t>
        </is>
      </c>
      <c r="G79" s="7" t="inlineStr">
        <is>
          <t>West</t>
        </is>
      </c>
      <c r="H79" s="7" t="inlineStr">
        <is>
          <t>Oregon</t>
        </is>
      </c>
      <c r="I79" s="7" t="inlineStr">
        <is>
          <t>Online</t>
        </is>
      </c>
      <c r="J79" s="7" t="inlineStr">
        <is>
          <t>Corporate</t>
        </is>
      </c>
      <c r="K79" s="8" t="n">
        <v>6</v>
      </c>
      <c r="L79" s="9" t="n">
        <v>649.99</v>
      </c>
      <c r="M79" s="10" t="n">
        <v>0.05</v>
      </c>
      <c r="N79" s="9" t="n">
        <v>487.49</v>
      </c>
      <c r="O79" s="9" t="n">
        <v>3899.94</v>
      </c>
      <c r="P79" s="9" t="n">
        <v>195</v>
      </c>
      <c r="Q79" s="9" t="n">
        <v>3704.94</v>
      </c>
      <c r="R79" s="9" t="n">
        <v>2924.94</v>
      </c>
      <c r="S79" s="9" t="n">
        <v>780</v>
      </c>
      <c r="T79" s="10" t="n">
        <v>0.2105</v>
      </c>
    </row>
    <row r="80">
      <c r="A80" s="7" t="inlineStr">
        <is>
          <t>ORD-2024-1187</t>
        </is>
      </c>
      <c r="B80" s="7" t="inlineStr">
        <is>
          <t>2024-02-06</t>
        </is>
      </c>
      <c r="C80" s="7" t="inlineStr">
        <is>
          <t>TEC-ACC-006</t>
        </is>
      </c>
      <c r="D80" s="7" t="inlineStr">
        <is>
          <t>MultiPort Thunderbolt 4 Dock</t>
        </is>
      </c>
      <c r="E80" s="7" t="inlineStr">
        <is>
          <t>Technology</t>
        </is>
      </c>
      <c r="F80" s="7" t="inlineStr">
        <is>
          <t>Audio &amp; Accessories</t>
        </is>
      </c>
      <c r="G80" s="7" t="inlineStr">
        <is>
          <t xml:space="preserve">west </t>
        </is>
      </c>
      <c r="H80" s="7" t="inlineStr">
        <is>
          <t>Pennsylvania</t>
        </is>
      </c>
      <c r="I80" s="7" t="inlineStr">
        <is>
          <t>Online</t>
        </is>
      </c>
      <c r="J80" s="7" t="inlineStr">
        <is>
          <t>Corporate</t>
        </is>
      </c>
      <c r="K80" s="8" t="n">
        <v>6</v>
      </c>
      <c r="L80" s="9" t="n">
        <v>149.99</v>
      </c>
      <c r="M80" s="10" t="n">
        <v>0.1</v>
      </c>
      <c r="N80" s="9" t="n">
        <v>98.98999999999999</v>
      </c>
      <c r="O80" s="9" t="n">
        <v>899.9400000000001</v>
      </c>
      <c r="P80" s="9" t="n">
        <v>89.98999999999999</v>
      </c>
      <c r="Q80" s="9" t="n">
        <v>809.95</v>
      </c>
      <c r="R80" s="9" t="n">
        <v>593.9400000000001</v>
      </c>
      <c r="S80" s="9" t="n">
        <v>216.01</v>
      </c>
      <c r="T80" s="10" t="n">
        <v>0.2667</v>
      </c>
    </row>
    <row r="81">
      <c r="A81" s="7" t="inlineStr">
        <is>
          <t>ORD-2024-1662</t>
        </is>
      </c>
      <c r="B81" s="7" t="inlineStr">
        <is>
          <t>2024-02-06</t>
        </is>
      </c>
      <c r="C81" s="7" t="inlineStr">
        <is>
          <t>OFF-ART-006</t>
        </is>
      </c>
      <c r="D81" s="7" t="inlineStr">
        <is>
          <t>Professional Presentation Dry Erase Board</t>
        </is>
      </c>
      <c r="E81" s="7" t="inlineStr">
        <is>
          <t>Office Supplies</t>
        </is>
      </c>
      <c r="F81" s="7" t="inlineStr">
        <is>
          <t>Presentation &amp; Art</t>
        </is>
      </c>
      <c r="G81" s="7" t="inlineStr">
        <is>
          <t>West</t>
        </is>
      </c>
      <c r="H81" s="7" t="inlineStr">
        <is>
          <t>Oregon</t>
        </is>
      </c>
      <c r="I81" s="7" t="inlineStr">
        <is>
          <t>Direct Sales</t>
        </is>
      </c>
      <c r="J81" s="7" t="inlineStr">
        <is>
          <t>Corporate</t>
        </is>
      </c>
      <c r="K81" s="8" t="n">
        <v>6</v>
      </c>
      <c r="L81" s="9" t="n">
        <v>89.98999999999999</v>
      </c>
      <c r="M81" s="10" t="n">
        <v>0.05</v>
      </c>
      <c r="N81" s="9" t="n">
        <v>53.99</v>
      </c>
      <c r="O81" s="9" t="n">
        <v>539.9400000000001</v>
      </c>
      <c r="P81" s="9" t="n">
        <v>27</v>
      </c>
      <c r="Q81" s="9" t="n">
        <v>512.9400000000001</v>
      </c>
      <c r="R81" s="9" t="n">
        <v>323.94</v>
      </c>
      <c r="S81" s="9" t="n">
        <v>189</v>
      </c>
      <c r="T81" s="10" t="n">
        <v>0.3685</v>
      </c>
    </row>
    <row r="82">
      <c r="A82" s="7" t="inlineStr">
        <is>
          <t>ORD-2024-1058</t>
        </is>
      </c>
      <c r="B82" s="7" t="inlineStr">
        <is>
          <t>2024-02-07</t>
        </is>
      </c>
      <c r="C82" s="7" t="inlineStr">
        <is>
          <t>TEC-LAP-002</t>
        </is>
      </c>
      <c r="D82" s="7" t="inlineStr">
        <is>
          <t>Apex Gaming Laptop 17"</t>
        </is>
      </c>
      <c r="E82" s="7" t="inlineStr">
        <is>
          <t>Technology</t>
        </is>
      </c>
      <c r="F82" s="7" t="inlineStr">
        <is>
          <t>Laptops</t>
        </is>
      </c>
      <c r="G82" s="7" t="inlineStr">
        <is>
          <t>West</t>
        </is>
      </c>
      <c r="H82" s="7" t="inlineStr">
        <is>
          <t>Colorado</t>
        </is>
      </c>
      <c r="I82" s="7" t="inlineStr">
        <is>
          <t>Online</t>
        </is>
      </c>
      <c r="J82" s="7" t="inlineStr">
        <is>
          <t>Corporate</t>
        </is>
      </c>
      <c r="K82" s="8" t="n">
        <v>3</v>
      </c>
      <c r="L82" s="9" t="n">
        <v>1499.99</v>
      </c>
      <c r="M82" s="10" t="n">
        <v>0.15</v>
      </c>
      <c r="N82" s="9" t="n">
        <v>1259.99</v>
      </c>
      <c r="O82" s="9" t="n">
        <v>4499.97</v>
      </c>
      <c r="P82" s="9" t="n">
        <v>675</v>
      </c>
      <c r="Q82" s="9" t="n">
        <v>3824.97</v>
      </c>
      <c r="R82" s="9" t="n">
        <v>3779.97</v>
      </c>
      <c r="S82" s="9" t="n">
        <v>45</v>
      </c>
      <c r="T82" s="10" t="n">
        <v>0.0118</v>
      </c>
    </row>
    <row r="83">
      <c r="A83" s="7" t="inlineStr">
        <is>
          <t>ORD-2024-1186</t>
        </is>
      </c>
      <c r="B83" s="7" t="inlineStr">
        <is>
          <t>2024-02-07</t>
        </is>
      </c>
      <c r="C83" s="7" t="inlineStr">
        <is>
          <t>OFF-DSK-008</t>
        </is>
      </c>
      <c r="D83" s="7" t="inlineStr">
        <is>
          <t>Steel Desktop Mesh Organizer Caddy</t>
        </is>
      </c>
      <c r="E83" s="7" t="inlineStr">
        <is>
          <t>Office Supplies</t>
        </is>
      </c>
      <c r="F83" s="7" t="inlineStr">
        <is>
          <t>Desk Supplies</t>
        </is>
      </c>
      <c r="G83" s="7" t="inlineStr">
        <is>
          <t>South</t>
        </is>
      </c>
      <c r="H83" s="7" t="inlineStr">
        <is>
          <t>North Carolina</t>
        </is>
      </c>
      <c r="I83" s="7" t="inlineStr">
        <is>
          <t>Retail Partner</t>
        </is>
      </c>
      <c r="J83" s="7" t="inlineStr">
        <is>
          <t>Consumer</t>
        </is>
      </c>
      <c r="K83" s="8" t="n">
        <v>1</v>
      </c>
      <c r="L83" s="9" t="n">
        <v>18.99</v>
      </c>
      <c r="M83" s="10" t="n">
        <v>0.05</v>
      </c>
      <c r="N83" s="9" t="n">
        <v>8.550000000000001</v>
      </c>
      <c r="O83" s="9" t="n">
        <v>18.99</v>
      </c>
      <c r="P83" s="9" t="n">
        <v>0.95</v>
      </c>
      <c r="Q83" s="9" t="n">
        <v>18.04</v>
      </c>
      <c r="R83" s="9" t="n">
        <v>8.550000000000001</v>
      </c>
      <c r="S83" s="9" t="n">
        <v>9.49</v>
      </c>
      <c r="T83" s="10" t="n">
        <v>0.5261</v>
      </c>
    </row>
    <row r="84">
      <c r="A84" s="7" t="inlineStr">
        <is>
          <t>ORD-2024-1452</t>
        </is>
      </c>
      <c r="B84" s="7" t="inlineStr">
        <is>
          <t>2024-02-07</t>
        </is>
      </c>
      <c r="C84" s="7" t="inlineStr">
        <is>
          <t>OFF-STR-002</t>
        </is>
      </c>
      <c r="D84" s="7" t="inlineStr">
        <is>
          <t>Stackable Heavy-Duty Storage Bins (4-Pk)</t>
        </is>
      </c>
      <c r="E84" s="7" t="inlineStr">
        <is>
          <t>Office Supplies</t>
        </is>
      </c>
      <c r="F84" s="7" t="inlineStr">
        <is>
          <t>Storage &amp; Organizers</t>
        </is>
      </c>
      <c r="G84" s="7" t="inlineStr">
        <is>
          <t>South</t>
        </is>
      </c>
      <c r="H84" s="7" t="inlineStr">
        <is>
          <t>Georgia</t>
        </is>
      </c>
      <c r="I84" s="7" t="inlineStr">
        <is>
          <t>Direct Sales</t>
        </is>
      </c>
      <c r="J84" s="7" t="inlineStr">
        <is>
          <t>Consumer</t>
        </is>
      </c>
      <c r="K84" s="8" t="n">
        <v>4</v>
      </c>
      <c r="L84" s="9" t="n">
        <v>44.99</v>
      </c>
      <c r="M84" s="10" t="n">
        <v>0.1</v>
      </c>
      <c r="N84" s="9" t="n">
        <v>24.74</v>
      </c>
      <c r="O84" s="9" t="n">
        <v>179.96</v>
      </c>
      <c r="P84" s="9" t="n">
        <v>18</v>
      </c>
      <c r="Q84" s="9" t="n">
        <v>161.96</v>
      </c>
      <c r="R84" s="9" t="n">
        <v>98.95999999999999</v>
      </c>
      <c r="S84" s="9" t="n">
        <v>63</v>
      </c>
      <c r="T84" s="10" t="n">
        <v>0.389</v>
      </c>
    </row>
    <row r="85">
      <c r="A85" s="7" t="inlineStr">
        <is>
          <t>ORD-2024-1452</t>
        </is>
      </c>
      <c r="B85" s="7" t="inlineStr">
        <is>
          <t>2024-02-07</t>
        </is>
      </c>
      <c r="C85" s="7" t="inlineStr">
        <is>
          <t>OFF-STR-002</t>
        </is>
      </c>
      <c r="D85" s="7" t="inlineStr">
        <is>
          <t>Stackable Heavy-Duty Storage Bins (4-Pk)</t>
        </is>
      </c>
      <c r="E85" s="7" t="inlineStr">
        <is>
          <t>Office Supplies</t>
        </is>
      </c>
      <c r="F85" s="7" t="inlineStr">
        <is>
          <t>Storage &amp; Organizers</t>
        </is>
      </c>
      <c r="G85" s="7" t="inlineStr">
        <is>
          <t>South</t>
        </is>
      </c>
      <c r="H85" s="7" t="inlineStr">
        <is>
          <t>Georgia</t>
        </is>
      </c>
      <c r="I85" s="7" t="inlineStr">
        <is>
          <t>Direct Sales</t>
        </is>
      </c>
      <c r="J85" s="7" t="inlineStr">
        <is>
          <t>Consumer</t>
        </is>
      </c>
      <c r="K85" s="8" t="n">
        <v>3</v>
      </c>
      <c r="L85" s="9" t="n">
        <v>44.99</v>
      </c>
      <c r="M85" s="10" t="n">
        <v>0</v>
      </c>
      <c r="N85" s="9" t="n">
        <v>24.74</v>
      </c>
      <c r="O85" s="9" t="n">
        <v>134.97</v>
      </c>
      <c r="P85" s="9" t="n">
        <v>0</v>
      </c>
      <c r="Q85" s="9" t="n">
        <v>134.97</v>
      </c>
      <c r="R85" s="9" t="n">
        <v>74.22</v>
      </c>
      <c r="S85" s="9" t="n">
        <v>60.75</v>
      </c>
      <c r="T85" s="10" t="n">
        <v>0.4501</v>
      </c>
    </row>
    <row r="86">
      <c r="A86" s="7" t="inlineStr">
        <is>
          <t>ORD-2024-1191</t>
        </is>
      </c>
      <c r="B86" s="7" t="inlineStr">
        <is>
          <t>2024-02-09</t>
        </is>
      </c>
      <c r="C86" s="7" t="inlineStr">
        <is>
          <t>FUR-LGT-006</t>
        </is>
      </c>
      <c r="D86" s="7" t="inlineStr">
        <is>
          <t>Architect LED Desk Task Lamp</t>
        </is>
      </c>
      <c r="E86" s="7" t="inlineStr">
        <is>
          <t>Furniture</t>
        </is>
      </c>
      <c r="F86" s="7" t="inlineStr">
        <is>
          <t>Lighting</t>
        </is>
      </c>
      <c r="G86" s="7" t="inlineStr">
        <is>
          <t>Central</t>
        </is>
      </c>
      <c r="H86" s="7" t="inlineStr">
        <is>
          <t>Texas</t>
        </is>
      </c>
      <c r="I86" s="7" t="inlineStr">
        <is>
          <t>Direct Sales</t>
        </is>
      </c>
      <c r="J86" s="7" t="inlineStr">
        <is>
          <t>Consumer</t>
        </is>
      </c>
      <c r="K86" s="8" t="n">
        <v>1</v>
      </c>
      <c r="L86" s="9" t="n">
        <v>69.98999999999999</v>
      </c>
      <c r="M86" s="10" t="n">
        <v>0</v>
      </c>
      <c r="N86" s="9" t="n">
        <v>43.39</v>
      </c>
      <c r="O86" s="9" t="n">
        <v>69.98999999999999</v>
      </c>
      <c r="P86" s="9" t="n">
        <v>0</v>
      </c>
      <c r="Q86" s="9" t="n">
        <v>69.98999999999999</v>
      </c>
      <c r="R86" s="9" t="n">
        <v>43.39</v>
      </c>
      <c r="S86" s="9" t="n">
        <v>26.6</v>
      </c>
      <c r="T86" s="10" t="n">
        <v>0.3801</v>
      </c>
    </row>
    <row r="87">
      <c r="A87" s="7" t="inlineStr">
        <is>
          <t>ORD-2024-1191</t>
        </is>
      </c>
      <c r="B87" s="7" t="inlineStr">
        <is>
          <t>2024-02-09</t>
        </is>
      </c>
      <c r="C87" s="7" t="inlineStr">
        <is>
          <t>OFF-PAP-004</t>
        </is>
      </c>
      <c r="D87" s="7" t="inlineStr">
        <is>
          <t>EcoRecycled Copy Paper (5 Reams)</t>
        </is>
      </c>
      <c r="E87" s="7" t="inlineStr">
        <is>
          <t>Office Supplies</t>
        </is>
      </c>
      <c r="F87" s="7" t="inlineStr">
        <is>
          <t>Paper Products</t>
        </is>
      </c>
      <c r="G87" s="7" t="inlineStr">
        <is>
          <t>Central</t>
        </is>
      </c>
      <c r="H87" s="7" t="inlineStr">
        <is>
          <t>Texas</t>
        </is>
      </c>
      <c r="I87" s="7" t="inlineStr">
        <is>
          <t>Direct Sales</t>
        </is>
      </c>
      <c r="J87" s="7" t="inlineStr">
        <is>
          <t>Consumer</t>
        </is>
      </c>
      <c r="K87" s="8" t="n">
        <v>2</v>
      </c>
      <c r="L87" s="9" t="n">
        <v>32.99</v>
      </c>
      <c r="M87" s="10" t="n">
        <v>0</v>
      </c>
      <c r="N87" s="9" t="n">
        <v>19.79</v>
      </c>
      <c r="O87" s="9" t="n">
        <v>65.98</v>
      </c>
      <c r="P87" s="9" t="n">
        <v>0</v>
      </c>
      <c r="Q87" s="9" t="n">
        <v>65.98</v>
      </c>
      <c r="R87" s="9" t="n">
        <v>39.58</v>
      </c>
      <c r="S87" s="9" t="n">
        <v>26.4</v>
      </c>
      <c r="T87" s="10" t="n">
        <v>0.4001</v>
      </c>
    </row>
    <row r="88">
      <c r="A88" s="7" t="inlineStr">
        <is>
          <t>ORD-2024-1191</t>
        </is>
      </c>
      <c r="B88" s="7" t="inlineStr">
        <is>
          <t>2024-02-09</t>
        </is>
      </c>
      <c r="C88" s="7" t="inlineStr">
        <is>
          <t>OFF-DSK-007</t>
        </is>
      </c>
      <c r="D88" s="7" t="inlineStr">
        <is>
          <t>Gel Ergo Mouse Pad &amp; Wrist Rest Combo</t>
        </is>
      </c>
      <c r="E88" s="7" t="inlineStr">
        <is>
          <t>Office Supplies</t>
        </is>
      </c>
      <c r="F88" s="7" t="inlineStr">
        <is>
          <t>Desk Supplies</t>
        </is>
      </c>
      <c r="G88" s="7" t="inlineStr">
        <is>
          <t>Central</t>
        </is>
      </c>
      <c r="H88" s="7" t="inlineStr">
        <is>
          <t>Texas</t>
        </is>
      </c>
      <c r="I88" s="7" t="inlineStr">
        <is>
          <t>Direct Sales</t>
        </is>
      </c>
      <c r="J88" s="7" t="inlineStr">
        <is>
          <t>Consumer</t>
        </is>
      </c>
      <c r="K88" s="8" t="n">
        <v>2</v>
      </c>
      <c r="L88" s="9" t="n">
        <v>21.99</v>
      </c>
      <c r="M88" s="10" t="n">
        <v>0.1</v>
      </c>
      <c r="N88" s="9" t="n">
        <v>10.56</v>
      </c>
      <c r="O88" s="9" t="n">
        <v>43.98</v>
      </c>
      <c r="P88" s="9" t="n">
        <v>4.4</v>
      </c>
      <c r="Q88" s="9" t="n">
        <v>39.58</v>
      </c>
      <c r="R88" s="9" t="n">
        <v>21.12</v>
      </c>
      <c r="S88" s="9" t="n">
        <v>18.46</v>
      </c>
      <c r="T88" s="10" t="n">
        <v>0.4664</v>
      </c>
    </row>
    <row r="89">
      <c r="A89" s="7" t="inlineStr">
        <is>
          <t>ORD-2024-1420</t>
        </is>
      </c>
      <c r="B89" s="7" t="inlineStr">
        <is>
          <t>2024-02-09</t>
        </is>
      </c>
      <c r="C89" s="7" t="inlineStr">
        <is>
          <t>OFF-STR-001</t>
        </is>
      </c>
      <c r="D89" s="7" t="inlineStr">
        <is>
          <t>SteelLock 3-Drawer File Cabinet</t>
        </is>
      </c>
      <c r="E89" s="7" t="inlineStr">
        <is>
          <t>Office Supplies</t>
        </is>
      </c>
      <c r="F89" s="7" t="inlineStr">
        <is>
          <t>Storage &amp; Organizers</t>
        </is>
      </c>
      <c r="G89" s="7" t="inlineStr">
        <is>
          <t>West</t>
        </is>
      </c>
      <c r="H89" s="7" t="inlineStr">
        <is>
          <t>Oregon</t>
        </is>
      </c>
      <c r="I89" s="7" t="inlineStr">
        <is>
          <t>Direct Sales</t>
        </is>
      </c>
      <c r="J89" s="7" t="inlineStr">
        <is>
          <t>Consumer</t>
        </is>
      </c>
      <c r="K89" s="8" t="n">
        <v>2</v>
      </c>
      <c r="L89" s="9" t="n">
        <v>169.99</v>
      </c>
      <c r="M89" s="10" t="n">
        <v>0</v>
      </c>
      <c r="N89" s="9" t="n">
        <v>115.59</v>
      </c>
      <c r="O89" s="9" t="n">
        <v>339.98</v>
      </c>
      <c r="P89" s="9" t="n">
        <v>0</v>
      </c>
      <c r="Q89" s="9" t="n">
        <v>339.98</v>
      </c>
      <c r="R89" s="9" t="n">
        <v>231.18</v>
      </c>
      <c r="S89" s="9" t="n">
        <v>108.8</v>
      </c>
      <c r="T89" s="10" t="n">
        <v>0.32</v>
      </c>
    </row>
    <row r="90">
      <c r="A90" s="7" t="inlineStr">
        <is>
          <t>ORD-2024-1420</t>
        </is>
      </c>
      <c r="B90" s="7" t="inlineStr">
        <is>
          <t>2024-02-09</t>
        </is>
      </c>
      <c r="C90" s="7" t="inlineStr">
        <is>
          <t>OFF-ART-006</t>
        </is>
      </c>
      <c r="D90" s="7" t="inlineStr">
        <is>
          <t>Professional Presentation Dry Erase Board</t>
        </is>
      </c>
      <c r="E90" s="7" t="inlineStr">
        <is>
          <t>Office Supplies</t>
        </is>
      </c>
      <c r="F90" s="7" t="inlineStr">
        <is>
          <t>Presentation &amp; Art</t>
        </is>
      </c>
      <c r="G90" s="7" t="inlineStr">
        <is>
          <t>West</t>
        </is>
      </c>
      <c r="H90" s="7" t="inlineStr">
        <is>
          <t>Oregon</t>
        </is>
      </c>
      <c r="I90" s="7" t="inlineStr">
        <is>
          <t>Direct Sales</t>
        </is>
      </c>
      <c r="J90" s="7" t="inlineStr">
        <is>
          <t>Consumer</t>
        </is>
      </c>
      <c r="K90" s="8" t="n">
        <v>3</v>
      </c>
      <c r="L90" s="9" t="n">
        <v>89.98999999999999</v>
      </c>
      <c r="M90" s="10" t="n">
        <v>0</v>
      </c>
      <c r="N90" s="9" t="n">
        <v>53.99</v>
      </c>
      <c r="O90" s="9" t="n">
        <v>269.97</v>
      </c>
      <c r="P90" s="9" t="n">
        <v>0</v>
      </c>
      <c r="Q90" s="9" t="n">
        <v>269.97</v>
      </c>
      <c r="R90" s="9" t="n">
        <v>161.97</v>
      </c>
      <c r="S90" s="9" t="n">
        <v>108</v>
      </c>
      <c r="T90" s="10" t="n">
        <v>0.4</v>
      </c>
    </row>
    <row r="91">
      <c r="A91" s="7" t="inlineStr">
        <is>
          <t>ORD-2024-1020</t>
        </is>
      </c>
      <c r="B91" s="7" t="inlineStr">
        <is>
          <t>2024-02-11</t>
        </is>
      </c>
      <c r="C91" s="7" t="inlineStr">
        <is>
          <t>TEC-ACC-008</t>
        </is>
      </c>
      <c r="D91" s="7" t="inlineStr">
        <is>
          <t>Precision Laser Bluetooth Mouse</t>
        </is>
      </c>
      <c r="E91" s="7" t="inlineStr">
        <is>
          <t>Technology</t>
        </is>
      </c>
      <c r="F91" s="7" t="inlineStr">
        <is>
          <t>Audio &amp; Accessories</t>
        </is>
      </c>
      <c r="G91" s="7" t="inlineStr">
        <is>
          <t>West</t>
        </is>
      </c>
      <c r="H91" s="7" t="inlineStr">
        <is>
          <t>California</t>
        </is>
      </c>
      <c r="I91" s="7" t="inlineStr">
        <is>
          <t>Direct Sales</t>
        </is>
      </c>
      <c r="J91" s="7" t="inlineStr">
        <is>
          <t>Home Office</t>
        </is>
      </c>
      <c r="K91" s="8" t="n">
        <v>1</v>
      </c>
      <c r="L91" s="9" t="n">
        <v>49.99</v>
      </c>
      <c r="M91" s="10" t="n">
        <v>0</v>
      </c>
      <c r="N91" s="9" t="n">
        <v>27.49</v>
      </c>
      <c r="O91" s="9" t="n">
        <v>49.99</v>
      </c>
      <c r="P91" s="9" t="n">
        <v>0</v>
      </c>
      <c r="Q91" s="9" t="n">
        <v>49.99</v>
      </c>
      <c r="R91" s="9" t="n">
        <v>27.49</v>
      </c>
      <c r="S91" s="9" t="n">
        <v>22.5</v>
      </c>
      <c r="T91" s="10" t="n">
        <v>0.4501</v>
      </c>
    </row>
    <row r="92">
      <c r="A92" s="7" t="inlineStr">
        <is>
          <t>ORD-2024-1020</t>
        </is>
      </c>
      <c r="B92" s="7" t="inlineStr">
        <is>
          <t>2024-02-11</t>
        </is>
      </c>
      <c r="C92" s="7" t="inlineStr">
        <is>
          <t>FUR-DSK-003</t>
        </is>
      </c>
      <c r="D92" s="7" t="inlineStr">
        <is>
          <t>ApexMotor Dual-Motor Standing Desk</t>
        </is>
      </c>
      <c r="E92" s="7" t="inlineStr">
        <is>
          <t>Furniture</t>
        </is>
      </c>
      <c r="F92" s="7" t="inlineStr">
        <is>
          <t>Desks &amp; Workstations</t>
        </is>
      </c>
      <c r="G92" s="7" t="inlineStr">
        <is>
          <t>West</t>
        </is>
      </c>
      <c r="H92" s="7" t="inlineStr">
        <is>
          <t>California</t>
        </is>
      </c>
      <c r="I92" s="7" t="inlineStr">
        <is>
          <t>Direct Sales</t>
        </is>
      </c>
      <c r="J92" s="7" t="inlineStr">
        <is>
          <t>Home Office</t>
        </is>
      </c>
      <c r="K92" s="8" t="n">
        <v>4</v>
      </c>
      <c r="L92" s="9" t="n">
        <v>549.99</v>
      </c>
      <c r="M92" s="10" t="n">
        <v>0</v>
      </c>
      <c r="N92" s="9" t="n">
        <v>439.99</v>
      </c>
      <c r="O92" s="9" t="n">
        <v>2199.96</v>
      </c>
      <c r="P92" s="9" t="n">
        <v>0</v>
      </c>
      <c r="Q92" s="9" t="n">
        <v>2199.96</v>
      </c>
      <c r="R92" s="9" t="n">
        <v>1759.96</v>
      </c>
      <c r="S92" s="9" t="n">
        <v>440</v>
      </c>
      <c r="T92" s="10" t="n">
        <v>0.2</v>
      </c>
    </row>
    <row r="93">
      <c r="A93" s="7" t="inlineStr">
        <is>
          <t>ORD-2024-1068</t>
        </is>
      </c>
      <c r="B93" s="7" t="inlineStr">
        <is>
          <t>2024-02-13</t>
        </is>
      </c>
      <c r="C93" s="7" t="inlineStr">
        <is>
          <t>OFF-DSK-008</t>
        </is>
      </c>
      <c r="D93" s="7" t="inlineStr">
        <is>
          <t>Steel Desktop Mesh Organizer Caddy</t>
        </is>
      </c>
      <c r="E93" s="7" t="inlineStr">
        <is>
          <t>Office Supplies</t>
        </is>
      </c>
      <c r="F93" s="7" t="inlineStr">
        <is>
          <t>Desk Supplies</t>
        </is>
      </c>
      <c r="G93" s="7" t="inlineStr">
        <is>
          <t>Central</t>
        </is>
      </c>
      <c r="H93" s="7" t="inlineStr">
        <is>
          <t>Texas</t>
        </is>
      </c>
      <c r="I93" s="7" t="inlineStr">
        <is>
          <t>Retail Partner</t>
        </is>
      </c>
      <c r="J93" s="7" t="inlineStr">
        <is>
          <t>Consumer</t>
        </is>
      </c>
      <c r="K93" s="8" t="n">
        <v>3</v>
      </c>
      <c r="L93" s="9" t="n">
        <v>18.99</v>
      </c>
      <c r="M93" s="10" t="n">
        <v>0.15</v>
      </c>
      <c r="N93" s="9" t="n">
        <v>8.550000000000001</v>
      </c>
      <c r="O93" s="9" t="n">
        <v>56.97</v>
      </c>
      <c r="P93" s="9" t="n">
        <v>8.550000000000001</v>
      </c>
      <c r="Q93" s="9" t="n">
        <v>48.42</v>
      </c>
      <c r="R93" s="9" t="n">
        <v>25.65</v>
      </c>
      <c r="S93" s="9" t="n">
        <v>22.77</v>
      </c>
      <c r="T93" s="10" t="n">
        <v>0.4703</v>
      </c>
    </row>
    <row r="94">
      <c r="A94" s="7" t="inlineStr">
        <is>
          <t>ORD-2024-1132</t>
        </is>
      </c>
      <c r="B94" s="7" t="inlineStr">
        <is>
          <t>2024-02-13</t>
        </is>
      </c>
      <c r="C94" s="7" t="inlineStr">
        <is>
          <t>OFF-DSK-008</t>
        </is>
      </c>
      <c r="D94" s="7" t="inlineStr">
        <is>
          <t>Steel Desktop Mesh Organizer Caddy</t>
        </is>
      </c>
      <c r="E94" s="7" t="inlineStr">
        <is>
          <t>Office Supplies</t>
        </is>
      </c>
      <c r="F94" s="7" t="inlineStr">
        <is>
          <t>Desk Supplies</t>
        </is>
      </c>
      <c r="G94" s="7" t="inlineStr">
        <is>
          <t>South</t>
        </is>
      </c>
      <c r="H94" s="7" t="inlineStr">
        <is>
          <t>North Carolina</t>
        </is>
      </c>
      <c r="I94" s="7" t="inlineStr">
        <is>
          <t>Direct Sales</t>
        </is>
      </c>
      <c r="J94" s="7" t="inlineStr">
        <is>
          <t>Corporate</t>
        </is>
      </c>
      <c r="K94" s="8" t="n">
        <v>7</v>
      </c>
      <c r="L94" s="9" t="n">
        <v>18.99</v>
      </c>
      <c r="M94" s="10" t="n">
        <v>0.05</v>
      </c>
      <c r="N94" s="9" t="n">
        <v>8.550000000000001</v>
      </c>
      <c r="O94" s="9" t="n">
        <v>132.93</v>
      </c>
      <c r="P94" s="9" t="n">
        <v>6.65</v>
      </c>
      <c r="Q94" s="9" t="n">
        <v>126.28</v>
      </c>
      <c r="R94" s="9" t="n">
        <v>59.85</v>
      </c>
      <c r="S94" s="9" t="n">
        <v>66.43000000000001</v>
      </c>
      <c r="T94" s="10" t="n">
        <v>0.5261</v>
      </c>
    </row>
    <row r="95">
      <c r="A95" s="7" t="inlineStr">
        <is>
          <t>ORD-2024-1154</t>
        </is>
      </c>
      <c r="B95" s="7" t="inlineStr">
        <is>
          <t>2024-02-14</t>
        </is>
      </c>
      <c r="C95" s="7" t="inlineStr">
        <is>
          <t>OFF-DSK-007</t>
        </is>
      </c>
      <c r="D95" s="7" t="inlineStr">
        <is>
          <t>Gel Ergo Mouse Pad &amp; Wrist Rest Combo</t>
        </is>
      </c>
      <c r="E95" s="7" t="inlineStr">
        <is>
          <t>Office Supplies</t>
        </is>
      </c>
      <c r="F95" s="7" t="inlineStr">
        <is>
          <t>Desk Supplies</t>
        </is>
      </c>
      <c r="G95" s="7" t="inlineStr">
        <is>
          <t>West</t>
        </is>
      </c>
      <c r="H95" s="7" t="inlineStr">
        <is>
          <t>Oregon</t>
        </is>
      </c>
      <c r="I95" s="7" t="inlineStr">
        <is>
          <t>Retail Partner</t>
        </is>
      </c>
      <c r="J95" s="7" t="inlineStr">
        <is>
          <t>Corporate</t>
        </is>
      </c>
      <c r="K95" s="8" t="n">
        <v>8</v>
      </c>
      <c r="L95" s="9" t="n">
        <v>21.99</v>
      </c>
      <c r="M95" s="10" t="n">
        <v>0</v>
      </c>
      <c r="N95" s="9" t="n">
        <v>10.56</v>
      </c>
      <c r="O95" s="9" t="n">
        <v>175.92</v>
      </c>
      <c r="P95" s="9" t="n">
        <v>0</v>
      </c>
      <c r="Q95" s="9" t="n">
        <v>175.92</v>
      </c>
      <c r="R95" s="9" t="n">
        <v>84.48</v>
      </c>
      <c r="S95" s="9" t="n">
        <v>91.44</v>
      </c>
      <c r="T95" s="10" t="n">
        <v>0.5198</v>
      </c>
    </row>
    <row r="96">
      <c r="A96" s="7" t="inlineStr">
        <is>
          <t>ORD-2024-1202</t>
        </is>
      </c>
      <c r="B96" s="7" t="inlineStr">
        <is>
          <t>2024-02-14</t>
        </is>
      </c>
      <c r="C96" s="7" t="inlineStr">
        <is>
          <t>FUR-DSK-003</t>
        </is>
      </c>
      <c r="D96" s="7" t="inlineStr">
        <is>
          <t>ApexMotor Dual-Motor Standing Desk</t>
        </is>
      </c>
      <c r="E96" s="7" t="inlineStr">
        <is>
          <t>Furniture</t>
        </is>
      </c>
      <c r="F96" s="7" t="inlineStr">
        <is>
          <t>Desks &amp; Workstations</t>
        </is>
      </c>
      <c r="G96" s="7" t="inlineStr">
        <is>
          <t>East</t>
        </is>
      </c>
      <c r="H96" s="7" t="inlineStr">
        <is>
          <t>Massachusetts</t>
        </is>
      </c>
      <c r="I96" s="7" t="inlineStr">
        <is>
          <t>Online</t>
        </is>
      </c>
      <c r="J96" s="7" t="inlineStr">
        <is>
          <t>Corporate</t>
        </is>
      </c>
      <c r="K96" s="8" t="n">
        <v>7</v>
      </c>
      <c r="L96" s="9" t="n">
        <v>549.99</v>
      </c>
      <c r="M96" s="10" t="n">
        <v>0.1</v>
      </c>
      <c r="N96" s="9" t="n">
        <v>439.99</v>
      </c>
      <c r="O96" s="9" t="n">
        <v>3849.93</v>
      </c>
      <c r="P96" s="9" t="n">
        <v>384.99</v>
      </c>
      <c r="Q96" s="9" t="n">
        <v>3464.94</v>
      </c>
      <c r="R96" s="9" t="n">
        <v>3079.93</v>
      </c>
      <c r="S96" s="9" t="n">
        <v>385.01</v>
      </c>
      <c r="T96" s="10" t="n">
        <v>0.1111</v>
      </c>
    </row>
    <row r="97">
      <c r="A97" s="7" t="inlineStr">
        <is>
          <t>ORD-2024-1368</t>
        </is>
      </c>
      <c r="B97" s="7" t="inlineStr">
        <is>
          <t>2024-02-14</t>
        </is>
      </c>
      <c r="C97" s="7" t="inlineStr">
        <is>
          <t>OFF-DSK-008</t>
        </is>
      </c>
      <c r="D97" s="7" t="inlineStr">
        <is>
          <t>Steel Desktop Mesh Organizer Caddy</t>
        </is>
      </c>
      <c r="E97" s="7" t="inlineStr">
        <is>
          <t>Office Supplies</t>
        </is>
      </c>
      <c r="F97" s="7" t="inlineStr">
        <is>
          <t>Desk Supplies</t>
        </is>
      </c>
      <c r="G97" s="7" t="inlineStr">
        <is>
          <t>West</t>
        </is>
      </c>
      <c r="H97" s="7" t="inlineStr">
        <is>
          <t>Oregon</t>
        </is>
      </c>
      <c r="I97" s="7" t="inlineStr">
        <is>
          <t>Online</t>
        </is>
      </c>
      <c r="J97" s="7" t="inlineStr">
        <is>
          <t>Home Office</t>
        </is>
      </c>
      <c r="K97" s="8" t="n">
        <v>2</v>
      </c>
      <c r="L97" s="9" t="n">
        <v>18.99</v>
      </c>
      <c r="M97" s="10" t="n">
        <v>0.05</v>
      </c>
      <c r="N97" s="9" t="n">
        <v>8.550000000000001</v>
      </c>
      <c r="O97" s="9" t="n">
        <v>37.98</v>
      </c>
      <c r="P97" s="9" t="n">
        <v>1.9</v>
      </c>
      <c r="Q97" s="9" t="n">
        <v>36.08</v>
      </c>
      <c r="R97" s="9" t="n">
        <v>17.1</v>
      </c>
      <c r="S97" s="9" t="n">
        <v>18.98</v>
      </c>
      <c r="T97" s="10" t="n">
        <v>0.5261</v>
      </c>
    </row>
    <row r="98">
      <c r="A98" s="7" t="inlineStr">
        <is>
          <t>ORD-2024-1714</t>
        </is>
      </c>
      <c r="B98" s="7" t="inlineStr">
        <is>
          <t>2024-02-14</t>
        </is>
      </c>
      <c r="C98" s="7" t="inlineStr">
        <is>
          <t>TEC-ACC-007</t>
        </is>
      </c>
      <c r="D98" s="7" t="inlineStr">
        <is>
          <t>ErgoMechanical Wireless Keyboard</t>
        </is>
      </c>
      <c r="E98" s="7" t="inlineStr">
        <is>
          <t>Technology</t>
        </is>
      </c>
      <c r="F98" s="7" t="inlineStr">
        <is>
          <t>Audio &amp; Accessories</t>
        </is>
      </c>
      <c r="G98" s="7" t="inlineStr">
        <is>
          <t>West</t>
        </is>
      </c>
      <c r="H98" s="7" t="inlineStr">
        <is>
          <t>Colorado</t>
        </is>
      </c>
      <c r="I98" s="7" t="inlineStr">
        <is>
          <t>Direct Sales</t>
        </is>
      </c>
      <c r="J98" s="7" t="inlineStr">
        <is>
          <t>Consumer</t>
        </is>
      </c>
      <c r="K98" s="8" t="n">
        <v>1</v>
      </c>
      <c r="L98" s="9" t="n">
        <v>109.99</v>
      </c>
      <c r="M98" s="10" t="n">
        <v>0</v>
      </c>
      <c r="N98" s="9" t="n">
        <v>65.98999999999999</v>
      </c>
      <c r="O98" s="9" t="n">
        <v>109.99</v>
      </c>
      <c r="P98" s="9" t="n">
        <v>0</v>
      </c>
      <c r="Q98" s="9" t="n">
        <v>109.99</v>
      </c>
      <c r="R98" s="9" t="n">
        <v>65.98999999999999</v>
      </c>
      <c r="S98" s="9" t="n">
        <v>44</v>
      </c>
      <c r="T98" s="10" t="n">
        <v>0.4</v>
      </c>
    </row>
    <row r="99">
      <c r="A99" s="7" t="inlineStr">
        <is>
          <t>ORD-2024-1056</t>
        </is>
      </c>
      <c r="B99" s="7" t="inlineStr">
        <is>
          <t>2024-02-15</t>
        </is>
      </c>
      <c r="C99" s="7" t="inlineStr">
        <is>
          <t>TEC-TAB-003</t>
        </is>
      </c>
      <c r="D99" s="7" t="inlineStr">
        <is>
          <t>VisionPad Pro 11"</t>
        </is>
      </c>
      <c r="E99" s="7" t="inlineStr">
        <is>
          <t>Technology</t>
        </is>
      </c>
      <c r="F99" s="7" t="inlineStr">
        <is>
          <t>Phones &amp; Tablets</t>
        </is>
      </c>
      <c r="G99" s="7" t="inlineStr">
        <is>
          <t>Central</t>
        </is>
      </c>
      <c r="H99" s="7" t="inlineStr">
        <is>
          <t>Texas</t>
        </is>
      </c>
      <c r="I99" s="7" t="inlineStr">
        <is>
          <t>Online</t>
        </is>
      </c>
      <c r="J99" s="7" t="inlineStr">
        <is>
          <t>Corporate</t>
        </is>
      </c>
      <c r="K99" s="8" t="n">
        <v>5</v>
      </c>
      <c r="L99" s="9" t="n">
        <v>649.99</v>
      </c>
      <c r="M99" s="10" t="n">
        <v>0.05</v>
      </c>
      <c r="N99" s="9" t="n">
        <v>487.49</v>
      </c>
      <c r="O99" s="9" t="n">
        <v>3249.95</v>
      </c>
      <c r="P99" s="9" t="n">
        <v>162.5</v>
      </c>
      <c r="Q99" s="9" t="n">
        <v>3087.45</v>
      </c>
      <c r="R99" s="9" t="n">
        <v>2437.45</v>
      </c>
      <c r="S99" s="9" t="n">
        <v>650</v>
      </c>
      <c r="T99" s="10" t="n">
        <v>0.2105</v>
      </c>
    </row>
    <row r="100">
      <c r="A100" s="7" t="inlineStr">
        <is>
          <t>ORD-2024-1056</t>
        </is>
      </c>
      <c r="B100" s="7" t="inlineStr">
        <is>
          <t>2024-02-15</t>
        </is>
      </c>
      <c r="C100" s="7" t="inlineStr">
        <is>
          <t>OFF-PAP-004</t>
        </is>
      </c>
      <c r="D100" s="7" t="inlineStr">
        <is>
          <t>EcoRecycled Copy Paper (5 Reams)</t>
        </is>
      </c>
      <c r="E100" s="7" t="inlineStr">
        <is>
          <t>Office Supplies</t>
        </is>
      </c>
      <c r="F100" s="7" t="inlineStr">
        <is>
          <t>Paper Products</t>
        </is>
      </c>
      <c r="G100" s="7" t="inlineStr">
        <is>
          <t>Central</t>
        </is>
      </c>
      <c r="H100" s="7" t="inlineStr">
        <is>
          <t>Texas</t>
        </is>
      </c>
      <c r="I100" s="7" t="inlineStr">
        <is>
          <t>Online</t>
        </is>
      </c>
      <c r="J100" s="7" t="inlineStr">
        <is>
          <t>Corporate</t>
        </is>
      </c>
      <c r="K100" s="8" t="n">
        <v>2</v>
      </c>
      <c r="L100" s="9" t="n">
        <v>32.99</v>
      </c>
      <c r="M100" s="10" t="n">
        <v>0</v>
      </c>
      <c r="N100" s="9" t="n">
        <v>19.79</v>
      </c>
      <c r="O100" s="9" t="n">
        <v>65.98</v>
      </c>
      <c r="P100" s="9" t="n">
        <v>0</v>
      </c>
      <c r="Q100" s="9" t="n">
        <v>65.98</v>
      </c>
      <c r="R100" s="9" t="n">
        <v>39.58</v>
      </c>
      <c r="S100" s="9" t="n">
        <v>26.4</v>
      </c>
      <c r="T100" s="10" t="n">
        <v>0.4001</v>
      </c>
    </row>
    <row r="101">
      <c r="A101" s="7" t="inlineStr">
        <is>
          <t>ORD-2024-1056</t>
        </is>
      </c>
      <c r="B101" s="7" t="inlineStr">
        <is>
          <t>2024-02-15</t>
        </is>
      </c>
      <c r="C101" s="7" t="inlineStr">
        <is>
          <t>TEC-LAP-002</t>
        </is>
      </c>
      <c r="D101" s="7" t="inlineStr">
        <is>
          <t>Apex Gaming Laptop 17"</t>
        </is>
      </c>
      <c r="E101" s="7" t="inlineStr">
        <is>
          <t>Technology</t>
        </is>
      </c>
      <c r="F101" s="7" t="inlineStr">
        <is>
          <t>Laptops</t>
        </is>
      </c>
      <c r="G101" s="7" t="inlineStr">
        <is>
          <t>Central</t>
        </is>
      </c>
      <c r="H101" s="7" t="inlineStr">
        <is>
          <t>Texas</t>
        </is>
      </c>
      <c r="I101" s="7" t="inlineStr">
        <is>
          <t>Online</t>
        </is>
      </c>
      <c r="J101" s="7" t="inlineStr">
        <is>
          <t>Corporate</t>
        </is>
      </c>
      <c r="K101" s="8" t="n">
        <v>7</v>
      </c>
      <c r="L101" s="9" t="n">
        <v>1499.99</v>
      </c>
      <c r="M101" s="10" t="n">
        <v>0.2</v>
      </c>
      <c r="N101" s="9" t="n">
        <v>1259.99</v>
      </c>
      <c r="O101" s="9" t="n">
        <v>10499.93</v>
      </c>
      <c r="P101" s="9" t="n">
        <v>2099.99</v>
      </c>
      <c r="Q101" s="9" t="n">
        <v>8399.940000000001</v>
      </c>
      <c r="R101" s="9" t="n">
        <v>8819.93</v>
      </c>
      <c r="S101" s="9" t="n">
        <v>-419.99</v>
      </c>
      <c r="T101" s="10" t="n">
        <v>-0.05</v>
      </c>
    </row>
    <row r="102">
      <c r="A102" s="7" t="inlineStr">
        <is>
          <t>ORD-2024-1138</t>
        </is>
      </c>
      <c r="B102" s="7" t="inlineStr">
        <is>
          <t>2024-02-15</t>
        </is>
      </c>
      <c r="C102" s="7" t="inlineStr">
        <is>
          <t>FUR-DSK-003</t>
        </is>
      </c>
      <c r="D102" s="7" t="inlineStr">
        <is>
          <t>ApexMotor Dual-Motor Standing Desk</t>
        </is>
      </c>
      <c r="E102" s="7" t="inlineStr">
        <is>
          <t>Furniture</t>
        </is>
      </c>
      <c r="F102" s="7" t="inlineStr">
        <is>
          <t>Desks &amp; Workstations</t>
        </is>
      </c>
      <c r="G102" s="7" t="inlineStr">
        <is>
          <t>Central</t>
        </is>
      </c>
      <c r="H102" s="7" t="inlineStr">
        <is>
          <t>Ohio</t>
        </is>
      </c>
      <c r="I102" s="7" t="inlineStr">
        <is>
          <t>Online</t>
        </is>
      </c>
      <c r="J102" s="7" t="inlineStr">
        <is>
          <t>Corporate</t>
        </is>
      </c>
      <c r="K102" s="8" t="n">
        <v>8</v>
      </c>
      <c r="L102" s="9" t="n">
        <v>549.99</v>
      </c>
      <c r="M102" s="10" t="n">
        <v>0</v>
      </c>
      <c r="N102" s="9" t="n">
        <v>439.99</v>
      </c>
      <c r="O102" s="9" t="n">
        <v>4399.92</v>
      </c>
      <c r="P102" s="9" t="n">
        <v>0</v>
      </c>
      <c r="Q102" s="9" t="n">
        <v>4399.92</v>
      </c>
      <c r="R102" s="9" t="n">
        <v>3519.92</v>
      </c>
      <c r="S102" s="9" t="n">
        <v>880</v>
      </c>
      <c r="T102" s="10" t="n">
        <v>0.2</v>
      </c>
    </row>
    <row r="103">
      <c r="A103" s="7" t="inlineStr">
        <is>
          <t>ORD-2024-1178</t>
        </is>
      </c>
      <c r="B103" s="7" t="inlineStr">
        <is>
          <t>2024-02-16</t>
        </is>
      </c>
      <c r="C103" s="7" t="inlineStr">
        <is>
          <t>OFF-STR-001</t>
        </is>
      </c>
      <c r="D103" s="7" t="inlineStr">
        <is>
          <t>SteelLock 3-Drawer File Cabinet</t>
        </is>
      </c>
      <c r="E103" s="7" t="inlineStr">
        <is>
          <t>Office Supplies</t>
        </is>
      </c>
      <c r="F103" s="7" t="inlineStr">
        <is>
          <t>Storage &amp; Organizers</t>
        </is>
      </c>
      <c r="G103" s="7" t="inlineStr">
        <is>
          <t>West</t>
        </is>
      </c>
      <c r="H103" s="7" t="inlineStr">
        <is>
          <t>Colorado</t>
        </is>
      </c>
      <c r="I103" s="7" t="inlineStr">
        <is>
          <t>Retail Partner</t>
        </is>
      </c>
      <c r="J103" s="7" t="inlineStr">
        <is>
          <t>Consumer</t>
        </is>
      </c>
      <c r="K103" s="8" t="n">
        <v>3</v>
      </c>
      <c r="L103" s="9" t="n">
        <v>169.99</v>
      </c>
      <c r="M103" s="10" t="n">
        <v>0</v>
      </c>
      <c r="N103" s="9" t="n">
        <v>115.59</v>
      </c>
      <c r="O103" s="9" t="n">
        <v>509.97</v>
      </c>
      <c r="P103" s="9" t="n">
        <v>0</v>
      </c>
      <c r="Q103" s="9" t="n">
        <v>509.97</v>
      </c>
      <c r="R103" s="9" t="n">
        <v>346.77</v>
      </c>
      <c r="S103" s="9" t="n">
        <v>163.2</v>
      </c>
      <c r="T103" s="10" t="n">
        <v>0.32</v>
      </c>
    </row>
    <row r="104">
      <c r="A104" s="7" t="inlineStr">
        <is>
          <t>ORD-2024-1178</t>
        </is>
      </c>
      <c r="B104" s="7" t="inlineStr">
        <is>
          <t>2024-02-16</t>
        </is>
      </c>
      <c r="C104" s="7" t="inlineStr">
        <is>
          <t>TEC-ACC-006</t>
        </is>
      </c>
      <c r="D104" s="7" t="inlineStr">
        <is>
          <t>MultiPort Thunderbolt 4 Dock</t>
        </is>
      </c>
      <c r="E104" s="7" t="inlineStr">
        <is>
          <t>Technology</t>
        </is>
      </c>
      <c r="F104" s="7" t="inlineStr">
        <is>
          <t>Audio &amp; Accessories</t>
        </is>
      </c>
      <c r="G104" s="7" t="inlineStr">
        <is>
          <t>West</t>
        </is>
      </c>
      <c r="H104" s="7" t="inlineStr">
        <is>
          <t>Colorado</t>
        </is>
      </c>
      <c r="I104" s="7" t="inlineStr">
        <is>
          <t>Retail Partner</t>
        </is>
      </c>
      <c r="J104" s="7" t="inlineStr">
        <is>
          <t>Consumer</t>
        </is>
      </c>
      <c r="K104" s="8" t="n">
        <v>1</v>
      </c>
      <c r="L104" s="9" t="n">
        <v>149.99</v>
      </c>
      <c r="M104" s="10" t="n">
        <v>0</v>
      </c>
      <c r="N104" s="9" t="n">
        <v>98.98999999999999</v>
      </c>
      <c r="O104" s="9" t="n">
        <v>149.99</v>
      </c>
      <c r="P104" s="9" t="n">
        <v>0</v>
      </c>
      <c r="Q104" s="9" t="n">
        <v>149.99</v>
      </c>
      <c r="R104" s="9" t="n">
        <v>98.98999999999999</v>
      </c>
      <c r="S104" s="9" t="n">
        <v>51</v>
      </c>
      <c r="T104" s="10" t="n">
        <v>0.34</v>
      </c>
    </row>
    <row r="105">
      <c r="A105" s="7" t="inlineStr">
        <is>
          <t>ORD-2024-1495</t>
        </is>
      </c>
      <c r="B105" s="7" t="inlineStr">
        <is>
          <t>2024-02-16</t>
        </is>
      </c>
      <c r="C105" s="7" t="inlineStr">
        <is>
          <t>FUR-CHA-002</t>
        </is>
      </c>
      <c r="D105" s="7" t="inlineStr">
        <is>
          <t>AeroTask Operator Task Chair</t>
        </is>
      </c>
      <c r="E105" s="7" t="inlineStr">
        <is>
          <t>Furniture</t>
        </is>
      </c>
      <c r="F105" s="7" t="inlineStr">
        <is>
          <t>Chairs</t>
        </is>
      </c>
      <c r="G105" s="7" t="inlineStr">
        <is>
          <t>Central</t>
        </is>
      </c>
      <c r="H105" s="7" t="inlineStr">
        <is>
          <t>Texas</t>
        </is>
      </c>
      <c r="I105" s="7" t="inlineStr">
        <is>
          <t>Online</t>
        </is>
      </c>
      <c r="J105" s="7" t="inlineStr">
        <is>
          <t>Consumer</t>
        </is>
      </c>
      <c r="K105" s="8" t="n">
        <v>3</v>
      </c>
      <c r="L105" s="9" t="n">
        <v>219.99</v>
      </c>
      <c r="M105" s="10" t="n">
        <v>0</v>
      </c>
      <c r="N105" s="9" t="n">
        <v>171.59</v>
      </c>
      <c r="O105" s="9" t="n">
        <v>659.97</v>
      </c>
      <c r="P105" s="9" t="n">
        <v>0</v>
      </c>
      <c r="Q105" s="9" t="n">
        <v>659.97</v>
      </c>
      <c r="R105" s="9" t="n">
        <v>514.77</v>
      </c>
      <c r="S105" s="9" t="n">
        <v>145.2</v>
      </c>
      <c r="T105" s="10" t="n">
        <v>0.22</v>
      </c>
    </row>
    <row r="106">
      <c r="A106" s="7" t="inlineStr">
        <is>
          <t>ORD-2024-1671</t>
        </is>
      </c>
      <c r="B106" s="7" t="inlineStr">
        <is>
          <t>2024-02-16</t>
        </is>
      </c>
      <c r="C106" s="7" t="inlineStr">
        <is>
          <t>OFF-STR-001</t>
        </is>
      </c>
      <c r="D106" s="7" t="inlineStr">
        <is>
          <t>SteelLock 3-Drawer File Cabinet</t>
        </is>
      </c>
      <c r="E106" s="7" t="inlineStr">
        <is>
          <t>Office Supplies</t>
        </is>
      </c>
      <c r="F106" s="7" t="inlineStr">
        <is>
          <t>Storage &amp; Organizers</t>
        </is>
      </c>
      <c r="G106" s="7" t="inlineStr">
        <is>
          <t>Central</t>
        </is>
      </c>
      <c r="H106" s="7" t="inlineStr">
        <is>
          <t>Michigan</t>
        </is>
      </c>
      <c r="I106" s="7" t="inlineStr">
        <is>
          <t>Wholesale</t>
        </is>
      </c>
      <c r="J106" s="7" t="inlineStr">
        <is>
          <t>Corporate</t>
        </is>
      </c>
      <c r="K106" s="8" t="n">
        <v>12</v>
      </c>
      <c r="L106" s="9" t="n">
        <v>169.99</v>
      </c>
      <c r="M106" s="10" t="n">
        <v>0.1</v>
      </c>
      <c r="N106" s="9" t="n">
        <v>115.59</v>
      </c>
      <c r="O106" s="9" t="n">
        <v>2039.88</v>
      </c>
      <c r="P106" s="9" t="n">
        <v>203.99</v>
      </c>
      <c r="Q106" s="9" t="n">
        <v>1835.89</v>
      </c>
      <c r="R106" s="9" t="n">
        <v>1387.08</v>
      </c>
      <c r="S106" s="9" t="n">
        <v>448.81</v>
      </c>
      <c r="T106" s="10" t="n">
        <v>0.2445</v>
      </c>
    </row>
    <row r="107">
      <c r="A107" s="7" t="inlineStr">
        <is>
          <t>ORD-2024-1671</t>
        </is>
      </c>
      <c r="B107" s="7" t="inlineStr">
        <is>
          <t>2024-02-16</t>
        </is>
      </c>
      <c r="C107" s="7" t="inlineStr">
        <is>
          <t>TEC-ACC-006</t>
        </is>
      </c>
      <c r="D107" s="7" t="inlineStr">
        <is>
          <t>MultiPort Thunderbolt 4 Dock</t>
        </is>
      </c>
      <c r="E107" s="7" t="inlineStr">
        <is>
          <t>Technology</t>
        </is>
      </c>
      <c r="F107" s="7" t="inlineStr">
        <is>
          <t>Audio &amp; Accessories</t>
        </is>
      </c>
      <c r="G107" s="7" t="inlineStr">
        <is>
          <t>Central</t>
        </is>
      </c>
      <c r="H107" s="7" t="inlineStr">
        <is>
          <t>Michigan</t>
        </is>
      </c>
      <c r="I107" s="7" t="inlineStr">
        <is>
          <t>Wholesale</t>
        </is>
      </c>
      <c r="J107" s="7" t="inlineStr">
        <is>
          <t>Corporate</t>
        </is>
      </c>
      <c r="K107" s="8" t="n">
        <v>6</v>
      </c>
      <c r="L107" s="9" t="n">
        <v>149.99</v>
      </c>
      <c r="M107" s="10" t="n">
        <v>0.15</v>
      </c>
      <c r="N107" s="9" t="n">
        <v>98.98999999999999</v>
      </c>
      <c r="O107" s="9" t="n">
        <v>899.9400000000001</v>
      </c>
      <c r="P107" s="9" t="n">
        <v>134.99</v>
      </c>
      <c r="Q107" s="9" t="n">
        <v>764.95</v>
      </c>
      <c r="R107" s="9" t="n">
        <v>593.9400000000001</v>
      </c>
      <c r="S107" s="9" t="n">
        <v>171.01</v>
      </c>
      <c r="T107" s="10" t="n">
        <v>0.2236</v>
      </c>
    </row>
    <row r="108">
      <c r="A108" s="7" t="inlineStr">
        <is>
          <t>ORD-2024-1671</t>
        </is>
      </c>
      <c r="B108" s="7" t="inlineStr">
        <is>
          <t>2024-02-16</t>
        </is>
      </c>
      <c r="C108" s="7" t="inlineStr">
        <is>
          <t>OFF-BIN-005</t>
        </is>
      </c>
      <c r="D108" s="7" t="inlineStr">
        <is>
          <t>Heavy-Duty D-Ring Presentation Binder (6-Pk)</t>
        </is>
      </c>
      <c r="E108" s="7" t="inlineStr">
        <is>
          <t>Office Supplies</t>
        </is>
      </c>
      <c r="F108" s="7" t="inlineStr">
        <is>
          <t>Binders &amp; Fasteners</t>
        </is>
      </c>
      <c r="G108" s="7" t="inlineStr">
        <is>
          <t>Central</t>
        </is>
      </c>
      <c r="H108" s="7" t="inlineStr">
        <is>
          <t>Michigan</t>
        </is>
      </c>
      <c r="I108" s="7" t="inlineStr">
        <is>
          <t>Wholesale</t>
        </is>
      </c>
      <c r="J108" s="7" t="inlineStr">
        <is>
          <t>Corporate</t>
        </is>
      </c>
      <c r="K108" s="8" t="n">
        <v>5</v>
      </c>
      <c r="L108" s="9" t="n">
        <v>27.99</v>
      </c>
      <c r="M108" s="10" t="n">
        <v>0.15</v>
      </c>
      <c r="N108" s="9" t="n">
        <v>13.99</v>
      </c>
      <c r="O108" s="9" t="n">
        <v>139.95</v>
      </c>
      <c r="P108" s="9" t="n">
        <v>20.99</v>
      </c>
      <c r="Q108" s="9" t="n">
        <v>118.96</v>
      </c>
      <c r="R108" s="9" t="n">
        <v>69.95</v>
      </c>
      <c r="S108" s="9" t="n">
        <v>49.01</v>
      </c>
      <c r="T108" s="10" t="n">
        <v>0.412</v>
      </c>
    </row>
    <row r="109">
      <c r="A109" s="7" t="inlineStr">
        <is>
          <t>ORD-2024-1689</t>
        </is>
      </c>
      <c r="B109" s="7" t="inlineStr">
        <is>
          <t>2024-02-16</t>
        </is>
      </c>
      <c r="C109" s="7" t="inlineStr">
        <is>
          <t>OFF-BIN-005</t>
        </is>
      </c>
      <c r="D109" s="7" t="inlineStr">
        <is>
          <t>Heavy-Duty D-Ring Presentation Binder (6-Pk)</t>
        </is>
      </c>
      <c r="E109" s="7" t="inlineStr">
        <is>
          <t>Office Supplies</t>
        </is>
      </c>
      <c r="F109" s="7" t="inlineStr">
        <is>
          <t>Binders &amp; Fasteners</t>
        </is>
      </c>
      <c r="G109" s="7" t="inlineStr">
        <is>
          <t>East</t>
        </is>
      </c>
      <c r="H109" s="7" t="inlineStr">
        <is>
          <t>Pennsylvania</t>
        </is>
      </c>
      <c r="I109" s="7" t="inlineStr">
        <is>
          <t>Direct Sales</t>
        </is>
      </c>
      <c r="J109" s="7" t="inlineStr">
        <is>
          <t>Home Office</t>
        </is>
      </c>
      <c r="K109" s="8" t="n">
        <v>3</v>
      </c>
      <c r="L109" s="9" t="n">
        <v>27.99</v>
      </c>
      <c r="M109" s="10" t="n">
        <v>0.15</v>
      </c>
      <c r="N109" s="9" t="n">
        <v>13.99</v>
      </c>
      <c r="O109" s="9" t="n">
        <v>83.97</v>
      </c>
      <c r="P109" s="9" t="n">
        <v>12.6</v>
      </c>
      <c r="Q109" s="9" t="n">
        <v>71.37</v>
      </c>
      <c r="R109" s="9" t="n">
        <v>41.97</v>
      </c>
      <c r="S109" s="9" t="n">
        <v>29.4</v>
      </c>
      <c r="T109" s="10" t="n">
        <v>0.4119</v>
      </c>
    </row>
    <row r="110">
      <c r="A110" s="7" t="inlineStr">
        <is>
          <t>ORD-2024-1047</t>
        </is>
      </c>
      <c r="B110" s="7" t="inlineStr">
        <is>
          <t>2024-02-17</t>
        </is>
      </c>
      <c r="C110" s="7" t="inlineStr">
        <is>
          <t>FUR-CHA-001</t>
        </is>
      </c>
      <c r="D110" s="7" t="inlineStr">
        <is>
          <t>ErgoFlex Executive Mesh Chair</t>
        </is>
      </c>
      <c r="E110" s="7" t="inlineStr">
        <is>
          <t>Furniture</t>
        </is>
      </c>
      <c r="F110" s="7" t="inlineStr">
        <is>
          <t>Chairs</t>
        </is>
      </c>
      <c r="G110" s="7" t="inlineStr">
        <is>
          <t>West</t>
        </is>
      </c>
      <c r="H110" s="7" t="inlineStr">
        <is>
          <t>Washington</t>
        </is>
      </c>
      <c r="I110" s="7" t="inlineStr">
        <is>
          <t>Direct Sales</t>
        </is>
      </c>
      <c r="J110" s="7" t="inlineStr">
        <is>
          <t>Corporate</t>
        </is>
      </c>
      <c r="K110" s="8" t="n">
        <v>7</v>
      </c>
      <c r="L110" s="9" t="n">
        <v>389.99</v>
      </c>
      <c r="M110" s="10" t="n">
        <v>0.15</v>
      </c>
      <c r="N110" s="9" t="n">
        <v>331.49</v>
      </c>
      <c r="O110" s="9" t="n">
        <v>2729.93</v>
      </c>
      <c r="P110" s="9" t="n">
        <v>409.49</v>
      </c>
      <c r="Q110" s="9" t="n">
        <v>2320.44</v>
      </c>
      <c r="R110" s="9" t="n">
        <v>2320.43</v>
      </c>
      <c r="S110" s="9" t="n">
        <v>0.01</v>
      </c>
      <c r="T110" s="10" t="n">
        <v>0</v>
      </c>
    </row>
    <row r="111">
      <c r="A111" s="7" t="inlineStr">
        <is>
          <t>ORD-2024-1313</t>
        </is>
      </c>
      <c r="B111" s="7" t="inlineStr">
        <is>
          <t>2024-02-17</t>
        </is>
      </c>
      <c r="C111" s="7" t="inlineStr">
        <is>
          <t>FUR-BOK-005</t>
        </is>
      </c>
      <c r="D111" s="7" t="inlineStr">
        <is>
          <t>Modular 5-Tier Steel Bookcase</t>
        </is>
      </c>
      <c r="E111" s="7" t="inlineStr">
        <is>
          <t>Furniture</t>
        </is>
      </c>
      <c r="F111" s="7" t="inlineStr">
        <is>
          <t>Bookcases</t>
        </is>
      </c>
      <c r="G111" s="7" t="inlineStr">
        <is>
          <t>West</t>
        </is>
      </c>
      <c r="H111" s="7" t="inlineStr">
        <is>
          <t>Washington</t>
        </is>
      </c>
      <c r="I111" s="7" t="inlineStr">
        <is>
          <t>Online</t>
        </is>
      </c>
      <c r="J111" s="7" t="inlineStr">
        <is>
          <t>Consumer</t>
        </is>
      </c>
      <c r="K111" s="8" t="n">
        <v>4</v>
      </c>
      <c r="L111" s="9" t="n">
        <v>189.99</v>
      </c>
      <c r="M111" s="10" t="n">
        <v>0.1</v>
      </c>
      <c r="N111" s="9" t="n">
        <v>142.49</v>
      </c>
      <c r="O111" s="9" t="n">
        <v>759.96</v>
      </c>
      <c r="P111" s="9" t="n">
        <v>76</v>
      </c>
      <c r="Q111" s="9" t="n">
        <v>683.96</v>
      </c>
      <c r="R111" s="9" t="n">
        <v>569.96</v>
      </c>
      <c r="S111" s="9" t="n">
        <v>114</v>
      </c>
      <c r="T111" s="10" t="n">
        <v>0.1667</v>
      </c>
    </row>
    <row r="112">
      <c r="A112" s="7" t="inlineStr">
        <is>
          <t>ORD-2024-1406</t>
        </is>
      </c>
      <c r="B112" s="7" t="inlineStr">
        <is>
          <t>2024-02-18</t>
        </is>
      </c>
      <c r="C112" s="7" t="inlineStr">
        <is>
          <t>FUR-DSK-003</t>
        </is>
      </c>
      <c r="D112" s="7" t="inlineStr">
        <is>
          <t>ApexMotor Dual-Motor Standing Desk</t>
        </is>
      </c>
      <c r="E112" s="7" t="inlineStr">
        <is>
          <t>Furniture</t>
        </is>
      </c>
      <c r="F112" s="7" t="inlineStr">
        <is>
          <t>Desks &amp; Workstations</t>
        </is>
      </c>
      <c r="G112" s="7" t="inlineStr">
        <is>
          <t>Central</t>
        </is>
      </c>
      <c r="H112" s="7" t="inlineStr">
        <is>
          <t>Ohio</t>
        </is>
      </c>
      <c r="I112" s="7" t="inlineStr">
        <is>
          <t>Online</t>
        </is>
      </c>
      <c r="J112" s="7" t="inlineStr">
        <is>
          <t>Corporate</t>
        </is>
      </c>
      <c r="K112" s="8" t="n">
        <v>2</v>
      </c>
      <c r="L112" s="9" t="n">
        <v>549.99</v>
      </c>
      <c r="M112" s="10" t="n">
        <v>0.1</v>
      </c>
      <c r="N112" s="9" t="n">
        <v>439.99</v>
      </c>
      <c r="O112" s="9" t="n">
        <v>1099.98</v>
      </c>
      <c r="P112" s="9" t="n">
        <v>110</v>
      </c>
      <c r="Q112" s="9" t="n">
        <v>989.98</v>
      </c>
      <c r="R112" s="9" t="n">
        <v>879.98</v>
      </c>
      <c r="S112" s="9" t="n">
        <v>110</v>
      </c>
      <c r="T112" s="10" t="n">
        <v>0.1111</v>
      </c>
    </row>
    <row r="113">
      <c r="A113" s="7" t="inlineStr">
        <is>
          <t>ORD-2024-1406</t>
        </is>
      </c>
      <c r="B113" s="7" t="inlineStr">
        <is>
          <t>2024-02-18</t>
        </is>
      </c>
      <c r="C113" s="7" t="inlineStr">
        <is>
          <t>TEC-TAB-003</t>
        </is>
      </c>
      <c r="D113" s="7" t="inlineStr">
        <is>
          <t>VisionPad Pro 11"</t>
        </is>
      </c>
      <c r="E113" s="7" t="inlineStr">
        <is>
          <t>Technology</t>
        </is>
      </c>
      <c r="F113" s="7" t="inlineStr">
        <is>
          <t>Phones &amp; Tablets</t>
        </is>
      </c>
      <c r="G113" s="7" t="inlineStr">
        <is>
          <t>Central</t>
        </is>
      </c>
      <c r="H113" s="7" t="inlineStr">
        <is>
          <t>Ohio</t>
        </is>
      </c>
      <c r="I113" s="7" t="inlineStr">
        <is>
          <t>Online</t>
        </is>
      </c>
      <c r="J113" s="7" t="inlineStr">
        <is>
          <t>Corporate</t>
        </is>
      </c>
      <c r="K113" s="8" t="n">
        <v>4</v>
      </c>
      <c r="L113" s="9" t="n">
        <v>649.99</v>
      </c>
      <c r="M113" s="10" t="n">
        <v>0.05</v>
      </c>
      <c r="N113" s="9" t="n">
        <v>487.49</v>
      </c>
      <c r="O113" s="9" t="n">
        <v>2599.96</v>
      </c>
      <c r="P113" s="9" t="n">
        <v>130</v>
      </c>
      <c r="Q113" s="9" t="n">
        <v>2469.96</v>
      </c>
      <c r="R113" s="9" t="n">
        <v>1949.96</v>
      </c>
      <c r="S113" s="9" t="n">
        <v>520</v>
      </c>
      <c r="T113" s="10" t="n">
        <v>0.2105</v>
      </c>
    </row>
    <row r="114">
      <c r="A114" s="7" t="inlineStr">
        <is>
          <t>ORD-2024-1304</t>
        </is>
      </c>
      <c r="B114" s="7" t="inlineStr">
        <is>
          <t>2024-02-20</t>
        </is>
      </c>
      <c r="C114" s="7" t="inlineStr">
        <is>
          <t>FUR-DSK-004</t>
        </is>
      </c>
      <c r="D114" s="7" t="inlineStr">
        <is>
          <t>Metro Compact Corner Workstation</t>
        </is>
      </c>
      <c r="E114" s="7" t="inlineStr">
        <is>
          <t>Furniture</t>
        </is>
      </c>
      <c r="F114" s="7" t="inlineStr">
        <is>
          <t>Desks &amp; Workstations</t>
        </is>
      </c>
      <c r="G114" s="7" t="inlineStr">
        <is>
          <t>East</t>
        </is>
      </c>
      <c r="H114" s="7" t="inlineStr">
        <is>
          <t>Massachusetts</t>
        </is>
      </c>
      <c r="I114" s="7" t="inlineStr">
        <is>
          <t>Retail Partner</t>
        </is>
      </c>
      <c r="J114" s="7" t="inlineStr">
        <is>
          <t>Corporate</t>
        </is>
      </c>
      <c r="K114" s="8" t="n">
        <v>2</v>
      </c>
      <c r="L114" s="9" t="n">
        <v>329.99</v>
      </c>
      <c r="M114" s="10" t="n">
        <v>0</v>
      </c>
      <c r="N114" s="9" t="n">
        <v>250.79</v>
      </c>
      <c r="O114" s="9" t="n">
        <v>659.98</v>
      </c>
      <c r="P114" s="9" t="n">
        <v>0</v>
      </c>
      <c r="Q114" s="9" t="n">
        <v>659.98</v>
      </c>
      <c r="R114" s="9" t="n">
        <v>501.58</v>
      </c>
      <c r="S114" s="9" t="n">
        <v>158.4</v>
      </c>
      <c r="T114" s="10" t="n">
        <v>0.24</v>
      </c>
    </row>
    <row r="115">
      <c r="A115" s="7" t="inlineStr">
        <is>
          <t>ORD-2024-1304</t>
        </is>
      </c>
      <c r="B115" s="7" t="inlineStr">
        <is>
          <t>2024-02-20</t>
        </is>
      </c>
      <c r="C115" s="7" t="inlineStr">
        <is>
          <t>OFF-BIN-005</t>
        </is>
      </c>
      <c r="D115" s="7" t="inlineStr">
        <is>
          <t>Heavy-Duty D-Ring Presentation Binder (6-Pk)</t>
        </is>
      </c>
      <c r="E115" s="7" t="inlineStr">
        <is>
          <t>Office Supplies</t>
        </is>
      </c>
      <c r="F115" s="7" t="inlineStr">
        <is>
          <t>Binders &amp; Fasteners</t>
        </is>
      </c>
      <c r="G115" s="7" t="inlineStr">
        <is>
          <t>East</t>
        </is>
      </c>
      <c r="H115" s="7" t="inlineStr">
        <is>
          <t>Massachusetts</t>
        </is>
      </c>
      <c r="I115" s="7" t="inlineStr">
        <is>
          <t>Retail Partner</t>
        </is>
      </c>
      <c r="J115" s="7" t="inlineStr">
        <is>
          <t>Corporate</t>
        </is>
      </c>
      <c r="K115" s="8" t="n">
        <v>6</v>
      </c>
      <c r="L115" s="9" t="n">
        <v>27.99</v>
      </c>
      <c r="M115" s="10" t="n">
        <v>0</v>
      </c>
      <c r="N115" s="9" t="n">
        <v>13.99</v>
      </c>
      <c r="O115" s="9" t="n">
        <v>167.94</v>
      </c>
      <c r="P115" s="9" t="n">
        <v>0</v>
      </c>
      <c r="Q115" s="9" t="n">
        <v>167.94</v>
      </c>
      <c r="R115" s="9" t="n">
        <v>83.94</v>
      </c>
      <c r="S115" s="9" t="n">
        <v>84</v>
      </c>
      <c r="T115" s="10" t="n">
        <v>0.5002</v>
      </c>
    </row>
    <row r="116">
      <c r="A116" s="7" t="inlineStr">
        <is>
          <t>ORD-2024-1438</t>
        </is>
      </c>
      <c r="B116" s="7" t="inlineStr">
        <is>
          <t>2024-02-20</t>
        </is>
      </c>
      <c r="C116" s="7" t="inlineStr">
        <is>
          <t>OFF-BIN-005</t>
        </is>
      </c>
      <c r="D116" s="7" t="inlineStr">
        <is>
          <t>Heavy-Duty D-Ring Presentation Binder (6-Pk)</t>
        </is>
      </c>
      <c r="E116" s="7" t="inlineStr">
        <is>
          <t>Office Supplies</t>
        </is>
      </c>
      <c r="F116" s="7" t="inlineStr">
        <is>
          <t>Binders &amp; Fasteners</t>
        </is>
      </c>
      <c r="G116" s="7" t="inlineStr">
        <is>
          <t>East</t>
        </is>
      </c>
      <c r="H116" s="7" t="inlineStr">
        <is>
          <t>Massachusetts</t>
        </is>
      </c>
      <c r="I116" s="7" t="inlineStr">
        <is>
          <t>Wholesale</t>
        </is>
      </c>
      <c r="J116" s="7" t="inlineStr">
        <is>
          <t>Consumer</t>
        </is>
      </c>
      <c r="K116" s="8" t="n">
        <v>5</v>
      </c>
      <c r="L116" s="9" t="n">
        <v>27.99</v>
      </c>
      <c r="M116" s="10" t="n">
        <v>0.2</v>
      </c>
      <c r="N116" s="9" t="n">
        <v>13.99</v>
      </c>
      <c r="O116" s="9" t="n">
        <v>139.95</v>
      </c>
      <c r="P116" s="9" t="n">
        <v>27.99</v>
      </c>
      <c r="Q116" s="9" t="n">
        <v>111.96</v>
      </c>
      <c r="R116" s="9" t="n">
        <v>69.95</v>
      </c>
      <c r="S116" s="9" t="n">
        <v>42.01</v>
      </c>
      <c r="T116" s="10" t="n">
        <v>0.3752</v>
      </c>
    </row>
    <row r="117">
      <c r="A117" s="7" t="inlineStr">
        <is>
          <t>ORD-2024-1438</t>
        </is>
      </c>
      <c r="B117" s="7" t="inlineStr">
        <is>
          <t>2024-02-20</t>
        </is>
      </c>
      <c r="C117" s="7" t="inlineStr">
        <is>
          <t>TEC-LAP-001</t>
        </is>
      </c>
      <c r="D117" s="7" t="inlineStr">
        <is>
          <t>ProBook Elite 15.6"</t>
        </is>
      </c>
      <c r="E117" s="7" t="inlineStr">
        <is>
          <t>Technology</t>
        </is>
      </c>
      <c r="F117" s="7" t="inlineStr">
        <is>
          <t>Laptops</t>
        </is>
      </c>
      <c r="G117" s="7" t="inlineStr">
        <is>
          <t>East</t>
        </is>
      </c>
      <c r="H117" s="7" t="inlineStr">
        <is>
          <t>Massachusetts</t>
        </is>
      </c>
      <c r="I117" s="7" t="inlineStr">
        <is>
          <t>Wholesale</t>
        </is>
      </c>
      <c r="J117" s="7" t="inlineStr">
        <is>
          <t>Consumer</t>
        </is>
      </c>
      <c r="K117" s="8" t="n">
        <v>6</v>
      </c>
      <c r="L117" s="9" t="n">
        <v>1199.99</v>
      </c>
      <c r="M117" s="10" t="n">
        <v>0.2</v>
      </c>
      <c r="N117" s="9" t="n">
        <v>863.99</v>
      </c>
      <c r="O117" s="9" t="n">
        <v>7199.94</v>
      </c>
      <c r="P117" s="9" t="n">
        <v>1439.99</v>
      </c>
      <c r="Q117" s="9" t="n">
        <v>5759.95</v>
      </c>
      <c r="R117" s="9" t="n">
        <v>5183.94</v>
      </c>
      <c r="S117" s="9" t="n">
        <v>576.01</v>
      </c>
      <c r="T117" s="10" t="n">
        <v>0.1</v>
      </c>
    </row>
    <row r="118">
      <c r="A118" s="7" t="inlineStr">
        <is>
          <t>ORD-2024-1105</t>
        </is>
      </c>
      <c r="B118" s="7" t="inlineStr">
        <is>
          <t>2024-02-22</t>
        </is>
      </c>
      <c r="C118" s="7" t="inlineStr">
        <is>
          <t>OFF-ART-006</t>
        </is>
      </c>
      <c r="D118" s="7" t="inlineStr">
        <is>
          <t>Professional Presentation Dry Erase Board</t>
        </is>
      </c>
      <c r="E118" s="7" t="inlineStr">
        <is>
          <t>Office Supplies</t>
        </is>
      </c>
      <c r="F118" s="7" t="inlineStr">
        <is>
          <t>Presentation &amp; Art</t>
        </is>
      </c>
      <c r="G118" s="7" t="inlineStr">
        <is>
          <t>East</t>
        </is>
      </c>
      <c r="H118" s="7" t="inlineStr">
        <is>
          <t>Pennsylvania</t>
        </is>
      </c>
      <c r="I118" s="7" t="inlineStr">
        <is>
          <t>Online</t>
        </is>
      </c>
      <c r="J118" s="7" t="inlineStr">
        <is>
          <t>Home Office</t>
        </is>
      </c>
      <c r="K118" s="8" t="n">
        <v>3</v>
      </c>
      <c r="L118" s="9" t="n">
        <v>89.98999999999999</v>
      </c>
      <c r="M118" s="10" t="n">
        <v>0</v>
      </c>
      <c r="N118" s="9" t="n">
        <v>53.99</v>
      </c>
      <c r="O118" s="9" t="n">
        <v>269.97</v>
      </c>
      <c r="P118" s="9" t="n">
        <v>0</v>
      </c>
      <c r="Q118" s="9" t="n">
        <v>269.97</v>
      </c>
      <c r="R118" s="9" t="n">
        <v>161.97</v>
      </c>
      <c r="S118" s="9" t="n">
        <v>108</v>
      </c>
      <c r="T118" s="10" t="n">
        <v>0.4</v>
      </c>
    </row>
    <row r="119">
      <c r="A119" s="7" t="inlineStr">
        <is>
          <t>ORD-2024-1311</t>
        </is>
      </c>
      <c r="B119" s="7" t="inlineStr">
        <is>
          <t>2024-02-22</t>
        </is>
      </c>
      <c r="C119" s="7" t="inlineStr">
        <is>
          <t>TEC-TAB-003</t>
        </is>
      </c>
      <c r="D119" s="7" t="inlineStr">
        <is>
          <t>VisionPad Pro 11"</t>
        </is>
      </c>
      <c r="E119" s="7" t="inlineStr">
        <is>
          <t>Technology</t>
        </is>
      </c>
      <c r="F119" s="7" t="inlineStr">
        <is>
          <t>Phones &amp; Tablets</t>
        </is>
      </c>
      <c r="G119" s="7" t="inlineStr">
        <is>
          <t>Central</t>
        </is>
      </c>
      <c r="H119" s="7" t="inlineStr">
        <is>
          <t>Michigan</t>
        </is>
      </c>
      <c r="I119" s="7" t="inlineStr">
        <is>
          <t>Direct Sales</t>
        </is>
      </c>
      <c r="J119" s="7" t="inlineStr">
        <is>
          <t>Consumer</t>
        </is>
      </c>
      <c r="K119" s="8" t="n">
        <v>2</v>
      </c>
      <c r="L119" s="9" t="n">
        <v>649.99</v>
      </c>
      <c r="M119" s="10" t="n">
        <v>0.05</v>
      </c>
      <c r="N119" s="9" t="n">
        <v>487.49</v>
      </c>
      <c r="O119" s="9" t="n">
        <v>1299.98</v>
      </c>
      <c r="P119" s="9" t="n">
        <v>65</v>
      </c>
      <c r="Q119" s="9" t="n">
        <v>1234.98</v>
      </c>
      <c r="R119" s="9" t="n">
        <v>974.98</v>
      </c>
      <c r="S119" s="9" t="n">
        <v>260</v>
      </c>
      <c r="T119" s="10" t="n">
        <v>0.2105</v>
      </c>
    </row>
    <row r="120">
      <c r="A120" s="7" t="inlineStr">
        <is>
          <t>ORD-2024-1486</t>
        </is>
      </c>
      <c r="B120" s="7" t="inlineStr">
        <is>
          <t>2024-02-22</t>
        </is>
      </c>
      <c r="C120" s="7" t="inlineStr">
        <is>
          <t>FUR-BOK-005</t>
        </is>
      </c>
      <c r="D120" s="7" t="inlineStr">
        <is>
          <t>Modular 5-Tier Steel Bookcase</t>
        </is>
      </c>
      <c r="E120" s="7" t="inlineStr">
        <is>
          <t>Furniture</t>
        </is>
      </c>
      <c r="F120" s="7" t="inlineStr">
        <is>
          <t>Bookcases</t>
        </is>
      </c>
      <c r="G120" s="7" t="inlineStr">
        <is>
          <t>Central</t>
        </is>
      </c>
      <c r="H120" s="7" t="inlineStr">
        <is>
          <t>Michigan</t>
        </is>
      </c>
      <c r="I120" s="7" t="inlineStr">
        <is>
          <t>Wholesale</t>
        </is>
      </c>
      <c r="J120" s="7" t="inlineStr">
        <is>
          <t>Consumer</t>
        </is>
      </c>
      <c r="K120" s="8" t="n">
        <v>10</v>
      </c>
      <c r="L120" s="9" t="n">
        <v>189.99</v>
      </c>
      <c r="M120" s="10" t="n">
        <v>0.15</v>
      </c>
      <c r="N120" s="9" t="n">
        <v>142.49</v>
      </c>
      <c r="O120" s="9" t="n">
        <v>1899.9</v>
      </c>
      <c r="P120" s="9" t="n">
        <v>284.98</v>
      </c>
      <c r="Q120" s="9" t="n">
        <v>1614.92</v>
      </c>
      <c r="R120" s="9" t="n">
        <v>1424.9</v>
      </c>
      <c r="S120" s="9" t="n">
        <v>190.02</v>
      </c>
      <c r="T120" s="10" t="n">
        <v>0.1177</v>
      </c>
    </row>
    <row r="121">
      <c r="A121" s="7" t="inlineStr">
        <is>
          <t>ORD-2024-1049</t>
        </is>
      </c>
      <c r="B121" s="7" t="inlineStr">
        <is>
          <t>2024-02-24</t>
        </is>
      </c>
      <c r="C121" s="7" t="inlineStr">
        <is>
          <t>TEC-ACC-008</t>
        </is>
      </c>
      <c r="D121" s="7" t="inlineStr">
        <is>
          <t>Precision Laser Bluetooth Mouse</t>
        </is>
      </c>
      <c r="E121" s="7" t="inlineStr">
        <is>
          <t>Technology</t>
        </is>
      </c>
      <c r="F121" s="7" t="inlineStr">
        <is>
          <t>Audio &amp; Accessories</t>
        </is>
      </c>
      <c r="G121" s="7" t="inlineStr">
        <is>
          <t>West</t>
        </is>
      </c>
      <c r="H121" s="7" t="inlineStr">
        <is>
          <t>Colorado</t>
        </is>
      </c>
      <c r="I121" s="7" t="inlineStr">
        <is>
          <t>Wholesale</t>
        </is>
      </c>
      <c r="J121" s="7" t="inlineStr">
        <is>
          <t>Home Office</t>
        </is>
      </c>
      <c r="K121" s="8" t="n">
        <v>12</v>
      </c>
      <c r="L121" s="9" t="n">
        <v>49.99</v>
      </c>
      <c r="M121" s="10" t="n">
        <v>0.15</v>
      </c>
      <c r="N121" s="9" t="n">
        <v>27.49</v>
      </c>
      <c r="O121" s="9" t="n">
        <v>599.88</v>
      </c>
      <c r="P121" s="9" t="n">
        <v>89.98</v>
      </c>
      <c r="Q121" s="9" t="n">
        <v>509.9</v>
      </c>
      <c r="R121" s="9" t="n">
        <v>329.88</v>
      </c>
      <c r="S121" s="9" t="n">
        <v>180.02</v>
      </c>
      <c r="T121" s="10" t="n">
        <v>0.353</v>
      </c>
    </row>
    <row r="122">
      <c r="A122" s="7" t="inlineStr">
        <is>
          <t>ORD-2024-1198</t>
        </is>
      </c>
      <c r="B122" s="7" t="inlineStr">
        <is>
          <t>2024-02-25</t>
        </is>
      </c>
      <c r="C122" s="7" t="inlineStr">
        <is>
          <t>OFF-STR-002</t>
        </is>
      </c>
      <c r="D122" s="7" t="inlineStr">
        <is>
          <t>Stackable Heavy-Duty Storage Bins (4-Pk)</t>
        </is>
      </c>
      <c r="E122" s="7" t="inlineStr">
        <is>
          <t>Office Supplies</t>
        </is>
      </c>
      <c r="F122" s="7" t="inlineStr">
        <is>
          <t>Storage &amp; Organizers</t>
        </is>
      </c>
      <c r="G122" s="7" t="inlineStr">
        <is>
          <t>East</t>
        </is>
      </c>
      <c r="H122" s="7" t="inlineStr">
        <is>
          <t>Pennsylvania</t>
        </is>
      </c>
      <c r="I122" s="7" t="inlineStr">
        <is>
          <t>Direct Sales</t>
        </is>
      </c>
      <c r="J122" s="7" t="inlineStr">
        <is>
          <t>Corporate</t>
        </is>
      </c>
      <c r="K122" s="8" t="n">
        <v>6</v>
      </c>
      <c r="L122" s="9" t="n">
        <v>44.99</v>
      </c>
      <c r="M122" s="10" t="n">
        <v>0.05</v>
      </c>
      <c r="N122" s="9" t="n">
        <v>24.74</v>
      </c>
      <c r="O122" s="9" t="n">
        <v>269.94</v>
      </c>
      <c r="P122" s="9" t="n">
        <v>13.5</v>
      </c>
      <c r="Q122" s="9" t="n">
        <v>256.44</v>
      </c>
      <c r="R122" s="9" t="n">
        <v>148.44</v>
      </c>
      <c r="S122" s="9" t="n">
        <v>108</v>
      </c>
      <c r="T122" s="10" t="n">
        <v>0.4212</v>
      </c>
    </row>
    <row r="123">
      <c r="A123" s="7" t="inlineStr">
        <is>
          <t>ORD-2024-1552</t>
        </is>
      </c>
      <c r="B123" s="7" t="inlineStr">
        <is>
          <t>2024-02-26</t>
        </is>
      </c>
      <c r="C123" s="7" t="inlineStr">
        <is>
          <t>FUR-LGT-006</t>
        </is>
      </c>
      <c r="D123" s="7" t="inlineStr">
        <is>
          <t>Architect LED Desk Task Lamp</t>
        </is>
      </c>
      <c r="E123" s="7" t="inlineStr">
        <is>
          <t>Furniture</t>
        </is>
      </c>
      <c r="F123" s="7" t="inlineStr">
        <is>
          <t>Lighting</t>
        </is>
      </c>
      <c r="G123" s="7" t="inlineStr">
        <is>
          <t>South</t>
        </is>
      </c>
      <c r="H123" s="7" t="inlineStr">
        <is>
          <t>North Carolina</t>
        </is>
      </c>
      <c r="I123" s="7" t="inlineStr">
        <is>
          <t>Retail Partner</t>
        </is>
      </c>
      <c r="J123" s="7" t="inlineStr">
        <is>
          <t>Home Office</t>
        </is>
      </c>
      <c r="K123" s="8" t="n">
        <v>4</v>
      </c>
      <c r="L123" s="9" t="n">
        <v>69.98999999999999</v>
      </c>
      <c r="M123" s="10" t="n">
        <v>0</v>
      </c>
      <c r="N123" s="9" t="n">
        <v>43.39</v>
      </c>
      <c r="O123" s="9" t="n">
        <v>279.96</v>
      </c>
      <c r="P123" s="9" t="n">
        <v>0</v>
      </c>
      <c r="Q123" s="9" t="n">
        <v>279.96</v>
      </c>
      <c r="R123" s="9" t="n">
        <v>173.56</v>
      </c>
      <c r="S123" s="9" t="n">
        <v>106.4</v>
      </c>
      <c r="T123" s="10" t="n">
        <v>0.3801</v>
      </c>
    </row>
    <row r="124">
      <c r="A124" s="7" t="inlineStr">
        <is>
          <t>ORD-2024-1552</t>
        </is>
      </c>
      <c r="B124" s="7" t="inlineStr">
        <is>
          <t>2024-02-26</t>
        </is>
      </c>
      <c r="C124" s="7" t="inlineStr">
        <is>
          <t>TEC-ACC-005</t>
        </is>
      </c>
      <c r="D124" s="7" t="inlineStr">
        <is>
          <t>UltraWireless Noise-Canceling Headset</t>
        </is>
      </c>
      <c r="E124" s="7" t="inlineStr">
        <is>
          <t>Technology</t>
        </is>
      </c>
      <c r="F124" s="7" t="inlineStr">
        <is>
          <t>Audio &amp; Accessories</t>
        </is>
      </c>
      <c r="G124" s="7" t="inlineStr">
        <is>
          <t>South</t>
        </is>
      </c>
      <c r="H124" s="7" t="inlineStr">
        <is>
          <t>North Carolina</t>
        </is>
      </c>
      <c r="I124" s="7" t="inlineStr">
        <is>
          <t>Retail Partner</t>
        </is>
      </c>
      <c r="J124" s="7" t="inlineStr">
        <is>
          <t>Home Office</t>
        </is>
      </c>
      <c r="K124" s="8" t="n">
        <v>3</v>
      </c>
      <c r="L124" s="9" t="n">
        <v>179.99</v>
      </c>
      <c r="M124" s="10" t="n">
        <v>0</v>
      </c>
      <c r="N124" s="9" t="n">
        <v>111.59</v>
      </c>
      <c r="O124" s="9" t="n">
        <v>539.97</v>
      </c>
      <c r="P124" s="9" t="n">
        <v>0</v>
      </c>
      <c r="Q124" s="9" t="n">
        <v>539.97</v>
      </c>
      <c r="R124" s="9" t="n">
        <v>334.77</v>
      </c>
      <c r="S124" s="9" t="n">
        <v>205.2</v>
      </c>
      <c r="T124" s="10" t="n">
        <v>0.38</v>
      </c>
    </row>
    <row r="125">
      <c r="A125" s="7" t="inlineStr">
        <is>
          <t>ORD-2024-1552</t>
        </is>
      </c>
      <c r="B125" s="7" t="inlineStr">
        <is>
          <t>2024-02-26</t>
        </is>
      </c>
      <c r="C125" s="7" t="inlineStr">
        <is>
          <t>FUR-BOK-005</t>
        </is>
      </c>
      <c r="D125" s="7" t="inlineStr">
        <is>
          <t>Modular 5-Tier Steel Bookcase</t>
        </is>
      </c>
      <c r="E125" s="7" t="inlineStr">
        <is>
          <t>Furniture</t>
        </is>
      </c>
      <c r="F125" s="7" t="inlineStr">
        <is>
          <t>Bookcases</t>
        </is>
      </c>
      <c r="G125" s="7" t="inlineStr">
        <is>
          <t>South</t>
        </is>
      </c>
      <c r="H125" s="7" t="inlineStr">
        <is>
          <t>North Carolina</t>
        </is>
      </c>
      <c r="I125" s="7" t="inlineStr">
        <is>
          <t>Retail Partner</t>
        </is>
      </c>
      <c r="J125" s="7" t="inlineStr">
        <is>
          <t>Home Office</t>
        </is>
      </c>
      <c r="K125" s="8" t="n">
        <v>2</v>
      </c>
      <c r="L125" s="9" t="n">
        <v>189.99</v>
      </c>
      <c r="M125" s="10" t="n">
        <v>0</v>
      </c>
      <c r="N125" s="9" t="n">
        <v>142.49</v>
      </c>
      <c r="O125" s="9" t="n">
        <v>379.98</v>
      </c>
      <c r="P125" s="9" t="n">
        <v>0</v>
      </c>
      <c r="Q125" s="9" t="n">
        <v>379.98</v>
      </c>
      <c r="R125" s="9" t="n">
        <v>284.98</v>
      </c>
      <c r="S125" s="9" t="n">
        <v>95</v>
      </c>
      <c r="T125" s="10" t="n">
        <v>0.25</v>
      </c>
    </row>
    <row r="126">
      <c r="A126" s="7" t="inlineStr">
        <is>
          <t>ORD-2024-1560</t>
        </is>
      </c>
      <c r="B126" s="7" t="inlineStr">
        <is>
          <t>2024-02-26</t>
        </is>
      </c>
      <c r="C126" s="7" t="inlineStr">
        <is>
          <t>OFF-STR-002</t>
        </is>
      </c>
      <c r="D126" s="7" t="inlineStr">
        <is>
          <t>Stackable Heavy-Duty Storage Bins (4-Pk)</t>
        </is>
      </c>
      <c r="E126" s="7" t="inlineStr">
        <is>
          <t>Office Supplies</t>
        </is>
      </c>
      <c r="F126" s="7" t="inlineStr">
        <is>
          <t>Storage &amp; Organizers</t>
        </is>
      </c>
      <c r="G126" s="7" t="inlineStr">
        <is>
          <t>East</t>
        </is>
      </c>
      <c r="H126" s="7" t="inlineStr">
        <is>
          <t>Pennsylvania</t>
        </is>
      </c>
      <c r="I126" s="7" t="inlineStr">
        <is>
          <t>Direct Sales</t>
        </is>
      </c>
      <c r="J126" s="7" t="inlineStr">
        <is>
          <t>Corporate</t>
        </is>
      </c>
      <c r="K126" s="8" t="n">
        <v>3</v>
      </c>
      <c r="L126" s="9" t="n">
        <v>44.99</v>
      </c>
      <c r="M126" s="10" t="n">
        <v>0.05</v>
      </c>
      <c r="N126" s="9" t="n">
        <v>24.74</v>
      </c>
      <c r="O126" s="9" t="n">
        <v>134.97</v>
      </c>
      <c r="P126" s="9" t="n">
        <v>6.75</v>
      </c>
      <c r="Q126" s="9" t="n">
        <v>128.22</v>
      </c>
      <c r="R126" s="9" t="n">
        <v>74.22</v>
      </c>
      <c r="S126" s="9" t="n">
        <v>54</v>
      </c>
      <c r="T126" s="10" t="n">
        <v>0.4212</v>
      </c>
    </row>
    <row r="127">
      <c r="A127" s="7" t="inlineStr">
        <is>
          <t>ORD-2024-1082</t>
        </is>
      </c>
      <c r="B127" s="7" t="inlineStr">
        <is>
          <t>2024-02-27</t>
        </is>
      </c>
      <c r="C127" s="7" t="inlineStr">
        <is>
          <t>OFF-BIN-005</t>
        </is>
      </c>
      <c r="D127" s="7" t="inlineStr">
        <is>
          <t>Heavy-Duty D-Ring Presentation Binder (6-Pk)</t>
        </is>
      </c>
      <c r="E127" s="7" t="inlineStr">
        <is>
          <t>Office Supplies</t>
        </is>
      </c>
      <c r="F127" s="7" t="inlineStr">
        <is>
          <t>Binders &amp; Fasteners</t>
        </is>
      </c>
      <c r="G127" s="7" t="inlineStr">
        <is>
          <t>South</t>
        </is>
      </c>
      <c r="H127" s="7" t="inlineStr">
        <is>
          <t>North Carolina</t>
        </is>
      </c>
      <c r="I127" s="7" t="inlineStr">
        <is>
          <t>Retail Partner</t>
        </is>
      </c>
      <c r="J127" s="7" t="inlineStr">
        <is>
          <t>Home Office</t>
        </is>
      </c>
      <c r="K127" s="8" t="n">
        <v>2</v>
      </c>
      <c r="L127" s="9" t="n">
        <v>27.99</v>
      </c>
      <c r="M127" s="10" t="n">
        <v>0.05</v>
      </c>
      <c r="N127" s="9" t="n">
        <v>13.99</v>
      </c>
      <c r="O127" s="9" t="n">
        <v>55.98</v>
      </c>
      <c r="P127" s="9" t="n">
        <v>2.8</v>
      </c>
      <c r="Q127" s="9" t="n">
        <v>53.18</v>
      </c>
      <c r="R127" s="9" t="n">
        <v>27.98</v>
      </c>
      <c r="S127" s="9" t="n">
        <v>25.2</v>
      </c>
      <c r="T127" s="10" t="n">
        <v>0.4739</v>
      </c>
    </row>
    <row r="128">
      <c r="A128" s="7" t="inlineStr">
        <is>
          <t>ORD-2024-1082</t>
        </is>
      </c>
      <c r="B128" s="7" t="inlineStr">
        <is>
          <t>2024-02-27</t>
        </is>
      </c>
      <c r="C128" s="7" t="inlineStr">
        <is>
          <t>FUR-LGT-006</t>
        </is>
      </c>
      <c r="D128" s="7" t="inlineStr">
        <is>
          <t>Architect LED Desk Task Lamp</t>
        </is>
      </c>
      <c r="E128" s="7" t="inlineStr">
        <is>
          <t>Furniture</t>
        </is>
      </c>
      <c r="F128" s="7" t="inlineStr">
        <is>
          <t>Lighting</t>
        </is>
      </c>
      <c r="G128" s="7" t="inlineStr">
        <is>
          <t>South</t>
        </is>
      </c>
      <c r="H128" s="7" t="inlineStr">
        <is>
          <t>North Carolina</t>
        </is>
      </c>
      <c r="I128" s="7" t="inlineStr">
        <is>
          <t>Retail Partner</t>
        </is>
      </c>
      <c r="J128" s="7" t="inlineStr">
        <is>
          <t>Home Office</t>
        </is>
      </c>
      <c r="K128" s="8" t="n">
        <v>2</v>
      </c>
      <c r="L128" s="9" t="n">
        <v>69.98999999999999</v>
      </c>
      <c r="M128" s="10" t="n">
        <v>0.05</v>
      </c>
      <c r="N128" s="9" t="n">
        <v>43.39</v>
      </c>
      <c r="O128" s="9" t="n">
        <v>139.98</v>
      </c>
      <c r="P128" s="9" t="n">
        <v>7</v>
      </c>
      <c r="Q128" s="9" t="n">
        <v>132.98</v>
      </c>
      <c r="R128" s="9" t="n">
        <v>86.78</v>
      </c>
      <c r="S128" s="9" t="n">
        <v>46.2</v>
      </c>
      <c r="T128" s="10" t="n">
        <v>0.3474</v>
      </c>
    </row>
    <row r="129">
      <c r="A129" s="7" t="inlineStr">
        <is>
          <t>ORD-2024-1082</t>
        </is>
      </c>
      <c r="B129" s="7" t="inlineStr">
        <is>
          <t>2024-02-27</t>
        </is>
      </c>
      <c r="C129" s="7" t="inlineStr">
        <is>
          <t>TEC-LAP-002</t>
        </is>
      </c>
      <c r="D129" s="7" t="inlineStr">
        <is>
          <t>Apex Gaming Laptop 17"</t>
        </is>
      </c>
      <c r="E129" s="7" t="inlineStr">
        <is>
          <t>Technology</t>
        </is>
      </c>
      <c r="F129" s="7" t="inlineStr">
        <is>
          <t>Laptops</t>
        </is>
      </c>
      <c r="G129" s="7" t="inlineStr">
        <is>
          <t>South</t>
        </is>
      </c>
      <c r="H129" s="7" t="inlineStr">
        <is>
          <t>North Carolina</t>
        </is>
      </c>
      <c r="I129" s="7" t="inlineStr">
        <is>
          <t>Retail Partner</t>
        </is>
      </c>
      <c r="J129" s="7" t="inlineStr">
        <is>
          <t>Home Office</t>
        </is>
      </c>
      <c r="K129" s="8" t="n">
        <v>3</v>
      </c>
      <c r="L129" s="9" t="n">
        <v>1499.99</v>
      </c>
      <c r="M129" s="10" t="n">
        <v>0.25</v>
      </c>
      <c r="N129" s="9" t="n">
        <v>1259.99</v>
      </c>
      <c r="O129" s="9" t="n">
        <v>4499.97</v>
      </c>
      <c r="P129" s="9" t="n">
        <v>1124.99</v>
      </c>
      <c r="Q129" s="9" t="n">
        <v>3374.98</v>
      </c>
      <c r="R129" s="9" t="n">
        <v>3779.97</v>
      </c>
      <c r="S129" s="9" t="n">
        <v>-404.99</v>
      </c>
      <c r="T129" s="10" t="n">
        <v>-0.12</v>
      </c>
    </row>
    <row r="130">
      <c r="A130" s="7" t="inlineStr">
        <is>
          <t>ORD-2024-1082</t>
        </is>
      </c>
      <c r="B130" s="7" t="inlineStr">
        <is>
          <t>2024-02-27</t>
        </is>
      </c>
      <c r="C130" s="7" t="inlineStr">
        <is>
          <t>FUR-DSK-004</t>
        </is>
      </c>
      <c r="D130" s="7" t="inlineStr">
        <is>
          <t>Metro Compact Corner Workstation</t>
        </is>
      </c>
      <c r="E130" s="7" t="inlineStr">
        <is>
          <t>Furniture</t>
        </is>
      </c>
      <c r="F130" s="7" t="inlineStr">
        <is>
          <t>Desks &amp; Workstations</t>
        </is>
      </c>
      <c r="G130" s="7" t="inlineStr">
        <is>
          <t>South</t>
        </is>
      </c>
      <c r="H130" s="7" t="inlineStr">
        <is>
          <t>North Carolina</t>
        </is>
      </c>
      <c r="I130" s="7" t="inlineStr">
        <is>
          <t>Retail Partner</t>
        </is>
      </c>
      <c r="J130" s="7" t="inlineStr">
        <is>
          <t>Home Office</t>
        </is>
      </c>
      <c r="K130" s="8" t="n">
        <v>1</v>
      </c>
      <c r="L130" s="9" t="n">
        <v>329.99</v>
      </c>
      <c r="M130" s="10" t="n">
        <v>0.1</v>
      </c>
      <c r="N130" s="9" t="n">
        <v>250.79</v>
      </c>
      <c r="O130" s="9" t="n">
        <v>329.99</v>
      </c>
      <c r="P130" s="9" t="n">
        <v>33</v>
      </c>
      <c r="Q130" s="9" t="n">
        <v>296.99</v>
      </c>
      <c r="R130" s="9" t="n">
        <v>250.79</v>
      </c>
      <c r="S130" s="9" t="n">
        <v>46.2</v>
      </c>
      <c r="T130" s="10" t="n">
        <v>0.1556</v>
      </c>
    </row>
    <row r="131">
      <c r="A131" s="7" t="inlineStr">
        <is>
          <t>ORD-2024-1677</t>
        </is>
      </c>
      <c r="B131" s="7" t="inlineStr">
        <is>
          <t>2024-02-27</t>
        </is>
      </c>
      <c r="C131" s="7" t="inlineStr">
        <is>
          <t>OFF-PAP-004</t>
        </is>
      </c>
      <c r="D131" s="7" t="inlineStr">
        <is>
          <t>EcoRecycled Copy Paper (5 Reams)</t>
        </is>
      </c>
      <c r="E131" s="7" t="inlineStr">
        <is>
          <t>Office Supplies</t>
        </is>
      </c>
      <c r="F131" s="7" t="inlineStr">
        <is>
          <t>Paper Products</t>
        </is>
      </c>
      <c r="G131" s="7" t="inlineStr">
        <is>
          <t>East</t>
        </is>
      </c>
      <c r="H131" s="7" t="inlineStr">
        <is>
          <t>Massachusetts</t>
        </is>
      </c>
      <c r="I131" s="7" t="inlineStr">
        <is>
          <t>Direct Sales</t>
        </is>
      </c>
      <c r="J131" s="7" t="inlineStr">
        <is>
          <t>Home Office</t>
        </is>
      </c>
      <c r="K131" s="8" t="n">
        <v>1</v>
      </c>
      <c r="L131" s="9" t="n">
        <v>32.99</v>
      </c>
      <c r="M131" s="10" t="n">
        <v>0</v>
      </c>
      <c r="N131" s="9" t="n">
        <v>19.79</v>
      </c>
      <c r="O131" s="9" t="n">
        <v>32.99</v>
      </c>
      <c r="P131" s="9" t="n">
        <v>0</v>
      </c>
      <c r="Q131" s="9" t="n">
        <v>32.99</v>
      </c>
      <c r="R131" s="9" t="n">
        <v>19.79</v>
      </c>
      <c r="S131" s="9" t="n">
        <v>13.2</v>
      </c>
      <c r="T131" s="10" t="n">
        <v>0.4001</v>
      </c>
    </row>
    <row r="132">
      <c r="A132" s="7" t="inlineStr">
        <is>
          <t>ORD-2024-1677</t>
        </is>
      </c>
      <c r="B132" s="7" t="inlineStr">
        <is>
          <t>2024-02-27</t>
        </is>
      </c>
      <c r="C132" s="7" t="inlineStr">
        <is>
          <t>OFF-STR-001</t>
        </is>
      </c>
      <c r="D132" s="7" t="inlineStr">
        <is>
          <t>SteelLock 3-Drawer File Cabinet</t>
        </is>
      </c>
      <c r="E132" s="7" t="inlineStr">
        <is>
          <t>Office Supplies</t>
        </is>
      </c>
      <c r="F132" s="7" t="inlineStr">
        <is>
          <t>Storage &amp; Organizers</t>
        </is>
      </c>
      <c r="G132" s="7" t="inlineStr">
        <is>
          <t>East</t>
        </is>
      </c>
      <c r="H132" s="7" t="inlineStr">
        <is>
          <t>Massachusetts</t>
        </is>
      </c>
      <c r="I132" s="7" t="inlineStr">
        <is>
          <t>Direct Sales</t>
        </is>
      </c>
      <c r="J132" s="7" t="inlineStr">
        <is>
          <t>Home Office</t>
        </is>
      </c>
      <c r="K132" s="8" t="n">
        <v>2</v>
      </c>
      <c r="L132" s="9" t="n">
        <v>169.99</v>
      </c>
      <c r="M132" s="10" t="n">
        <v>0.1</v>
      </c>
      <c r="N132" s="9" t="n">
        <v>115.59</v>
      </c>
      <c r="O132" s="9" t="n">
        <v>339.98</v>
      </c>
      <c r="P132" s="9" t="n">
        <v>34</v>
      </c>
      <c r="Q132" s="9" t="n">
        <v>305.98</v>
      </c>
      <c r="R132" s="9" t="n">
        <v>231.18</v>
      </c>
      <c r="S132" s="9" t="n">
        <v>74.8</v>
      </c>
      <c r="T132" s="10" t="n">
        <v>0.2445</v>
      </c>
    </row>
    <row r="133">
      <c r="A133" s="7" t="inlineStr">
        <is>
          <t>ORD-2024-1320</t>
        </is>
      </c>
      <c r="B133" s="7" t="inlineStr">
        <is>
          <t>2024-03-02</t>
        </is>
      </c>
      <c r="C133" s="7" t="inlineStr">
        <is>
          <t>FUR-BOK-005</t>
        </is>
      </c>
      <c r="D133" s="7" t="inlineStr">
        <is>
          <t>Modular 5-Tier Steel Bookcase</t>
        </is>
      </c>
      <c r="E133" s="7" t="inlineStr">
        <is>
          <t>Furniture</t>
        </is>
      </c>
      <c r="F133" s="7" t="inlineStr">
        <is>
          <t>Bookcases</t>
        </is>
      </c>
      <c r="G133" s="7" t="inlineStr">
        <is>
          <t>South</t>
        </is>
      </c>
      <c r="H133" s="7" t="inlineStr">
        <is>
          <t>Georgia</t>
        </is>
      </c>
      <c r="I133" s="7" t="inlineStr">
        <is>
          <t>Retail Partner</t>
        </is>
      </c>
      <c r="J133" s="7" t="inlineStr">
        <is>
          <t>Consumer</t>
        </is>
      </c>
      <c r="K133" s="8" t="n">
        <v>1</v>
      </c>
      <c r="L133" s="9" t="n">
        <v>189.99</v>
      </c>
      <c r="M133" s="10" t="n">
        <v>0</v>
      </c>
      <c r="N133" s="9" t="n">
        <v>142.49</v>
      </c>
      <c r="O133" s="9" t="n">
        <v>189.99</v>
      </c>
      <c r="P133" s="9" t="n">
        <v>0</v>
      </c>
      <c r="Q133" s="9" t="n">
        <v>189.99</v>
      </c>
      <c r="R133" s="9" t="n">
        <v>142.49</v>
      </c>
      <c r="S133" s="9" t="n">
        <v>47.5</v>
      </c>
      <c r="T133" s="10" t="n">
        <v>0.25</v>
      </c>
    </row>
    <row r="134">
      <c r="A134" s="7" t="inlineStr">
        <is>
          <t>ORD-2024-1544</t>
        </is>
      </c>
      <c r="B134" s="7" t="inlineStr">
        <is>
          <t>2024-03-02</t>
        </is>
      </c>
      <c r="C134" s="7" t="inlineStr">
        <is>
          <t>OFF-STR-001</t>
        </is>
      </c>
      <c r="D134" s="7" t="inlineStr">
        <is>
          <t>SteelLock 3-Drawer File Cabinet</t>
        </is>
      </c>
      <c r="E134" s="7" t="inlineStr">
        <is>
          <t>Office Supplies</t>
        </is>
      </c>
      <c r="F134" s="7" t="inlineStr">
        <is>
          <t>Storage &amp; Organizers</t>
        </is>
      </c>
      <c r="G134" s="7" t="inlineStr">
        <is>
          <t>Central</t>
        </is>
      </c>
      <c r="H134" s="7" t="inlineStr">
        <is>
          <t>Michigan</t>
        </is>
      </c>
      <c r="I134" s="7" t="inlineStr">
        <is>
          <t>Direct Sales</t>
        </is>
      </c>
      <c r="J134" s="7" t="inlineStr">
        <is>
          <t>Consumer</t>
        </is>
      </c>
      <c r="K134" s="8" t="n">
        <v>2</v>
      </c>
      <c r="L134" s="9" t="n">
        <v>169.99</v>
      </c>
      <c r="M134" s="10" t="n">
        <v>0</v>
      </c>
      <c r="N134" s="9" t="n">
        <v>115.59</v>
      </c>
      <c r="O134" s="9" t="n">
        <v>339.98</v>
      </c>
      <c r="P134" s="9" t="n">
        <v>0</v>
      </c>
      <c r="Q134" s="9" t="n">
        <v>339.98</v>
      </c>
      <c r="R134" s="9" t="n">
        <v>231.18</v>
      </c>
      <c r="S134" s="9" t="n">
        <v>108.8</v>
      </c>
      <c r="T134" s="10" t="n">
        <v>0.32</v>
      </c>
    </row>
    <row r="135">
      <c r="A135" s="7" t="inlineStr">
        <is>
          <t>ORD-2024-1196</t>
        </is>
      </c>
      <c r="B135" s="7" t="inlineStr">
        <is>
          <t>2024-03-03</t>
        </is>
      </c>
      <c r="C135" s="7" t="inlineStr">
        <is>
          <t>OFF-DSK-008</t>
        </is>
      </c>
      <c r="D135" s="7" t="inlineStr">
        <is>
          <t>Steel Desktop Mesh Organizer Caddy</t>
        </is>
      </c>
      <c r="E135" s="7" t="inlineStr">
        <is>
          <t>Office Supplies</t>
        </is>
      </c>
      <c r="F135" s="7" t="inlineStr">
        <is>
          <t>Desk Supplies</t>
        </is>
      </c>
      <c r="G135" s="7" t="inlineStr">
        <is>
          <t>Central</t>
        </is>
      </c>
      <c r="H135" s="7" t="inlineStr">
        <is>
          <t>Texas</t>
        </is>
      </c>
      <c r="I135" s="7" t="inlineStr">
        <is>
          <t>Direct Sales</t>
        </is>
      </c>
      <c r="J135" s="7" t="inlineStr">
        <is>
          <t>Consumer</t>
        </is>
      </c>
      <c r="K135" s="8" t="n">
        <v>1</v>
      </c>
      <c r="L135" s="9" t="n">
        <v>18.99</v>
      </c>
      <c r="M135" s="10" t="n">
        <v>0</v>
      </c>
      <c r="N135" s="9" t="n">
        <v>8.550000000000001</v>
      </c>
      <c r="O135" s="9" t="n">
        <v>18.99</v>
      </c>
      <c r="P135" s="9" t="n">
        <v>0</v>
      </c>
      <c r="Q135" s="9" t="n">
        <v>18.99</v>
      </c>
      <c r="R135" s="9" t="n">
        <v>8.550000000000001</v>
      </c>
      <c r="S135" s="9" t="n">
        <v>10.44</v>
      </c>
      <c r="T135" s="10" t="n">
        <v>0.5498</v>
      </c>
    </row>
    <row r="136">
      <c r="A136" s="7" t="inlineStr">
        <is>
          <t>ORD-2024-1214</t>
        </is>
      </c>
      <c r="B136" s="7" t="inlineStr">
        <is>
          <t>2024-03-03</t>
        </is>
      </c>
      <c r="C136" s="7" t="inlineStr">
        <is>
          <t>TEC-TAB-004</t>
        </is>
      </c>
      <c r="D136" s="7" t="inlineStr">
        <is>
          <t>VisionPad Lite 8.5"</t>
        </is>
      </c>
      <c r="E136" s="7" t="inlineStr">
        <is>
          <t>Technology</t>
        </is>
      </c>
      <c r="F136" s="7" t="inlineStr">
        <is>
          <t>Phones &amp; Tablets</t>
        </is>
      </c>
      <c r="G136" s="7" t="inlineStr">
        <is>
          <t>Central</t>
        </is>
      </c>
      <c r="H136" s="7" t="inlineStr">
        <is>
          <t>Texas</t>
        </is>
      </c>
      <c r="I136" s="7" t="inlineStr">
        <is>
          <t>Wholesale</t>
        </is>
      </c>
      <c r="J136" s="7" t="inlineStr">
        <is>
          <t>Consumer</t>
        </is>
      </c>
      <c r="K136" s="8" t="n">
        <v>12</v>
      </c>
      <c r="L136" s="9" t="n">
        <v>299.99</v>
      </c>
      <c r="M136" s="10" t="n">
        <v>0.2</v>
      </c>
      <c r="N136" s="9" t="n">
        <v>245.99</v>
      </c>
      <c r="O136" s="9" t="n">
        <v>3599.88</v>
      </c>
      <c r="P136" s="9" t="n">
        <v>719.98</v>
      </c>
      <c r="Q136" s="9" t="n">
        <v>2879.9</v>
      </c>
      <c r="R136" s="9" t="n">
        <v>2951.88</v>
      </c>
      <c r="S136" s="9" t="n">
        <v>-71.98</v>
      </c>
      <c r="T136" s="10" t="n">
        <v>-0.025</v>
      </c>
    </row>
    <row r="137">
      <c r="A137" s="7" t="inlineStr">
        <is>
          <t>ORD-2024-1701</t>
        </is>
      </c>
      <c r="B137" s="7" t="inlineStr">
        <is>
          <t>2024-03-03</t>
        </is>
      </c>
      <c r="C137" s="7" t="inlineStr">
        <is>
          <t>FUR-CHA-001</t>
        </is>
      </c>
      <c r="D137" s="7" t="inlineStr">
        <is>
          <t>ErgoFlex Executive Mesh Chair</t>
        </is>
      </c>
      <c r="E137" s="7" t="inlineStr">
        <is>
          <t>Furniture</t>
        </is>
      </c>
      <c r="F137" s="7" t="inlineStr">
        <is>
          <t>Chairs</t>
        </is>
      </c>
      <c r="G137" s="7" t="inlineStr">
        <is>
          <t>East</t>
        </is>
      </c>
      <c r="H137" s="7" t="inlineStr">
        <is>
          <t>Massachusetts</t>
        </is>
      </c>
      <c r="I137" s="7" t="inlineStr">
        <is>
          <t>Direct Sales</t>
        </is>
      </c>
      <c r="J137" s="7" t="inlineStr">
        <is>
          <t>Consumer</t>
        </is>
      </c>
      <c r="K137" s="8" t="n">
        <v>1</v>
      </c>
      <c r="L137" s="9" t="n">
        <v>389.99</v>
      </c>
      <c r="M137" s="10" t="n">
        <v>0.2</v>
      </c>
      <c r="N137" s="9" t="n">
        <v>331.49</v>
      </c>
      <c r="O137" s="9" t="n">
        <v>389.99</v>
      </c>
      <c r="P137" s="9" t="n">
        <v>78</v>
      </c>
      <c r="Q137" s="9" t="n">
        <v>311.99</v>
      </c>
      <c r="R137" s="9" t="n">
        <v>331.49</v>
      </c>
      <c r="S137" s="9" t="n">
        <v>-19.5</v>
      </c>
      <c r="T137" s="10" t="n">
        <v>-0.0625</v>
      </c>
    </row>
    <row r="138">
      <c r="A138" s="7" t="inlineStr">
        <is>
          <t>ORD-2024-1319</t>
        </is>
      </c>
      <c r="B138" s="7" t="inlineStr">
        <is>
          <t>2024-03-04</t>
        </is>
      </c>
      <c r="C138" s="7" t="inlineStr">
        <is>
          <t>OFF-DSK-008</t>
        </is>
      </c>
      <c r="D138" s="7" t="inlineStr">
        <is>
          <t>Steel Desktop Mesh Organizer Caddy</t>
        </is>
      </c>
      <c r="E138" s="7" t="inlineStr">
        <is>
          <t>Office Supplies</t>
        </is>
      </c>
      <c r="F138" s="7" t="inlineStr">
        <is>
          <t>Desk Supplies</t>
        </is>
      </c>
      <c r="G138" s="7" t="inlineStr">
        <is>
          <t>West</t>
        </is>
      </c>
      <c r="H138" s="7" t="inlineStr">
        <is>
          <t>Oregon</t>
        </is>
      </c>
      <c r="I138" s="7" t="inlineStr">
        <is>
          <t>Online</t>
        </is>
      </c>
      <c r="J138" s="7" t="inlineStr">
        <is>
          <t>Consumer</t>
        </is>
      </c>
      <c r="K138" s="8" t="n">
        <v>4</v>
      </c>
      <c r="L138" s="9" t="n">
        <v>18.99</v>
      </c>
      <c r="M138" s="10" t="n">
        <v>0.05</v>
      </c>
      <c r="N138" s="9" t="n">
        <v>8.550000000000001</v>
      </c>
      <c r="O138" s="9" t="n">
        <v>75.95999999999999</v>
      </c>
      <c r="P138" s="9" t="n">
        <v>3.8</v>
      </c>
      <c r="Q138" s="9" t="n">
        <v>72.16</v>
      </c>
      <c r="R138" s="9" t="n">
        <v>34.2</v>
      </c>
      <c r="S138" s="9" t="n">
        <v>37.96</v>
      </c>
      <c r="T138" s="10" t="n">
        <v>0.5261</v>
      </c>
    </row>
    <row r="139">
      <c r="A139" s="7" t="inlineStr">
        <is>
          <t>ORD-2024-1319</t>
        </is>
      </c>
      <c r="B139" s="7" t="inlineStr">
        <is>
          <t>2024-03-04</t>
        </is>
      </c>
      <c r="C139" s="7" t="inlineStr">
        <is>
          <t>OFF-PAP-003</t>
        </is>
      </c>
      <c r="D139" s="7" t="inlineStr">
        <is>
          <t>UltraWhite Premium Multipurpose Paper (Case)</t>
        </is>
      </c>
      <c r="E139" s="7" t="inlineStr">
        <is>
          <t>Office Supplies</t>
        </is>
      </c>
      <c r="F139" s="7" t="inlineStr">
        <is>
          <t>Paper Products</t>
        </is>
      </c>
      <c r="G139" s="7" t="inlineStr">
        <is>
          <t>West</t>
        </is>
      </c>
      <c r="H139" s="7" t="inlineStr">
        <is>
          <t>Oregon</t>
        </is>
      </c>
      <c r="I139" s="7" t="inlineStr">
        <is>
          <t>Online</t>
        </is>
      </c>
      <c r="J139" s="7" t="inlineStr">
        <is>
          <t>Consumer</t>
        </is>
      </c>
      <c r="K139" s="8" t="n">
        <v>3</v>
      </c>
      <c r="L139" s="9" t="n">
        <v>54.99</v>
      </c>
      <c r="M139" s="10" t="n">
        <v>0</v>
      </c>
      <c r="N139" s="9" t="n">
        <v>31.89</v>
      </c>
      <c r="O139" s="9" t="n">
        <v>164.97</v>
      </c>
      <c r="P139" s="9" t="n">
        <v>0</v>
      </c>
      <c r="Q139" s="9" t="n">
        <v>164.97</v>
      </c>
      <c r="R139" s="9" t="n">
        <v>95.67</v>
      </c>
      <c r="S139" s="9" t="n">
        <v>69.3</v>
      </c>
      <c r="T139" s="10" t="n">
        <v>0.4201</v>
      </c>
    </row>
    <row r="140">
      <c r="A140" s="7" t="inlineStr">
        <is>
          <t>ORD-2024-1386</t>
        </is>
      </c>
      <c r="B140" s="7" t="inlineStr">
        <is>
          <t>2024-03-04</t>
        </is>
      </c>
      <c r="C140" s="7" t="inlineStr">
        <is>
          <t>TEC-ACC-008</t>
        </is>
      </c>
      <c r="D140" s="7" t="inlineStr">
        <is>
          <t>Precision Laser Bluetooth Mouse</t>
        </is>
      </c>
      <c r="E140" s="7" t="inlineStr">
        <is>
          <t>Technology</t>
        </is>
      </c>
      <c r="F140" s="7" t="inlineStr">
        <is>
          <t>Audio &amp; Accessories</t>
        </is>
      </c>
      <c r="G140" s="7" t="inlineStr">
        <is>
          <t>East</t>
        </is>
      </c>
      <c r="H140" s="7" t="inlineStr">
        <is>
          <t>New York</t>
        </is>
      </c>
      <c r="I140" s="7" t="inlineStr">
        <is>
          <t>Direct Sales</t>
        </is>
      </c>
      <c r="J140" s="7" t="inlineStr">
        <is>
          <t>Corporate</t>
        </is>
      </c>
      <c r="K140" s="8" t="n">
        <v>5</v>
      </c>
      <c r="L140" s="9" t="n">
        <v>49.99</v>
      </c>
      <c r="M140" s="10" t="n">
        <v>0.15</v>
      </c>
      <c r="N140" s="9" t="n">
        <v>27.49</v>
      </c>
      <c r="O140" s="9" t="n">
        <v>249.95</v>
      </c>
      <c r="P140" s="9" t="n">
        <v>37.49</v>
      </c>
      <c r="Q140" s="9" t="n">
        <v>212.46</v>
      </c>
      <c r="R140" s="9" t="n">
        <v>137.45</v>
      </c>
      <c r="S140" s="9" t="n">
        <v>75.01000000000001</v>
      </c>
      <c r="T140" s="10" t="n">
        <v>0.3531</v>
      </c>
    </row>
    <row r="141">
      <c r="A141" s="7" t="inlineStr">
        <is>
          <t>ORD-2024-1118</t>
        </is>
      </c>
      <c r="B141" s="7" t="inlineStr">
        <is>
          <t>2024-03-05</t>
        </is>
      </c>
      <c r="C141" s="7" t="inlineStr">
        <is>
          <t>OFF-DSK-008</t>
        </is>
      </c>
      <c r="D141" s="7" t="inlineStr">
        <is>
          <t>Steel Desktop Mesh Organizer Caddy</t>
        </is>
      </c>
      <c r="E141" s="7" t="inlineStr">
        <is>
          <t>Office Supplies</t>
        </is>
      </c>
      <c r="F141" s="7" t="inlineStr">
        <is>
          <t>Desk Supplies</t>
        </is>
      </c>
      <c r="G141" s="7" t="inlineStr">
        <is>
          <t>Central</t>
        </is>
      </c>
      <c r="H141" s="7" t="inlineStr">
        <is>
          <t>Michigan</t>
        </is>
      </c>
      <c r="I141" s="7" t="inlineStr">
        <is>
          <t>Direct Sales</t>
        </is>
      </c>
      <c r="J141" s="7" t="inlineStr">
        <is>
          <t>Corporate</t>
        </is>
      </c>
      <c r="K141" s="8" t="n">
        <v>6</v>
      </c>
      <c r="L141" s="9" t="n">
        <v>18.99</v>
      </c>
      <c r="M141" s="10" t="n">
        <v>0.05</v>
      </c>
      <c r="N141" s="9" t="n">
        <v>8.550000000000001</v>
      </c>
      <c r="O141" s="9" t="n">
        <v>113.94</v>
      </c>
      <c r="P141" s="9" t="n">
        <v>5.7</v>
      </c>
      <c r="Q141" s="9" t="n">
        <v>108.24</v>
      </c>
      <c r="R141" s="9" t="n">
        <v>51.3</v>
      </c>
      <c r="S141" s="9" t="n">
        <v>56.94</v>
      </c>
      <c r="T141" s="10" t="n">
        <v>0.5261</v>
      </c>
    </row>
    <row r="142">
      <c r="A142" s="7" t="inlineStr">
        <is>
          <t>ORD-2024-1118</t>
        </is>
      </c>
      <c r="B142" s="7" t="inlineStr">
        <is>
          <t>2024-03-05</t>
        </is>
      </c>
      <c r="C142" s="7" t="inlineStr">
        <is>
          <t>OFF-PAP-004</t>
        </is>
      </c>
      <c r="D142" s="7" t="inlineStr">
        <is>
          <t>EcoRecycled Copy Paper (5 Reams)</t>
        </is>
      </c>
      <c r="E142" s="7" t="inlineStr">
        <is>
          <t>Office Supplies</t>
        </is>
      </c>
      <c r="F142" s="7" t="inlineStr">
        <is>
          <t>Paper Products</t>
        </is>
      </c>
      <c r="G142" s="7" t="inlineStr">
        <is>
          <t>Central</t>
        </is>
      </c>
      <c r="H142" s="7" t="inlineStr">
        <is>
          <t>Michigan</t>
        </is>
      </c>
      <c r="I142" s="7" t="inlineStr">
        <is>
          <t>Direct Sales</t>
        </is>
      </c>
      <c r="J142" s="7" t="inlineStr">
        <is>
          <t>Corporate</t>
        </is>
      </c>
      <c r="K142" s="8" t="n">
        <v>6</v>
      </c>
      <c r="L142" s="9" t="n">
        <v>32.99</v>
      </c>
      <c r="M142" s="10" t="n">
        <v>0</v>
      </c>
      <c r="N142" s="9" t="n">
        <v>19.79</v>
      </c>
      <c r="O142" s="9" t="n">
        <v>197.94</v>
      </c>
      <c r="P142" s="9" t="n">
        <v>0</v>
      </c>
      <c r="Q142" s="9" t="n">
        <v>197.94</v>
      </c>
      <c r="R142" s="9" t="n">
        <v>118.74</v>
      </c>
      <c r="S142" s="9" t="n">
        <v>79.2</v>
      </c>
      <c r="T142" s="10" t="n">
        <v>0.4001</v>
      </c>
    </row>
    <row r="143">
      <c r="A143" s="7" t="inlineStr">
        <is>
          <t>ORD-2024-1430</t>
        </is>
      </c>
      <c r="B143" s="7" t="inlineStr">
        <is>
          <t>2024-03-05</t>
        </is>
      </c>
      <c r="C143" s="7" t="inlineStr">
        <is>
          <t>OFF-DSK-007</t>
        </is>
      </c>
      <c r="D143" s="7" t="inlineStr">
        <is>
          <t>Gel Ergo Mouse Pad &amp; Wrist Rest Combo</t>
        </is>
      </c>
      <c r="E143" s="7" t="inlineStr">
        <is>
          <t>Office Supplies</t>
        </is>
      </c>
      <c r="F143" s="7" t="inlineStr">
        <is>
          <t>Desk Supplies</t>
        </is>
      </c>
      <c r="G143" s="7" t="inlineStr">
        <is>
          <t>East</t>
        </is>
      </c>
      <c r="H143" s="7" t="inlineStr">
        <is>
          <t>Massachusetts</t>
        </is>
      </c>
      <c r="I143" s="7" t="inlineStr">
        <is>
          <t>Retail Partner</t>
        </is>
      </c>
      <c r="J143" s="7" t="inlineStr">
        <is>
          <t>Corporate</t>
        </is>
      </c>
      <c r="K143" s="8" t="n">
        <v>2</v>
      </c>
      <c r="L143" s="9" t="n">
        <v>21.99</v>
      </c>
      <c r="M143" s="10" t="n">
        <v>0.1</v>
      </c>
      <c r="N143" s="9" t="n">
        <v>10.56</v>
      </c>
      <c r="O143" s="9" t="n">
        <v>43.98</v>
      </c>
      <c r="P143" s="9" t="n">
        <v>4.4</v>
      </c>
      <c r="Q143" s="9" t="n">
        <v>39.58</v>
      </c>
      <c r="R143" s="9" t="n">
        <v>21.12</v>
      </c>
      <c r="S143" s="9" t="n">
        <v>18.46</v>
      </c>
      <c r="T143" s="10" t="n">
        <v>0.4664</v>
      </c>
    </row>
    <row r="144">
      <c r="A144" s="7" t="inlineStr">
        <is>
          <t>ORD-2024-1305</t>
        </is>
      </c>
      <c r="B144" s="7" t="inlineStr">
        <is>
          <t>2024-03-07</t>
        </is>
      </c>
      <c r="C144" s="7" t="inlineStr">
        <is>
          <t>OFF-DSK-008</t>
        </is>
      </c>
      <c r="D144" s="7" t="inlineStr">
        <is>
          <t>Steel Desktop Mesh Organizer Caddy</t>
        </is>
      </c>
      <c r="E144" s="7" t="inlineStr">
        <is>
          <t>Office Supplies</t>
        </is>
      </c>
      <c r="F144" s="7" t="inlineStr">
        <is>
          <t>Desk Supplies</t>
        </is>
      </c>
      <c r="G144" s="7" t="inlineStr">
        <is>
          <t>West</t>
        </is>
      </c>
      <c r="H144" s="7" t="inlineStr">
        <is>
          <t>Washington</t>
        </is>
      </c>
      <c r="I144" s="7" t="inlineStr">
        <is>
          <t>Direct Sales</t>
        </is>
      </c>
      <c r="J144" s="7" t="inlineStr">
        <is>
          <t>Consumer</t>
        </is>
      </c>
      <c r="K144" s="8" t="n">
        <v>4</v>
      </c>
      <c r="L144" s="9" t="n">
        <v>18.99</v>
      </c>
      <c r="M144" s="10" t="n">
        <v>0.05</v>
      </c>
      <c r="N144" s="9" t="n">
        <v>8.550000000000001</v>
      </c>
      <c r="O144" s="9" t="n">
        <v>75.95999999999999</v>
      </c>
      <c r="P144" s="9" t="n">
        <v>3.8</v>
      </c>
      <c r="Q144" s="9" t="n">
        <v>72.16</v>
      </c>
      <c r="R144" s="9" t="n">
        <v>34.2</v>
      </c>
      <c r="S144" s="9" t="n">
        <v>37.96</v>
      </c>
      <c r="T144" s="10" t="n">
        <v>0.5261</v>
      </c>
    </row>
    <row r="145">
      <c r="A145" s="7" t="inlineStr">
        <is>
          <t>ORD-2024-1477</t>
        </is>
      </c>
      <c r="B145" s="7" t="inlineStr">
        <is>
          <t>2024-03-07</t>
        </is>
      </c>
      <c r="C145" s="7" t="inlineStr">
        <is>
          <t>OFF-PAP-003</t>
        </is>
      </c>
      <c r="D145" s="7" t="inlineStr">
        <is>
          <t>UltraWhite Premium Multipurpose Paper (Case)</t>
        </is>
      </c>
      <c r="E145" s="7" t="inlineStr">
        <is>
          <t>Office Supplies</t>
        </is>
      </c>
      <c r="F145" s="7" t="inlineStr">
        <is>
          <t>Paper Products</t>
        </is>
      </c>
      <c r="G145" s="7" t="inlineStr">
        <is>
          <t>East</t>
        </is>
      </c>
      <c r="H145" s="7" t="inlineStr">
        <is>
          <t>New Jersey</t>
        </is>
      </c>
      <c r="I145" s="7" t="inlineStr">
        <is>
          <t>Retail Partner</t>
        </is>
      </c>
      <c r="J145" s="7" t="inlineStr">
        <is>
          <t>Corporate</t>
        </is>
      </c>
      <c r="K145" s="8" t="n">
        <v>8</v>
      </c>
      <c r="L145" s="9" t="n">
        <v>54.99</v>
      </c>
      <c r="M145" s="10" t="n">
        <v>0</v>
      </c>
      <c r="N145" s="9" t="n">
        <v>31.89</v>
      </c>
      <c r="O145" s="9" t="n">
        <v>439.92</v>
      </c>
      <c r="P145" s="9" t="n">
        <v>0</v>
      </c>
      <c r="Q145" s="9" t="n">
        <v>439.92</v>
      </c>
      <c r="R145" s="9" t="n">
        <v>255.12</v>
      </c>
      <c r="S145" s="9" t="n">
        <v>184.8</v>
      </c>
      <c r="T145" s="10" t="n">
        <v>0.4201</v>
      </c>
    </row>
    <row r="146">
      <c r="A146" s="7" t="inlineStr">
        <is>
          <t>ORD-2024-1658</t>
        </is>
      </c>
      <c r="B146" s="7" t="inlineStr">
        <is>
          <t>2024-03-07</t>
        </is>
      </c>
      <c r="C146" s="7" t="inlineStr">
        <is>
          <t>TEC-TAB-004</t>
        </is>
      </c>
      <c r="D146" s="7" t="inlineStr">
        <is>
          <t>VisionPad Lite 8.5"</t>
        </is>
      </c>
      <c r="E146" s="7" t="inlineStr">
        <is>
          <t>Technology</t>
        </is>
      </c>
      <c r="F146" s="7" t="inlineStr">
        <is>
          <t>Phones &amp; Tablets</t>
        </is>
      </c>
      <c r="G146" s="7" t="inlineStr">
        <is>
          <t>Central</t>
        </is>
      </c>
      <c r="H146" s="7" t="inlineStr">
        <is>
          <t>Michigan</t>
        </is>
      </c>
      <c r="I146" s="7" t="inlineStr">
        <is>
          <t>Online</t>
        </is>
      </c>
      <c r="J146" s="7" t="inlineStr">
        <is>
          <t>Corporate</t>
        </is>
      </c>
      <c r="K146" s="8" t="n">
        <v>4</v>
      </c>
      <c r="L146" s="9" t="n">
        <v>299.99</v>
      </c>
      <c r="M146" s="10" t="n">
        <v>0.05</v>
      </c>
      <c r="N146" s="9" t="n">
        <v>245.99</v>
      </c>
      <c r="O146" s="9" t="n">
        <v>1199.96</v>
      </c>
      <c r="P146" s="9" t="n">
        <v>60</v>
      </c>
      <c r="Q146" s="9" t="n">
        <v>1139.96</v>
      </c>
      <c r="R146" s="9" t="n">
        <v>983.96</v>
      </c>
      <c r="S146" s="9" t="n">
        <v>156</v>
      </c>
      <c r="T146" s="10" t="n">
        <v>0.1368</v>
      </c>
    </row>
    <row r="147">
      <c r="A147" s="7" t="inlineStr">
        <is>
          <t>ORD-2024-1004</t>
        </is>
      </c>
      <c r="B147" s="7" t="inlineStr">
        <is>
          <t>2024-03-08</t>
        </is>
      </c>
      <c r="C147" s="7" t="inlineStr">
        <is>
          <t>OFF-PAP-004</t>
        </is>
      </c>
      <c r="D147" s="7" t="inlineStr">
        <is>
          <t>EcoRecycled Copy Paper (5 Reams)</t>
        </is>
      </c>
      <c r="E147" s="7" t="inlineStr">
        <is>
          <t>Office Supplies</t>
        </is>
      </c>
      <c r="F147" s="7" t="inlineStr">
        <is>
          <t>Paper Products</t>
        </is>
      </c>
      <c r="G147" s="7" t="inlineStr">
        <is>
          <t>West</t>
        </is>
      </c>
      <c r="H147" s="7" t="inlineStr">
        <is>
          <t>California</t>
        </is>
      </c>
      <c r="I147" s="7" t="inlineStr">
        <is>
          <t>Online</t>
        </is>
      </c>
      <c r="J147" s="7" t="inlineStr">
        <is>
          <t>Corporate</t>
        </is>
      </c>
      <c r="K147" s="8" t="n">
        <v>3</v>
      </c>
      <c r="L147" s="9" t="n">
        <v>32.99</v>
      </c>
      <c r="M147" s="10" t="n">
        <v>0</v>
      </c>
      <c r="N147" s="9" t="n">
        <v>19.79</v>
      </c>
      <c r="O147" s="9" t="n">
        <v>98.97</v>
      </c>
      <c r="P147" s="9" t="n">
        <v>0</v>
      </c>
      <c r="Q147" s="9" t="n">
        <v>98.97</v>
      </c>
      <c r="R147" s="9" t="n">
        <v>59.37</v>
      </c>
      <c r="S147" s="9" t="n">
        <v>39.6</v>
      </c>
      <c r="T147" s="10" t="n">
        <v>0.4001</v>
      </c>
    </row>
    <row r="148">
      <c r="A148" s="7" t="inlineStr">
        <is>
          <t>ORD-2024-1004</t>
        </is>
      </c>
      <c r="B148" s="7" t="inlineStr">
        <is>
          <t>2024-03-08</t>
        </is>
      </c>
      <c r="C148" s="7" t="inlineStr">
        <is>
          <t>OFF-DSK-007</t>
        </is>
      </c>
      <c r="D148" s="7" t="inlineStr">
        <is>
          <t>Gel Ergo Mouse Pad &amp; Wrist Rest Combo</t>
        </is>
      </c>
      <c r="E148" s="7" t="inlineStr">
        <is>
          <t>Office Supplies</t>
        </is>
      </c>
      <c r="F148" s="7" t="inlineStr">
        <is>
          <t>Desk Supplies</t>
        </is>
      </c>
      <c r="G148" s="7" t="inlineStr">
        <is>
          <t>West</t>
        </is>
      </c>
      <c r="H148" s="7" t="inlineStr">
        <is>
          <t>California</t>
        </is>
      </c>
      <c r="I148" s="7" t="inlineStr">
        <is>
          <t>Online</t>
        </is>
      </c>
      <c r="J148" s="7" t="inlineStr">
        <is>
          <t>Corporate</t>
        </is>
      </c>
      <c r="K148" s="8" t="n">
        <v>7</v>
      </c>
      <c r="L148" s="9" t="n">
        <v>21.99</v>
      </c>
      <c r="M148" s="10" t="n">
        <v>0</v>
      </c>
      <c r="N148" s="9" t="n">
        <v>10.56</v>
      </c>
      <c r="O148" s="9" t="n">
        <v>153.93</v>
      </c>
      <c r="P148" s="9" t="n">
        <v>0</v>
      </c>
      <c r="Q148" s="9" t="n">
        <v>153.93</v>
      </c>
      <c r="R148" s="9" t="n">
        <v>73.92</v>
      </c>
      <c r="S148" s="9" t="n">
        <v>80.01000000000001</v>
      </c>
      <c r="T148" s="10" t="n">
        <v>0.5198</v>
      </c>
    </row>
    <row r="149">
      <c r="A149" s="7" t="inlineStr">
        <is>
          <t>ORD-2024-1038</t>
        </is>
      </c>
      <c r="B149" s="7" t="inlineStr">
        <is>
          <t>2024-03-08</t>
        </is>
      </c>
      <c r="C149" s="7" t="inlineStr">
        <is>
          <t>TEC-TAB-003</t>
        </is>
      </c>
      <c r="D149" s="7" t="inlineStr">
        <is>
          <t>VisionPad Pro 11"</t>
        </is>
      </c>
      <c r="E149" s="7" t="inlineStr">
        <is>
          <t>Technology</t>
        </is>
      </c>
      <c r="F149" s="7" t="inlineStr">
        <is>
          <t>Phones &amp; Tablets</t>
        </is>
      </c>
      <c r="G149" s="7" t="inlineStr">
        <is>
          <t>South</t>
        </is>
      </c>
      <c r="H149" s="7" t="inlineStr">
        <is>
          <t>Florida</t>
        </is>
      </c>
      <c r="I149" s="7" t="inlineStr">
        <is>
          <t>Wholesale</t>
        </is>
      </c>
      <c r="J149" s="7" t="inlineStr">
        <is>
          <t>Home Office</t>
        </is>
      </c>
      <c r="K149" s="8" t="n">
        <v>12</v>
      </c>
      <c r="L149" s="9" t="n">
        <v>649.99</v>
      </c>
      <c r="M149" s="10" t="n">
        <v>0.1</v>
      </c>
      <c r="N149" s="9" t="n">
        <v>487.49</v>
      </c>
      <c r="O149" s="9" t="n">
        <v>7799.88</v>
      </c>
      <c r="P149" s="9" t="n">
        <v>779.99</v>
      </c>
      <c r="Q149" s="9" t="n">
        <v>7019.89</v>
      </c>
      <c r="R149" s="9" t="n">
        <v>5849.88</v>
      </c>
      <c r="S149" s="9" t="n">
        <v>1170.01</v>
      </c>
      <c r="T149" s="10" t="n">
        <v>0.1667</v>
      </c>
    </row>
    <row r="150">
      <c r="A150" s="7" t="inlineStr">
        <is>
          <t>ORD-2024-1265</t>
        </is>
      </c>
      <c r="B150" s="7" t="inlineStr">
        <is>
          <t>2024-03-08</t>
        </is>
      </c>
      <c r="C150" s="7" t="inlineStr">
        <is>
          <t>TEC-LAP-001</t>
        </is>
      </c>
      <c r="D150" s="7" t="inlineStr">
        <is>
          <t>ProBook Elite 15.6"</t>
        </is>
      </c>
      <c r="E150" s="7" t="inlineStr">
        <is>
          <t>Technology</t>
        </is>
      </c>
      <c r="F150" s="7" t="inlineStr">
        <is>
          <t>Laptops</t>
        </is>
      </c>
      <c r="G150" s="7" t="inlineStr">
        <is>
          <t>East</t>
        </is>
      </c>
      <c r="H150" s="7" t="inlineStr">
        <is>
          <t>New Jersey</t>
        </is>
      </c>
      <c r="I150" s="7" t="inlineStr">
        <is>
          <t>Online</t>
        </is>
      </c>
      <c r="J150" s="7" t="inlineStr">
        <is>
          <t>Consumer</t>
        </is>
      </c>
      <c r="K150" s="8" t="n">
        <v>3</v>
      </c>
      <c r="L150" s="9" t="n">
        <v>1199.99</v>
      </c>
      <c r="M150" s="10" t="n">
        <v>0</v>
      </c>
      <c r="N150" s="9" t="n">
        <v>863.99</v>
      </c>
      <c r="O150" s="9" t="n">
        <v>3599.97</v>
      </c>
      <c r="P150" s="9" t="n">
        <v>0</v>
      </c>
      <c r="Q150" s="9" t="n">
        <v>3599.97</v>
      </c>
      <c r="R150" s="9" t="n">
        <v>2591.97</v>
      </c>
      <c r="S150" s="9" t="n">
        <v>1008</v>
      </c>
      <c r="T150" s="10" t="n">
        <v>0.28</v>
      </c>
    </row>
    <row r="151">
      <c r="A151" s="7" t="inlineStr">
        <is>
          <t>ORD-2024-1364</t>
        </is>
      </c>
      <c r="B151" s="7" t="inlineStr">
        <is>
          <t>2024-03-08</t>
        </is>
      </c>
      <c r="C151" s="7" t="inlineStr">
        <is>
          <t>TEC-ACC-005</t>
        </is>
      </c>
      <c r="D151" s="7" t="inlineStr">
        <is>
          <t>UltraWireless Noise-Canceling Headset</t>
        </is>
      </c>
      <c r="E151" s="7" t="inlineStr">
        <is>
          <t>Technology</t>
        </is>
      </c>
      <c r="F151" s="7" t="inlineStr">
        <is>
          <t>Audio &amp; Accessories</t>
        </is>
      </c>
      <c r="G151" s="7" t="inlineStr">
        <is>
          <t>West</t>
        </is>
      </c>
      <c r="H151" s="7" t="inlineStr">
        <is>
          <t>Washington</t>
        </is>
      </c>
      <c r="I151" s="7" t="inlineStr">
        <is>
          <t>Online</t>
        </is>
      </c>
      <c r="J151" s="7" t="inlineStr">
        <is>
          <t>Consumer</t>
        </is>
      </c>
      <c r="K151" s="8" t="n">
        <v>1</v>
      </c>
      <c r="L151" s="9" t="n">
        <v>179.99</v>
      </c>
      <c r="M151" s="10" t="n">
        <v>0.1</v>
      </c>
      <c r="N151" s="9" t="n">
        <v>111.59</v>
      </c>
      <c r="O151" s="9" t="n">
        <v>179.99</v>
      </c>
      <c r="P151" s="9" t="n">
        <v>18</v>
      </c>
      <c r="Q151" s="9" t="n">
        <v>161.99</v>
      </c>
      <c r="R151" s="9" t="n">
        <v>111.59</v>
      </c>
      <c r="S151" s="9" t="n">
        <v>50.4</v>
      </c>
      <c r="T151" s="10" t="n">
        <v>0.3111</v>
      </c>
    </row>
    <row r="152">
      <c r="A152" s="7" t="inlineStr">
        <is>
          <t>ORD-2024-1618</t>
        </is>
      </c>
      <c r="B152" s="7" t="inlineStr">
        <is>
          <t>2024-03-09</t>
        </is>
      </c>
      <c r="C152" s="7" t="inlineStr">
        <is>
          <t>TEC-ACC-005</t>
        </is>
      </c>
      <c r="D152" s="7" t="inlineStr">
        <is>
          <t>UltraWireless Noise-Canceling Headset</t>
        </is>
      </c>
      <c r="E152" s="7" t="inlineStr">
        <is>
          <t>Technology</t>
        </is>
      </c>
      <c r="F152" s="7" t="inlineStr">
        <is>
          <t>Audio &amp; Accessories</t>
        </is>
      </c>
      <c r="G152" s="7" t="inlineStr">
        <is>
          <t>South</t>
        </is>
      </c>
      <c r="H152" s="7" t="inlineStr">
        <is>
          <t>Virginia</t>
        </is>
      </c>
      <c r="I152" s="7" t="inlineStr">
        <is>
          <t>Online</t>
        </is>
      </c>
      <c r="J152" s="7" t="inlineStr">
        <is>
          <t>Corporate</t>
        </is>
      </c>
      <c r="K152" s="8" t="n">
        <v>2</v>
      </c>
      <c r="L152" s="9" t="n">
        <v>179.99</v>
      </c>
      <c r="M152" s="10" t="n">
        <v>0</v>
      </c>
      <c r="N152" s="9" t="n">
        <v>111.59</v>
      </c>
      <c r="O152" s="9" t="n">
        <v>359.98</v>
      </c>
      <c r="P152" s="9" t="n">
        <v>0</v>
      </c>
      <c r="Q152" s="9" t="n">
        <v>359.98</v>
      </c>
      <c r="R152" s="9" t="n">
        <v>223.18</v>
      </c>
      <c r="S152" s="9" t="n">
        <v>136.8</v>
      </c>
      <c r="T152" s="10" t="n">
        <v>0.38</v>
      </c>
    </row>
    <row r="153">
      <c r="A153" s="7" t="inlineStr">
        <is>
          <t>ORD-2024-1110</t>
        </is>
      </c>
      <c r="B153" s="7" t="inlineStr">
        <is>
          <t>2024-03-10</t>
        </is>
      </c>
      <c r="C153" s="7" t="inlineStr">
        <is>
          <t>TEC-TAB-003</t>
        </is>
      </c>
      <c r="D153" s="7" t="inlineStr">
        <is>
          <t>VisionPad Pro 11"</t>
        </is>
      </c>
      <c r="E153" s="7" t="inlineStr">
        <is>
          <t>Technology</t>
        </is>
      </c>
      <c r="F153" s="7" t="inlineStr">
        <is>
          <t>Phones &amp; Tablets</t>
        </is>
      </c>
      <c r="G153" s="7" t="inlineStr">
        <is>
          <t>West</t>
        </is>
      </c>
      <c r="H153" s="7" t="inlineStr">
        <is>
          <t>Oregon</t>
        </is>
      </c>
      <c r="I153" s="7" t="inlineStr">
        <is>
          <t>Wholesale</t>
        </is>
      </c>
      <c r="J153" s="7" t="inlineStr">
        <is>
          <t>Consumer</t>
        </is>
      </c>
      <c r="K153" s="8" t="n">
        <v>8</v>
      </c>
      <c r="L153" s="9" t="n">
        <v>649.99</v>
      </c>
      <c r="M153" s="10" t="n">
        <v>0.1</v>
      </c>
      <c r="N153" s="9" t="n">
        <v>487.49</v>
      </c>
      <c r="O153" s="9" t="n">
        <v>5199.92</v>
      </c>
      <c r="P153" s="9" t="n">
        <v>519.99</v>
      </c>
      <c r="Q153" s="9" t="n">
        <v>4679.93</v>
      </c>
      <c r="R153" s="9" t="n">
        <v>3899.92</v>
      </c>
      <c r="S153" s="9" t="n">
        <v>780.01</v>
      </c>
      <c r="T153" s="10" t="n">
        <v>0.1667</v>
      </c>
    </row>
    <row r="154">
      <c r="A154" s="7" t="inlineStr">
        <is>
          <t>ORD-2024-1110</t>
        </is>
      </c>
      <c r="B154" s="7" t="inlineStr">
        <is>
          <t>2024-03-10</t>
        </is>
      </c>
      <c r="C154" s="7" t="inlineStr">
        <is>
          <t>OFF-DSK-008</t>
        </is>
      </c>
      <c r="D154" s="7" t="inlineStr">
        <is>
          <t>Steel Desktop Mesh Organizer Caddy</t>
        </is>
      </c>
      <c r="E154" s="7" t="inlineStr">
        <is>
          <t>Office Supplies</t>
        </is>
      </c>
      <c r="F154" s="7" t="inlineStr">
        <is>
          <t>Desk Supplies</t>
        </is>
      </c>
      <c r="G154" s="7" t="inlineStr">
        <is>
          <t>West</t>
        </is>
      </c>
      <c r="H154" s="7" t="inlineStr">
        <is>
          <t>Oregon</t>
        </is>
      </c>
      <c r="I154" s="7" t="inlineStr">
        <is>
          <t>Wholesale</t>
        </is>
      </c>
      <c r="J154" s="7" t="inlineStr">
        <is>
          <t>Consumer</t>
        </is>
      </c>
      <c r="K154" s="8" t="n">
        <v>9</v>
      </c>
      <c r="L154" s="9" t="n">
        <v>18.99</v>
      </c>
      <c r="M154" s="10" t="n">
        <v>0.15</v>
      </c>
      <c r="N154" s="9" t="n">
        <v>8.550000000000001</v>
      </c>
      <c r="O154" s="9" t="n">
        <v>170.91</v>
      </c>
      <c r="P154" s="9" t="n">
        <v>25.64</v>
      </c>
      <c r="Q154" s="9" t="n">
        <v>145.27</v>
      </c>
      <c r="R154" s="9" t="n">
        <v>76.95</v>
      </c>
      <c r="S154" s="9" t="n">
        <v>68.31999999999999</v>
      </c>
      <c r="T154" s="10" t="n">
        <v>0.4703</v>
      </c>
    </row>
    <row r="155">
      <c r="A155" s="7" t="inlineStr">
        <is>
          <t>ORD-2024-1359</t>
        </is>
      </c>
      <c r="B155" s="7" t="inlineStr">
        <is>
          <t>2024-03-10</t>
        </is>
      </c>
      <c r="C155" s="7" t="inlineStr">
        <is>
          <t>OFF-DSK-007</t>
        </is>
      </c>
      <c r="D155" s="7" t="inlineStr">
        <is>
          <t>Gel Ergo Mouse Pad &amp; Wrist Rest Combo</t>
        </is>
      </c>
      <c r="E155" s="7" t="inlineStr">
        <is>
          <t>Office Supplies</t>
        </is>
      </c>
      <c r="F155" s="7" t="inlineStr">
        <is>
          <t>Desk Supplies</t>
        </is>
      </c>
      <c r="G155" s="7" t="inlineStr">
        <is>
          <t>West</t>
        </is>
      </c>
      <c r="H155" s="7" t="inlineStr">
        <is>
          <t>Colorado</t>
        </is>
      </c>
      <c r="I155" s="7" t="inlineStr">
        <is>
          <t>Wholesale</t>
        </is>
      </c>
      <c r="J155" s="7" t="inlineStr">
        <is>
          <t>Consumer</t>
        </is>
      </c>
      <c r="K155" s="8" t="n">
        <v>10</v>
      </c>
      <c r="L155" s="9" t="n">
        <v>21.99</v>
      </c>
      <c r="M155" s="10" t="n">
        <v>0.1</v>
      </c>
      <c r="N155" s="9" t="n">
        <v>10.56</v>
      </c>
      <c r="O155" s="9" t="n">
        <v>219.9</v>
      </c>
      <c r="P155" s="9" t="n">
        <v>21.99</v>
      </c>
      <c r="Q155" s="9" t="n">
        <v>197.91</v>
      </c>
      <c r="R155" s="9" t="n">
        <v>105.6</v>
      </c>
      <c r="S155" s="9" t="n">
        <v>92.31</v>
      </c>
      <c r="T155" s="10" t="n">
        <v>0.4664</v>
      </c>
    </row>
    <row r="156">
      <c r="A156" s="7" t="inlineStr">
        <is>
          <t>ORD-2024-1372</t>
        </is>
      </c>
      <c r="B156" s="7" t="inlineStr">
        <is>
          <t>2024-03-10</t>
        </is>
      </c>
      <c r="C156" s="7" t="inlineStr">
        <is>
          <t>OFF-PAP-003</t>
        </is>
      </c>
      <c r="D156" s="7" t="inlineStr">
        <is>
          <t>UltraWhite Premium Multipurpose Paper (Case)</t>
        </is>
      </c>
      <c r="E156" s="7" t="inlineStr">
        <is>
          <t>Office Supplies</t>
        </is>
      </c>
      <c r="F156" s="7" t="inlineStr">
        <is>
          <t>Paper Products</t>
        </is>
      </c>
      <c r="G156" s="7" t="inlineStr">
        <is>
          <t>East</t>
        </is>
      </c>
      <c r="H156" s="7" t="inlineStr">
        <is>
          <t>New Jersey</t>
        </is>
      </c>
      <c r="I156" s="7" t="inlineStr">
        <is>
          <t>Online</t>
        </is>
      </c>
      <c r="J156" s="7" t="inlineStr">
        <is>
          <t>Corporate</t>
        </is>
      </c>
      <c r="K156" s="8" t="n">
        <v>6</v>
      </c>
      <c r="L156" s="9" t="n">
        <v>54.99</v>
      </c>
      <c r="M156" s="10" t="n">
        <v>0.1</v>
      </c>
      <c r="N156" s="9" t="n">
        <v>31.89</v>
      </c>
      <c r="O156" s="9" t="n">
        <v>329.94</v>
      </c>
      <c r="P156" s="9" t="n">
        <v>32.99</v>
      </c>
      <c r="Q156" s="9" t="n">
        <v>296.95</v>
      </c>
      <c r="R156" s="9" t="n">
        <v>191.34</v>
      </c>
      <c r="S156" s="9" t="n">
        <v>105.61</v>
      </c>
      <c r="T156" s="10" t="n">
        <v>0.3556</v>
      </c>
    </row>
    <row r="157">
      <c r="A157" s="7" t="inlineStr">
        <is>
          <t>ORD-2024-1554</t>
        </is>
      </c>
      <c r="B157" s="7" t="inlineStr">
        <is>
          <t>2024-03-10</t>
        </is>
      </c>
      <c r="C157" s="7" t="inlineStr">
        <is>
          <t>OFF-STR-001</t>
        </is>
      </c>
      <c r="D157" s="7" t="inlineStr">
        <is>
          <t>SteelLock 3-Drawer File Cabinet</t>
        </is>
      </c>
      <c r="E157" s="7" t="inlineStr">
        <is>
          <t>Office Supplies</t>
        </is>
      </c>
      <c r="F157" s="7" t="inlineStr">
        <is>
          <t>Storage &amp; Organizers</t>
        </is>
      </c>
      <c r="G157" s="7" t="inlineStr">
        <is>
          <t>South</t>
        </is>
      </c>
      <c r="H157" s="7" t="inlineStr">
        <is>
          <t>Georgia</t>
        </is>
      </c>
      <c r="I157" s="7" t="inlineStr">
        <is>
          <t>Retail Partner</t>
        </is>
      </c>
      <c r="J157" s="7" t="inlineStr">
        <is>
          <t>Home Office</t>
        </is>
      </c>
      <c r="K157" s="8" t="n">
        <v>1</v>
      </c>
      <c r="L157" s="9" t="n">
        <v>169.99</v>
      </c>
      <c r="M157" s="10" t="n">
        <v>0</v>
      </c>
      <c r="N157" s="9" t="n">
        <v>115.59</v>
      </c>
      <c r="O157" s="9" t="n">
        <v>169.99</v>
      </c>
      <c r="P157" s="9" t="n">
        <v>0</v>
      </c>
      <c r="Q157" s="9" t="n">
        <v>169.99</v>
      </c>
      <c r="R157" s="9" t="n">
        <v>115.59</v>
      </c>
      <c r="S157" s="9" t="n">
        <v>54.4</v>
      </c>
      <c r="T157" s="10" t="n">
        <v>0.32</v>
      </c>
    </row>
    <row r="158">
      <c r="A158" s="7" t="inlineStr">
        <is>
          <t>ORD-2024-1225</t>
        </is>
      </c>
      <c r="B158" s="7" t="inlineStr">
        <is>
          <t>2024-03-11</t>
        </is>
      </c>
      <c r="C158" s="7" t="inlineStr">
        <is>
          <t>FUR-BOK-005</t>
        </is>
      </c>
      <c r="D158" s="7" t="inlineStr">
        <is>
          <t>Modular 5-Tier Steel Bookcase</t>
        </is>
      </c>
      <c r="E158" s="7" t="inlineStr">
        <is>
          <t>Furniture</t>
        </is>
      </c>
      <c r="F158" s="7" t="inlineStr">
        <is>
          <t>Bookcases</t>
        </is>
      </c>
      <c r="G158" s="7" t="inlineStr">
        <is>
          <t>West</t>
        </is>
      </c>
      <c r="H158" s="7" t="inlineStr">
        <is>
          <t>Colorado</t>
        </is>
      </c>
      <c r="I158" s="7" t="inlineStr">
        <is>
          <t>Online</t>
        </is>
      </c>
      <c r="J158" s="7" t="inlineStr">
        <is>
          <t>Corporate</t>
        </is>
      </c>
      <c r="K158" s="8" t="n">
        <v>5</v>
      </c>
      <c r="L158" s="9" t="n">
        <v>189.99</v>
      </c>
      <c r="M158" s="10" t="n">
        <v>0.05</v>
      </c>
      <c r="N158" s="9" t="n">
        <v>142.49</v>
      </c>
      <c r="O158" s="9" t="n">
        <v>949.95</v>
      </c>
      <c r="P158" s="9" t="n">
        <v>47.5</v>
      </c>
      <c r="Q158" s="9" t="n">
        <v>902.45</v>
      </c>
      <c r="R158" s="9" t="n">
        <v>712.45</v>
      </c>
      <c r="S158" s="9" t="n">
        <v>190</v>
      </c>
      <c r="T158" s="10" t="n">
        <v>0.2105</v>
      </c>
    </row>
    <row r="159">
      <c r="A159" s="7" t="inlineStr">
        <is>
          <t>ORD-2024-1448</t>
        </is>
      </c>
      <c r="B159" s="7" t="inlineStr">
        <is>
          <t>2024-03-11</t>
        </is>
      </c>
      <c r="C159" s="7" t="inlineStr">
        <is>
          <t>OFF-STR-001</t>
        </is>
      </c>
      <c r="D159" s="7" t="inlineStr">
        <is>
          <t>SteelLock 3-Drawer File Cabinet</t>
        </is>
      </c>
      <c r="E159" s="7" t="inlineStr">
        <is>
          <t>Office Supplies</t>
        </is>
      </c>
      <c r="F159" s="7" t="inlineStr">
        <is>
          <t>Storage &amp; Organizers</t>
        </is>
      </c>
      <c r="G159" s="7" t="inlineStr">
        <is>
          <t>South</t>
        </is>
      </c>
      <c r="H159" s="7" t="inlineStr">
        <is>
          <t>Georgia</t>
        </is>
      </c>
      <c r="I159" s="7" t="inlineStr">
        <is>
          <t>Online</t>
        </is>
      </c>
      <c r="J159" s="7" t="inlineStr">
        <is>
          <t>Home Office</t>
        </is>
      </c>
      <c r="K159" s="8" t="n">
        <v>1</v>
      </c>
      <c r="L159" s="9" t="n">
        <v>169.99</v>
      </c>
      <c r="M159" s="10" t="n">
        <v>0</v>
      </c>
      <c r="N159" s="9" t="n">
        <v>115.59</v>
      </c>
      <c r="O159" s="9" t="n">
        <v>169.99</v>
      </c>
      <c r="P159" s="9" t="n">
        <v>0</v>
      </c>
      <c r="Q159" s="9" t="n">
        <v>169.99</v>
      </c>
      <c r="R159" s="9" t="n">
        <v>115.59</v>
      </c>
      <c r="S159" s="9" t="n">
        <v>54.4</v>
      </c>
      <c r="T159" s="10" t="n">
        <v>0.32</v>
      </c>
    </row>
    <row r="160">
      <c r="A160" s="7" t="inlineStr">
        <is>
          <t>ORD-2024-1460</t>
        </is>
      </c>
      <c r="B160" s="7" t="inlineStr">
        <is>
          <t>2024-03-12</t>
        </is>
      </c>
      <c r="C160" s="7" t="inlineStr">
        <is>
          <t>TEC-TAB-003</t>
        </is>
      </c>
      <c r="D160" s="7" t="inlineStr">
        <is>
          <t>VisionPad Pro 11"</t>
        </is>
      </c>
      <c r="E160" s="7" t="inlineStr">
        <is>
          <t>Technology</t>
        </is>
      </c>
      <c r="F160" s="7" t="inlineStr">
        <is>
          <t>Phones &amp; Tablets</t>
        </is>
      </c>
      <c r="G160" s="7" t="inlineStr">
        <is>
          <t>Central</t>
        </is>
      </c>
      <c r="H160" s="7" t="inlineStr">
        <is>
          <t>Ohio</t>
        </is>
      </c>
      <c r="I160" s="7" t="inlineStr">
        <is>
          <t>Direct Sales</t>
        </is>
      </c>
      <c r="J160" s="7" t="inlineStr">
        <is>
          <t>Home Office</t>
        </is>
      </c>
      <c r="K160" s="8" t="n">
        <v>4</v>
      </c>
      <c r="L160" s="9" t="n">
        <v>649.99</v>
      </c>
      <c r="M160" s="10" t="n">
        <v>0</v>
      </c>
      <c r="N160" s="9" t="n">
        <v>487.49</v>
      </c>
      <c r="O160" s="9" t="n">
        <v>2599.96</v>
      </c>
      <c r="P160" s="9" t="n">
        <v>0</v>
      </c>
      <c r="Q160" s="9" t="n">
        <v>2599.96</v>
      </c>
      <c r="R160" s="9" t="n">
        <v>1949.96</v>
      </c>
      <c r="S160" s="9" t="n">
        <v>650</v>
      </c>
      <c r="T160" s="10" t="n">
        <v>0.25</v>
      </c>
    </row>
    <row r="161">
      <c r="A161" s="7" t="inlineStr">
        <is>
          <t>ORD-2024-1629</t>
        </is>
      </c>
      <c r="B161" s="7" t="inlineStr">
        <is>
          <t>2024-03-12</t>
        </is>
      </c>
      <c r="C161" s="7" t="inlineStr">
        <is>
          <t>OFF-BIN-005</t>
        </is>
      </c>
      <c r="D161" s="7" t="inlineStr">
        <is>
          <t>Heavy-Duty D-Ring Presentation Binder (6-Pk)</t>
        </is>
      </c>
      <c r="E161" s="7" t="inlineStr">
        <is>
          <t>Office Supplies</t>
        </is>
      </c>
      <c r="F161" s="7" t="inlineStr">
        <is>
          <t>Binders &amp; Fasteners</t>
        </is>
      </c>
      <c r="G161" s="7" t="inlineStr">
        <is>
          <t>East</t>
        </is>
      </c>
      <c r="H161" s="7" t="inlineStr">
        <is>
          <t>New York</t>
        </is>
      </c>
      <c r="I161" s="7" t="inlineStr">
        <is>
          <t>Retail Partner</t>
        </is>
      </c>
      <c r="J161" s="7" t="inlineStr">
        <is>
          <t>Corporate</t>
        </is>
      </c>
      <c r="K161" s="8" t="n">
        <v>3</v>
      </c>
      <c r="L161" s="9" t="n">
        <v>27.99</v>
      </c>
      <c r="M161" s="10" t="n">
        <v>0</v>
      </c>
      <c r="N161" s="9" t="n">
        <v>13.99</v>
      </c>
      <c r="O161" s="9" t="n">
        <v>83.97</v>
      </c>
      <c r="P161" s="9" t="n">
        <v>0</v>
      </c>
      <c r="Q161" s="9" t="n">
        <v>83.97</v>
      </c>
      <c r="R161" s="9" t="n">
        <v>41.97</v>
      </c>
      <c r="S161" s="9" t="n">
        <v>42</v>
      </c>
      <c r="T161" s="10" t="n">
        <v>0.5002</v>
      </c>
    </row>
    <row r="162">
      <c r="A162" s="7" t="inlineStr">
        <is>
          <t>ORD-2024-1702</t>
        </is>
      </c>
      <c r="B162" s="7" t="inlineStr">
        <is>
          <t>2024-03-12</t>
        </is>
      </c>
      <c r="C162" s="7" t="inlineStr">
        <is>
          <t>TEC-LAP-002</t>
        </is>
      </c>
      <c r="D162" s="7" t="inlineStr">
        <is>
          <t>Apex Gaming Laptop 17"</t>
        </is>
      </c>
      <c r="E162" s="7" t="inlineStr">
        <is>
          <t>Technology</t>
        </is>
      </c>
      <c r="F162" s="7" t="inlineStr">
        <is>
          <t>Laptops</t>
        </is>
      </c>
      <c r="G162" s="7" t="inlineStr">
        <is>
          <t>Central</t>
        </is>
      </c>
      <c r="H162" s="7" t="inlineStr">
        <is>
          <t>Texas</t>
        </is>
      </c>
      <c r="I162" s="7" t="inlineStr">
        <is>
          <t>Online</t>
        </is>
      </c>
      <c r="J162" s="7" t="inlineStr">
        <is>
          <t>Consumer</t>
        </is>
      </c>
      <c r="K162" s="8" t="n">
        <v>4</v>
      </c>
      <c r="L162" s="9" t="n">
        <v>1499.99</v>
      </c>
      <c r="M162" s="10" t="n">
        <v>0.25</v>
      </c>
      <c r="N162" s="9" t="n">
        <v>1259.99</v>
      </c>
      <c r="O162" s="9" t="n">
        <v>5999.96</v>
      </c>
      <c r="P162" s="9" t="n">
        <v>1499.99</v>
      </c>
      <c r="Q162" s="9" t="n">
        <v>4499.97</v>
      </c>
      <c r="R162" s="9" t="n">
        <v>5039.96</v>
      </c>
      <c r="S162" s="9" t="n">
        <v>-539.99</v>
      </c>
      <c r="T162" s="10" t="n">
        <v>-0.12</v>
      </c>
    </row>
    <row r="163">
      <c r="A163" s="7" t="inlineStr">
        <is>
          <t>ORD-2024-1114</t>
        </is>
      </c>
      <c r="B163" s="7" t="inlineStr">
        <is>
          <t>2024-03-13</t>
        </is>
      </c>
      <c r="C163" s="7" t="inlineStr">
        <is>
          <t>TEC-ACC-005</t>
        </is>
      </c>
      <c r="D163" s="7" t="inlineStr">
        <is>
          <t>UltraWireless Noise-Canceling Headset</t>
        </is>
      </c>
      <c r="E163" s="7" t="inlineStr">
        <is>
          <t>Technology</t>
        </is>
      </c>
      <c r="F163" s="7" t="inlineStr">
        <is>
          <t>Audio &amp; Accessories</t>
        </is>
      </c>
      <c r="G163" s="7" t="inlineStr">
        <is>
          <t>Central</t>
        </is>
      </c>
      <c r="H163" s="7" t="inlineStr">
        <is>
          <t>Texas</t>
        </is>
      </c>
      <c r="I163" s="7" t="inlineStr">
        <is>
          <t>Direct Sales</t>
        </is>
      </c>
      <c r="J163" s="7" t="inlineStr">
        <is>
          <t>Corporate</t>
        </is>
      </c>
      <c r="K163" s="8" t="n">
        <v>7</v>
      </c>
      <c r="L163" s="9" t="n">
        <v>179.99</v>
      </c>
      <c r="M163" s="10" t="n">
        <v>0.1</v>
      </c>
      <c r="N163" s="9" t="n">
        <v>111.59</v>
      </c>
      <c r="O163" s="9" t="n">
        <v>1259.93</v>
      </c>
      <c r="P163" s="9" t="n">
        <v>125.99</v>
      </c>
      <c r="Q163" s="9" t="n">
        <v>1133.94</v>
      </c>
      <c r="R163" s="9" t="n">
        <v>781.13</v>
      </c>
      <c r="S163" s="9" t="n">
        <v>352.81</v>
      </c>
      <c r="T163" s="10" t="n">
        <v>0.3111</v>
      </c>
    </row>
    <row r="164">
      <c r="A164" s="7" t="inlineStr">
        <is>
          <t>ORD-2024-1148</t>
        </is>
      </c>
      <c r="B164" s="7" t="inlineStr">
        <is>
          <t>2024-03-13</t>
        </is>
      </c>
      <c r="C164" s="7" t="inlineStr">
        <is>
          <t>TEC-TAB-003</t>
        </is>
      </c>
      <c r="D164" s="7" t="inlineStr">
        <is>
          <t>VisionPad Pro 11"</t>
        </is>
      </c>
      <c r="E164" s="7" t="inlineStr">
        <is>
          <t>Technology</t>
        </is>
      </c>
      <c r="F164" s="7" t="inlineStr">
        <is>
          <t>Phones &amp; Tablets</t>
        </is>
      </c>
      <c r="G164" s="7" t="inlineStr">
        <is>
          <t>South</t>
        </is>
      </c>
      <c r="H164" s="7" t="inlineStr">
        <is>
          <t>Georgia</t>
        </is>
      </c>
      <c r="I164" s="7" t="inlineStr">
        <is>
          <t>Wholesale</t>
        </is>
      </c>
      <c r="J164" s="7" t="inlineStr">
        <is>
          <t>Corporate</t>
        </is>
      </c>
      <c r="K164" s="8" t="n">
        <v>14</v>
      </c>
      <c r="L164" s="9" t="n">
        <v>649.99</v>
      </c>
      <c r="M164" s="10" t="n">
        <v>0.15</v>
      </c>
      <c r="N164" s="9" t="n">
        <v>487.49</v>
      </c>
      <c r="O164" s="9" t="n">
        <v>9099.860000000001</v>
      </c>
      <c r="P164" s="9" t="n">
        <v>1364.98</v>
      </c>
      <c r="Q164" s="9" t="n">
        <v>7734.88</v>
      </c>
      <c r="R164" s="9" t="n">
        <v>6824.86</v>
      </c>
      <c r="S164" s="9" t="n">
        <v>910.02</v>
      </c>
      <c r="T164" s="10" t="n">
        <v>0.1177</v>
      </c>
    </row>
    <row r="165">
      <c r="A165" s="7" t="inlineStr">
        <is>
          <t>ORD-2024-1405</t>
        </is>
      </c>
      <c r="B165" s="7" t="inlineStr">
        <is>
          <t>2024-03-14</t>
        </is>
      </c>
      <c r="C165" s="7" t="inlineStr">
        <is>
          <t>FUR-LGT-006</t>
        </is>
      </c>
      <c r="D165" s="7" t="inlineStr">
        <is>
          <t>Architect LED Desk Task Lamp</t>
        </is>
      </c>
      <c r="E165" s="7" t="inlineStr">
        <is>
          <t>Furniture</t>
        </is>
      </c>
      <c r="F165" s="7" t="inlineStr">
        <is>
          <t>Lighting</t>
        </is>
      </c>
      <c r="G165" s="7" t="inlineStr">
        <is>
          <t>South</t>
        </is>
      </c>
      <c r="H165" s="7" t="inlineStr">
        <is>
          <t>Florida</t>
        </is>
      </c>
      <c r="I165" s="7" t="inlineStr">
        <is>
          <t>Direct Sales</t>
        </is>
      </c>
      <c r="J165" s="7" t="inlineStr">
        <is>
          <t>Consumer</t>
        </is>
      </c>
      <c r="K165" s="8" t="n">
        <v>2</v>
      </c>
      <c r="L165" s="9" t="n">
        <v>69.98999999999999</v>
      </c>
      <c r="M165" s="10" t="n">
        <v>0.05</v>
      </c>
      <c r="N165" s="9" t="n">
        <v>43.39</v>
      </c>
      <c r="O165" s="9" t="n">
        <v>139.98</v>
      </c>
      <c r="P165" s="9" t="n">
        <v>7</v>
      </c>
      <c r="Q165" s="9" t="n">
        <v>132.98</v>
      </c>
      <c r="R165" s="9" t="n">
        <v>86.78</v>
      </c>
      <c r="S165" s="9" t="n">
        <v>46.2</v>
      </c>
      <c r="T165" s="10" t="n">
        <v>0.3474</v>
      </c>
    </row>
    <row r="166">
      <c r="A166" s="7" t="inlineStr">
        <is>
          <t>ORD-2024-1678</t>
        </is>
      </c>
      <c r="B166" s="7" t="inlineStr">
        <is>
          <t>2024-03-14</t>
        </is>
      </c>
      <c r="C166" s="7" t="inlineStr">
        <is>
          <t>OFF-DSK-007</t>
        </is>
      </c>
      <c r="D166" s="7" t="inlineStr">
        <is>
          <t>Gel Ergo Mouse Pad &amp; Wrist Rest Combo</t>
        </is>
      </c>
      <c r="E166" s="7" t="inlineStr">
        <is>
          <t>Office Supplies</t>
        </is>
      </c>
      <c r="F166" s="7" t="inlineStr">
        <is>
          <t>Desk Supplies</t>
        </is>
      </c>
      <c r="G166" s="7" t="inlineStr">
        <is>
          <t>South</t>
        </is>
      </c>
      <c r="H166" s="7" t="inlineStr">
        <is>
          <t>Florida</t>
        </is>
      </c>
      <c r="I166" s="7" t="inlineStr">
        <is>
          <t>Wholesale</t>
        </is>
      </c>
      <c r="J166" s="7" t="inlineStr">
        <is>
          <t>Consumer</t>
        </is>
      </c>
      <c r="K166" s="8" t="n">
        <v>8</v>
      </c>
      <c r="L166" s="9" t="n">
        <v>21.99</v>
      </c>
      <c r="M166" s="10" t="n">
        <v>0.1</v>
      </c>
      <c r="N166" s="9" t="n">
        <v>10.56</v>
      </c>
      <c r="O166" s="9" t="n">
        <v>175.92</v>
      </c>
      <c r="P166" s="9" t="n">
        <v>17.59</v>
      </c>
      <c r="Q166" s="9" t="n">
        <v>158.33</v>
      </c>
      <c r="R166" s="9" t="n">
        <v>84.48</v>
      </c>
      <c r="S166" s="9" t="n">
        <v>73.84999999999999</v>
      </c>
      <c r="T166" s="10" t="n">
        <v>0.4664</v>
      </c>
    </row>
    <row r="167">
      <c r="A167" s="7" t="inlineStr">
        <is>
          <t>ORD-2024-1338</t>
        </is>
      </c>
      <c r="B167" s="7" t="inlineStr">
        <is>
          <t>2024-03-15</t>
        </is>
      </c>
      <c r="C167" s="7" t="inlineStr">
        <is>
          <t>OFF-DSK-008</t>
        </is>
      </c>
      <c r="D167" s="7" t="inlineStr">
        <is>
          <t>Steel Desktop Mesh Organizer Caddy</t>
        </is>
      </c>
      <c r="E167" s="7" t="inlineStr">
        <is>
          <t>Office Supplies</t>
        </is>
      </c>
      <c r="F167" s="7" t="inlineStr">
        <is>
          <t>Desk Supplies</t>
        </is>
      </c>
      <c r="G167" s="7" t="inlineStr">
        <is>
          <t>East</t>
        </is>
      </c>
      <c r="H167" s="7" t="inlineStr">
        <is>
          <t>New Jersey</t>
        </is>
      </c>
      <c r="I167" s="7" t="inlineStr">
        <is>
          <t>Direct Sales</t>
        </is>
      </c>
      <c r="J167" s="7" t="inlineStr">
        <is>
          <t>Corporate</t>
        </is>
      </c>
      <c r="K167" s="8" t="n">
        <v>6</v>
      </c>
      <c r="L167" s="9" t="n">
        <v>18.99</v>
      </c>
      <c r="M167" s="10" t="n">
        <v>0.05</v>
      </c>
      <c r="N167" s="9" t="n">
        <v>8.550000000000001</v>
      </c>
      <c r="O167" s="9" t="n">
        <v>113.94</v>
      </c>
      <c r="P167" s="9" t="n">
        <v>5.7</v>
      </c>
      <c r="Q167" s="9" t="n">
        <v>108.24</v>
      </c>
      <c r="R167" s="9" t="n">
        <v>51.3</v>
      </c>
      <c r="S167" s="9" t="n">
        <v>56.94</v>
      </c>
      <c r="T167" s="10" t="n">
        <v>0.5261</v>
      </c>
    </row>
    <row r="168">
      <c r="A168" s="7" t="inlineStr">
        <is>
          <t>ORD-2024-1573</t>
        </is>
      </c>
      <c r="B168" s="7" t="inlineStr">
        <is>
          <t>2024-03-15</t>
        </is>
      </c>
      <c r="C168" s="7" t="inlineStr">
        <is>
          <t>FUR-DSK-004</t>
        </is>
      </c>
      <c r="D168" s="7" t="inlineStr">
        <is>
          <t>Metro Compact Corner Workstation</t>
        </is>
      </c>
      <c r="E168" s="7" t="inlineStr">
        <is>
          <t>Furniture</t>
        </is>
      </c>
      <c r="F168" s="7" t="inlineStr">
        <is>
          <t>Desks &amp; Workstations</t>
        </is>
      </c>
      <c r="G168" s="7" t="inlineStr">
        <is>
          <t>East</t>
        </is>
      </c>
      <c r="H168" s="7" t="inlineStr">
        <is>
          <t>Pennsylvania</t>
        </is>
      </c>
      <c r="I168" s="7" t="inlineStr">
        <is>
          <t>Direct Sales</t>
        </is>
      </c>
      <c r="J168" s="7" t="inlineStr">
        <is>
          <t>Corporate</t>
        </is>
      </c>
      <c r="K168" s="8" t="n">
        <v>3</v>
      </c>
      <c r="L168" s="9" t="n">
        <v>329.99</v>
      </c>
      <c r="M168" s="10" t="n">
        <v>0.05</v>
      </c>
      <c r="N168" s="9" t="n">
        <v>250.79</v>
      </c>
      <c r="O168" s="9" t="n">
        <v>989.97</v>
      </c>
      <c r="P168" s="9" t="n">
        <v>49.5</v>
      </c>
      <c r="Q168" s="9" t="n">
        <v>940.47</v>
      </c>
      <c r="R168" s="9" t="n">
        <v>752.37</v>
      </c>
      <c r="S168" s="9" t="n">
        <v>188.1</v>
      </c>
      <c r="T168" s="10" t="n">
        <v>0.2</v>
      </c>
    </row>
    <row r="169">
      <c r="A169" s="7" t="inlineStr">
        <is>
          <t>ORD-2024-1573</t>
        </is>
      </c>
      <c r="B169" s="7" t="inlineStr">
        <is>
          <t>2024-03-15</t>
        </is>
      </c>
      <c r="C169" s="7" t="inlineStr">
        <is>
          <t>TEC-ACC-005</t>
        </is>
      </c>
      <c r="D169" s="7" t="inlineStr">
        <is>
          <t>UltraWireless Noise-Canceling Headset</t>
        </is>
      </c>
      <c r="E169" s="7" t="inlineStr">
        <is>
          <t>Technology</t>
        </is>
      </c>
      <c r="F169" s="7" t="inlineStr">
        <is>
          <t>Audio &amp; Accessories</t>
        </is>
      </c>
      <c r="G169" s="7" t="inlineStr">
        <is>
          <t>East</t>
        </is>
      </c>
      <c r="H169" s="7" t="inlineStr">
        <is>
          <t>Pennsylvania</t>
        </is>
      </c>
      <c r="I169" s="7" t="inlineStr">
        <is>
          <t>Direct Sales</t>
        </is>
      </c>
      <c r="J169" s="7" t="inlineStr">
        <is>
          <t>Corporate</t>
        </is>
      </c>
      <c r="K169" s="8" t="n">
        <v>7</v>
      </c>
      <c r="L169" s="9" t="n">
        <v>179.99</v>
      </c>
      <c r="M169" s="10" t="n">
        <v>0</v>
      </c>
      <c r="N169" s="9" t="n">
        <v>111.59</v>
      </c>
      <c r="O169" s="9" t="n">
        <v>1259.93</v>
      </c>
      <c r="P169" s="9" t="n">
        <v>0</v>
      </c>
      <c r="Q169" s="9" t="n">
        <v>1259.93</v>
      </c>
      <c r="R169" s="9" t="n">
        <v>781.13</v>
      </c>
      <c r="S169" s="9" t="n">
        <v>478.8</v>
      </c>
      <c r="T169" s="10" t="n">
        <v>0.38</v>
      </c>
    </row>
    <row r="170">
      <c r="A170" s="7" t="inlineStr">
        <is>
          <t>ORD-2024-1573</t>
        </is>
      </c>
      <c r="B170" s="7" t="inlineStr">
        <is>
          <t>2024-03-15</t>
        </is>
      </c>
      <c r="C170" s="7" t="inlineStr">
        <is>
          <t>OFF-PAP-004</t>
        </is>
      </c>
      <c r="D170" s="7" t="inlineStr">
        <is>
          <t>EcoRecycled Copy Paper (5 Reams)</t>
        </is>
      </c>
      <c r="E170" s="7" t="inlineStr">
        <is>
          <t>Office Supplies</t>
        </is>
      </c>
      <c r="F170" s="7" t="inlineStr">
        <is>
          <t>Paper Products</t>
        </is>
      </c>
      <c r="G170" s="7" t="inlineStr">
        <is>
          <t>East</t>
        </is>
      </c>
      <c r="H170" s="7" t="inlineStr">
        <is>
          <t>Pennsylvania</t>
        </is>
      </c>
      <c r="I170" s="7" t="inlineStr">
        <is>
          <t>Direct Sales</t>
        </is>
      </c>
      <c r="J170" s="7" t="inlineStr">
        <is>
          <t>Corporate</t>
        </is>
      </c>
      <c r="K170" s="8" t="n">
        <v>5</v>
      </c>
      <c r="L170" s="9" t="n">
        <v>32.99</v>
      </c>
      <c r="M170" s="10" t="n">
        <v>0.1</v>
      </c>
      <c r="N170" s="9" t="n">
        <v>19.79</v>
      </c>
      <c r="O170" s="9" t="n">
        <v>164.95</v>
      </c>
      <c r="P170" s="9" t="n">
        <v>16.5</v>
      </c>
      <c r="Q170" s="9" t="n">
        <v>148.45</v>
      </c>
      <c r="R170" s="9" t="n">
        <v>98.95</v>
      </c>
      <c r="S170" s="9" t="n">
        <v>49.5</v>
      </c>
      <c r="T170" s="10" t="n">
        <v>0.3334</v>
      </c>
    </row>
    <row r="171">
      <c r="A171" s="7" t="inlineStr">
        <is>
          <t>ORD-2024-1573</t>
        </is>
      </c>
      <c r="B171" s="7" t="inlineStr">
        <is>
          <t>2024-03-15</t>
        </is>
      </c>
      <c r="C171" s="7" t="inlineStr">
        <is>
          <t>TEC-ACC-006</t>
        </is>
      </c>
      <c r="D171" s="7" t="inlineStr">
        <is>
          <t>MultiPort Thunderbolt 4 Dock</t>
        </is>
      </c>
      <c r="E171" s="7" t="inlineStr">
        <is>
          <t>Technology</t>
        </is>
      </c>
      <c r="F171" s="7" t="inlineStr">
        <is>
          <t>Audio &amp; Accessories</t>
        </is>
      </c>
      <c r="G171" s="7" t="inlineStr">
        <is>
          <t>East</t>
        </is>
      </c>
      <c r="H171" s="7" t="inlineStr">
        <is>
          <t>Pennsylvania</t>
        </is>
      </c>
      <c r="I171" s="7" t="inlineStr">
        <is>
          <t>Direct Sales</t>
        </is>
      </c>
      <c r="J171" s="7" t="inlineStr">
        <is>
          <t>Corporate</t>
        </is>
      </c>
      <c r="K171" s="8" t="n">
        <v>6</v>
      </c>
      <c r="L171" s="9" t="n">
        <v>149.99</v>
      </c>
      <c r="M171" s="10" t="n">
        <v>0</v>
      </c>
      <c r="N171" s="9" t="n">
        <v>98.98999999999999</v>
      </c>
      <c r="O171" s="9" t="n">
        <v>899.9400000000001</v>
      </c>
      <c r="P171" s="9" t="n">
        <v>0</v>
      </c>
      <c r="Q171" s="9" t="n">
        <v>899.9400000000001</v>
      </c>
      <c r="R171" s="9" t="n">
        <v>593.9400000000001</v>
      </c>
      <c r="S171" s="9" t="n">
        <v>306</v>
      </c>
      <c r="T171" s="10" t="n">
        <v>0.34</v>
      </c>
    </row>
    <row r="172">
      <c r="A172" s="7" t="inlineStr">
        <is>
          <t>ORD-2024-1183</t>
        </is>
      </c>
      <c r="B172" s="7" t="inlineStr">
        <is>
          <t>2024-03-20</t>
        </is>
      </c>
      <c r="C172" s="7" t="inlineStr">
        <is>
          <t>OFF-PAP-003</t>
        </is>
      </c>
      <c r="D172" s="7" t="inlineStr">
        <is>
          <t>UltraWhite Premium Multipurpose Paper (Case)</t>
        </is>
      </c>
      <c r="E172" s="7" t="inlineStr">
        <is>
          <t>Office Supplies</t>
        </is>
      </c>
      <c r="F172" s="7" t="inlineStr">
        <is>
          <t>Paper Products</t>
        </is>
      </c>
      <c r="G172" s="7" t="inlineStr">
        <is>
          <t>Central</t>
        </is>
      </c>
      <c r="H172" s="7" t="inlineStr">
        <is>
          <t>Texas</t>
        </is>
      </c>
      <c r="I172" s="7" t="inlineStr">
        <is>
          <t>Retail Partner</t>
        </is>
      </c>
      <c r="J172" s="7" t="inlineStr">
        <is>
          <t>Corporate</t>
        </is>
      </c>
      <c r="K172" s="8" t="n">
        <v>5</v>
      </c>
      <c r="L172" s="9" t="n">
        <v>54.99</v>
      </c>
      <c r="M172" s="10" t="n">
        <v>0</v>
      </c>
      <c r="N172" s="9" t="n">
        <v>31.89</v>
      </c>
      <c r="O172" s="9" t="n">
        <v>274.95</v>
      </c>
      <c r="P172" s="9" t="n">
        <v>0</v>
      </c>
      <c r="Q172" s="9" t="n">
        <v>274.95</v>
      </c>
      <c r="R172" s="9" t="n">
        <v>159.45</v>
      </c>
      <c r="S172" s="9" t="n">
        <v>115.5</v>
      </c>
      <c r="T172" s="10" t="n">
        <v>0.4201</v>
      </c>
    </row>
    <row r="173">
      <c r="A173" s="7" t="inlineStr">
        <is>
          <t>ORD-2024-1408</t>
        </is>
      </c>
      <c r="B173" s="7" t="inlineStr">
        <is>
          <t>2024-03-20</t>
        </is>
      </c>
      <c r="C173" s="7" t="inlineStr">
        <is>
          <t>TEC-ACC-006</t>
        </is>
      </c>
      <c r="D173" s="7" t="inlineStr">
        <is>
          <t>MultiPort Thunderbolt 4 Dock</t>
        </is>
      </c>
      <c r="E173" s="7" t="inlineStr">
        <is>
          <t>Technology</t>
        </is>
      </c>
      <c r="F173" s="7" t="inlineStr">
        <is>
          <t>Audio &amp; Accessories</t>
        </is>
      </c>
      <c r="G173" s="7" t="inlineStr">
        <is>
          <t>East</t>
        </is>
      </c>
      <c r="H173" s="7" t="inlineStr">
        <is>
          <t>New Jersey</t>
        </is>
      </c>
      <c r="I173" s="7" t="inlineStr">
        <is>
          <t>Online</t>
        </is>
      </c>
      <c r="J173" s="7" t="inlineStr">
        <is>
          <t>Corporate</t>
        </is>
      </c>
      <c r="K173" s="8" t="n">
        <v>7</v>
      </c>
      <c r="L173" s="9" t="n">
        <v>149.99</v>
      </c>
      <c r="M173" s="10" t="n">
        <v>0</v>
      </c>
      <c r="N173" s="9" t="n">
        <v>98.98999999999999</v>
      </c>
      <c r="O173" s="9" t="n">
        <v>1049.93</v>
      </c>
      <c r="P173" s="9" t="n">
        <v>0</v>
      </c>
      <c r="Q173" s="9" t="n">
        <v>1049.93</v>
      </c>
      <c r="R173" s="9" t="n">
        <v>692.9299999999999</v>
      </c>
      <c r="S173" s="9" t="n">
        <v>357</v>
      </c>
      <c r="T173" s="10" t="n">
        <v>0.34</v>
      </c>
    </row>
    <row r="174">
      <c r="A174" s="7" t="inlineStr">
        <is>
          <t>ORD-2024-1013</t>
        </is>
      </c>
      <c r="B174" s="7" t="inlineStr">
        <is>
          <t>2024-03-22</t>
        </is>
      </c>
      <c r="C174" s="7" t="inlineStr">
        <is>
          <t>FUR-CHA-002</t>
        </is>
      </c>
      <c r="D174" s="7" t="inlineStr">
        <is>
          <t>AeroTask Operator Task Chair</t>
        </is>
      </c>
      <c r="E174" s="7" t="inlineStr">
        <is>
          <t>Furniture</t>
        </is>
      </c>
      <c r="F174" s="7" t="inlineStr">
        <is>
          <t>Chairs</t>
        </is>
      </c>
      <c r="G174" s="7" t="inlineStr">
        <is>
          <t>South</t>
        </is>
      </c>
      <c r="H174" s="7" t="inlineStr">
        <is>
          <t>Georgia</t>
        </is>
      </c>
      <c r="I174" s="7" t="inlineStr">
        <is>
          <t>Direct Sales</t>
        </is>
      </c>
      <c r="J174" s="7" t="inlineStr">
        <is>
          <t>Consumer</t>
        </is>
      </c>
      <c r="K174" s="8" t="n">
        <v>1</v>
      </c>
      <c r="L174" s="9" t="n">
        <v>219.99</v>
      </c>
      <c r="M174" s="10" t="n">
        <v>0</v>
      </c>
      <c r="N174" s="9" t="n">
        <v>171.59</v>
      </c>
      <c r="O174" s="9" t="n">
        <v>219.99</v>
      </c>
      <c r="P174" s="9" t="n">
        <v>0</v>
      </c>
      <c r="Q174" s="9" t="n">
        <v>219.99</v>
      </c>
      <c r="R174" s="9" t="n">
        <v>171.59</v>
      </c>
      <c r="S174" s="9" t="n">
        <v>48.4</v>
      </c>
      <c r="T174" s="10" t="n">
        <v>0.22</v>
      </c>
    </row>
    <row r="175">
      <c r="A175" s="7" t="inlineStr">
        <is>
          <t>ORD-2024-1067</t>
        </is>
      </c>
      <c r="B175" s="7" t="inlineStr">
        <is>
          <t>2024-03-22</t>
        </is>
      </c>
      <c r="C175" s="7" t="inlineStr">
        <is>
          <t>TEC-ACC-008</t>
        </is>
      </c>
      <c r="D175" s="7" t="inlineStr">
        <is>
          <t>Precision Laser Bluetooth Mouse</t>
        </is>
      </c>
      <c r="E175" s="7" t="inlineStr">
        <is>
          <t>Technology</t>
        </is>
      </c>
      <c r="F175" s="7" t="inlineStr">
        <is>
          <t>Audio &amp; Accessories</t>
        </is>
      </c>
      <c r="G175" s="7" t="inlineStr">
        <is>
          <t>Central</t>
        </is>
      </c>
      <c r="H175" s="7" t="inlineStr">
        <is>
          <t>Ohio</t>
        </is>
      </c>
      <c r="I175" s="7" t="inlineStr">
        <is>
          <t>Direct Sales</t>
        </is>
      </c>
      <c r="J175" s="7" t="inlineStr">
        <is>
          <t>Consumer</t>
        </is>
      </c>
      <c r="K175" s="8" t="n">
        <v>3</v>
      </c>
      <c r="L175" s="9" t="n">
        <v>49.99</v>
      </c>
      <c r="M175" s="10" t="n">
        <v>0.05</v>
      </c>
      <c r="N175" s="9" t="n">
        <v>27.49</v>
      </c>
      <c r="O175" s="9" t="n">
        <v>149.97</v>
      </c>
      <c r="P175" s="9" t="n">
        <v>7.5</v>
      </c>
      <c r="Q175" s="9" t="n">
        <v>142.47</v>
      </c>
      <c r="R175" s="9" t="n">
        <v>82.47</v>
      </c>
      <c r="S175" s="9" t="n">
        <v>60</v>
      </c>
      <c r="T175" s="10" t="n">
        <v>0.4211</v>
      </c>
    </row>
    <row r="176">
      <c r="A176" s="7" t="inlineStr">
        <is>
          <t>ORD-2024-1263</t>
        </is>
      </c>
      <c r="B176" s="7" t="inlineStr">
        <is>
          <t>2024-03-22</t>
        </is>
      </c>
      <c r="C176" s="7" t="inlineStr">
        <is>
          <t>OFF-BIN-005</t>
        </is>
      </c>
      <c r="D176" s="7" t="inlineStr">
        <is>
          <t>Heavy-Duty D-Ring Presentation Binder (6-Pk)</t>
        </is>
      </c>
      <c r="E176" s="7" t="inlineStr">
        <is>
          <t>Office Supplies</t>
        </is>
      </c>
      <c r="F176" s="7" t="inlineStr">
        <is>
          <t>Binders &amp; Fasteners</t>
        </is>
      </c>
      <c r="G176" s="7" t="inlineStr">
        <is>
          <t>Central</t>
        </is>
      </c>
      <c r="H176" s="7" t="inlineStr">
        <is>
          <t>Ohio</t>
        </is>
      </c>
      <c r="I176" s="7" t="inlineStr">
        <is>
          <t>Online</t>
        </is>
      </c>
      <c r="J176" s="7" t="inlineStr">
        <is>
          <t>Home Office</t>
        </is>
      </c>
      <c r="K176" s="8" t="n">
        <v>4</v>
      </c>
      <c r="L176" s="9" t="n">
        <v>27.99</v>
      </c>
      <c r="M176" s="10" t="n">
        <v>0.1</v>
      </c>
      <c r="N176" s="9" t="n">
        <v>13.99</v>
      </c>
      <c r="O176" s="9" t="n">
        <v>111.96</v>
      </c>
      <c r="P176" s="9" t="n">
        <v>11.2</v>
      </c>
      <c r="Q176" s="9" t="n">
        <v>100.76</v>
      </c>
      <c r="R176" s="9" t="n">
        <v>55.96</v>
      </c>
      <c r="S176" s="9" t="n">
        <v>44.8</v>
      </c>
      <c r="T176" s="10" t="n">
        <v>0.4446</v>
      </c>
    </row>
    <row r="177">
      <c r="A177" s="7" t="inlineStr">
        <is>
          <t>ORD-2024-1543</t>
        </is>
      </c>
      <c r="B177" s="7" t="inlineStr">
        <is>
          <t>2024-03-22</t>
        </is>
      </c>
      <c r="C177" s="7" t="inlineStr">
        <is>
          <t>TEC-ACC-008</t>
        </is>
      </c>
      <c r="D177" s="7" t="inlineStr">
        <is>
          <t>Precision Laser Bluetooth Mouse</t>
        </is>
      </c>
      <c r="E177" s="7" t="inlineStr">
        <is>
          <t>Technology</t>
        </is>
      </c>
      <c r="F177" s="7" t="inlineStr">
        <is>
          <t>Audio &amp; Accessories</t>
        </is>
      </c>
      <c r="G177" s="7" t="inlineStr">
        <is>
          <t>East</t>
        </is>
      </c>
      <c r="H177" s="7" t="inlineStr">
        <is>
          <t>New York</t>
        </is>
      </c>
      <c r="I177" s="7" t="inlineStr">
        <is>
          <t>Retail Partner</t>
        </is>
      </c>
      <c r="J177" s="7" t="inlineStr">
        <is>
          <t>Corporate</t>
        </is>
      </c>
      <c r="K177" s="8" t="n">
        <v>7</v>
      </c>
      <c r="L177" s="9" t="n">
        <v>49.99</v>
      </c>
      <c r="M177" s="10" t="n">
        <v>0</v>
      </c>
      <c r="N177" s="9" t="n">
        <v>27.49</v>
      </c>
      <c r="O177" s="9" t="n">
        <v>349.93</v>
      </c>
      <c r="P177" s="9" t="n">
        <v>0</v>
      </c>
      <c r="Q177" s="9" t="n">
        <v>349.93</v>
      </c>
      <c r="R177" s="9" t="n">
        <v>192.43</v>
      </c>
      <c r="S177" s="9" t="n">
        <v>157.5</v>
      </c>
      <c r="T177" s="10" t="n">
        <v>0.4501</v>
      </c>
    </row>
    <row r="178">
      <c r="A178" s="7" t="inlineStr">
        <is>
          <t>ORD-2024-1007</t>
        </is>
      </c>
      <c r="B178" s="7" t="inlineStr">
        <is>
          <t>2024-03-23</t>
        </is>
      </c>
      <c r="C178" s="7" t="inlineStr">
        <is>
          <t>FUR-DSK-003</t>
        </is>
      </c>
      <c r="D178" s="7" t="inlineStr">
        <is>
          <t>ApexMotor Dual-Motor Standing Desk</t>
        </is>
      </c>
      <c r="E178" s="7" t="inlineStr">
        <is>
          <t>Furniture</t>
        </is>
      </c>
      <c r="F178" s="7" t="inlineStr">
        <is>
          <t>Desks &amp; Workstations</t>
        </is>
      </c>
      <c r="G178" s="7" t="inlineStr">
        <is>
          <t>East</t>
        </is>
      </c>
      <c r="H178" s="7" t="inlineStr">
        <is>
          <t>New Jersey</t>
        </is>
      </c>
      <c r="I178" s="7" t="inlineStr">
        <is>
          <t>Online</t>
        </is>
      </c>
      <c r="J178" s="7" t="inlineStr">
        <is>
          <t>Home Office</t>
        </is>
      </c>
      <c r="K178" s="8" t="n">
        <v>3</v>
      </c>
      <c r="L178" s="9" t="n">
        <v>549.99</v>
      </c>
      <c r="M178" s="10" t="n">
        <v>0.05</v>
      </c>
      <c r="N178" s="9" t="n">
        <v>439.99</v>
      </c>
      <c r="O178" s="9" t="n">
        <v>1649.97</v>
      </c>
      <c r="P178" s="9" t="n">
        <v>82.5</v>
      </c>
      <c r="Q178" s="9" t="n">
        <v>1567.47</v>
      </c>
      <c r="R178" s="9" t="n">
        <v>1319.97</v>
      </c>
      <c r="S178" s="9" t="n">
        <v>247.5</v>
      </c>
      <c r="T178" s="10" t="n">
        <v>0.1579</v>
      </c>
    </row>
    <row r="179">
      <c r="A179" s="7" t="inlineStr">
        <is>
          <t>ORD-2024-1149</t>
        </is>
      </c>
      <c r="B179" s="7" t="inlineStr">
        <is>
          <t>2024-03-23</t>
        </is>
      </c>
      <c r="C179" s="7" t="inlineStr">
        <is>
          <t>TEC-TAB-004</t>
        </is>
      </c>
      <c r="D179" s="7" t="inlineStr">
        <is>
          <t>VisionPad Lite 8.5"</t>
        </is>
      </c>
      <c r="E179" s="7" t="inlineStr">
        <is>
          <t>Technology</t>
        </is>
      </c>
      <c r="F179" s="7" t="inlineStr">
        <is>
          <t>Phones &amp; Tablets</t>
        </is>
      </c>
      <c r="G179" s="7" t="inlineStr">
        <is>
          <t>South</t>
        </is>
      </c>
      <c r="H179" s="7" t="inlineStr">
        <is>
          <t>Georgia</t>
        </is>
      </c>
      <c r="I179" s="7" t="inlineStr">
        <is>
          <t>Online</t>
        </is>
      </c>
      <c r="J179" s="7" t="inlineStr">
        <is>
          <t>Consumer</t>
        </is>
      </c>
      <c r="K179" s="8" t="n">
        <v>3</v>
      </c>
      <c r="L179" s="9" t="n">
        <v>299.99</v>
      </c>
      <c r="M179" s="10" t="n">
        <v>0</v>
      </c>
      <c r="N179" s="9" t="n">
        <v>245.99</v>
      </c>
      <c r="O179" s="9" t="n">
        <v>899.97</v>
      </c>
      <c r="P179" s="9" t="n">
        <v>0</v>
      </c>
      <c r="Q179" s="9" t="n">
        <v>899.97</v>
      </c>
      <c r="R179" s="9" t="n">
        <v>737.97</v>
      </c>
      <c r="S179" s="9" t="n">
        <v>162</v>
      </c>
      <c r="T179" s="10" t="n">
        <v>0.18</v>
      </c>
    </row>
    <row r="180">
      <c r="A180" s="7" t="inlineStr">
        <is>
          <t>ORD-2024-1591</t>
        </is>
      </c>
      <c r="B180" s="7" t="inlineStr">
        <is>
          <t>2024-03-23</t>
        </is>
      </c>
      <c r="C180" s="7" t="inlineStr">
        <is>
          <t>TEC-TAB-003</t>
        </is>
      </c>
      <c r="D180" s="7" t="inlineStr">
        <is>
          <t>VisionPad Pro 11"</t>
        </is>
      </c>
      <c r="E180" s="7" t="inlineStr">
        <is>
          <t>Technology</t>
        </is>
      </c>
      <c r="F180" s="7" t="inlineStr">
        <is>
          <t>Phones &amp; Tablets</t>
        </is>
      </c>
      <c r="G180" s="7" t="inlineStr">
        <is>
          <t>Central</t>
        </is>
      </c>
      <c r="H180" s="7" t="inlineStr">
        <is>
          <t>Texas</t>
        </is>
      </c>
      <c r="I180" s="7" t="inlineStr">
        <is>
          <t>Direct Sales</t>
        </is>
      </c>
      <c r="J180" s="7" t="inlineStr">
        <is>
          <t>Consumer</t>
        </is>
      </c>
      <c r="K180" s="8" t="n">
        <v>4</v>
      </c>
      <c r="L180" s="9" t="n">
        <v>649.99</v>
      </c>
      <c r="M180" s="10" t="n">
        <v>0</v>
      </c>
      <c r="N180" s="9" t="n">
        <v>487.49</v>
      </c>
      <c r="O180" s="9" t="n">
        <v>2599.96</v>
      </c>
      <c r="P180" s="9" t="n">
        <v>0</v>
      </c>
      <c r="Q180" s="9" t="n">
        <v>2599.96</v>
      </c>
      <c r="R180" s="9" t="n">
        <v>1949.96</v>
      </c>
      <c r="S180" s="9" t="n">
        <v>650</v>
      </c>
      <c r="T180" s="10" t="n">
        <v>0.25</v>
      </c>
    </row>
    <row r="181">
      <c r="A181" s="7" t="inlineStr">
        <is>
          <t>ORD-2024-1692</t>
        </is>
      </c>
      <c r="B181" s="7" t="inlineStr">
        <is>
          <t>2024-03-23</t>
        </is>
      </c>
      <c r="C181" s="7" t="inlineStr">
        <is>
          <t>OFF-STR-001</t>
        </is>
      </c>
      <c r="D181" s="7" t="inlineStr">
        <is>
          <t>SteelLock 3-Drawer File Cabinet</t>
        </is>
      </c>
      <c r="E181" s="7" t="inlineStr">
        <is>
          <t>Office Supplies</t>
        </is>
      </c>
      <c r="F181" s="7" t="inlineStr">
        <is>
          <t>Storage &amp; Organizers</t>
        </is>
      </c>
      <c r="G181" s="7" t="inlineStr">
        <is>
          <t>West</t>
        </is>
      </c>
      <c r="H181" s="7" t="inlineStr">
        <is>
          <t>Oregon</t>
        </is>
      </c>
      <c r="I181" s="7" t="inlineStr">
        <is>
          <t>Direct Sales</t>
        </is>
      </c>
      <c r="J181" s="7" t="inlineStr">
        <is>
          <t>Consumer</t>
        </is>
      </c>
      <c r="K181" s="8" t="n">
        <v>4</v>
      </c>
      <c r="L181" s="9" t="n">
        <v>169.99</v>
      </c>
      <c r="M181" s="10" t="n">
        <v>0.15</v>
      </c>
      <c r="N181" s="9" t="n">
        <v>115.59</v>
      </c>
      <c r="O181" s="9" t="n">
        <v>679.96</v>
      </c>
      <c r="P181" s="9" t="n">
        <v>101.99</v>
      </c>
      <c r="Q181" s="9" t="n">
        <v>577.97</v>
      </c>
      <c r="R181" s="9" t="n">
        <v>462.36</v>
      </c>
      <c r="S181" s="9" t="n">
        <v>115.61</v>
      </c>
      <c r="T181" s="10" t="n">
        <v>0.2</v>
      </c>
    </row>
    <row r="182">
      <c r="A182" s="7" t="inlineStr">
        <is>
          <t>ORD-2024-1172</t>
        </is>
      </c>
      <c r="B182" s="7" t="inlineStr">
        <is>
          <t>2024-03-24</t>
        </is>
      </c>
      <c r="C182" s="7" t="inlineStr">
        <is>
          <t>FUR-CHA-001</t>
        </is>
      </c>
      <c r="D182" s="7" t="inlineStr">
        <is>
          <t>ErgoFlex Executive Mesh Chair</t>
        </is>
      </c>
      <c r="E182" s="7" t="inlineStr">
        <is>
          <t>Furniture</t>
        </is>
      </c>
      <c r="F182" s="7" t="inlineStr">
        <is>
          <t>Chairs</t>
        </is>
      </c>
      <c r="G182" s="7" t="inlineStr">
        <is>
          <t>West</t>
        </is>
      </c>
      <c r="H182" s="7" t="inlineStr">
        <is>
          <t>Colorado</t>
        </is>
      </c>
      <c r="I182" s="7" t="inlineStr">
        <is>
          <t>Online</t>
        </is>
      </c>
      <c r="J182" s="7" t="inlineStr">
        <is>
          <t>Corporate</t>
        </is>
      </c>
      <c r="K182" s="8" t="n">
        <v>7</v>
      </c>
      <c r="L182" s="9" t="n">
        <v>389.99</v>
      </c>
      <c r="M182" s="10" t="n">
        <v>0.05</v>
      </c>
      <c r="N182" s="9" t="n">
        <v>331.49</v>
      </c>
      <c r="O182" s="9" t="n">
        <v>2729.93</v>
      </c>
      <c r="P182" s="9" t="n">
        <v>136.5</v>
      </c>
      <c r="Q182" s="9" t="n">
        <v>2593.43</v>
      </c>
      <c r="R182" s="9" t="n">
        <v>2320.43</v>
      </c>
      <c r="S182" s="9" t="n">
        <v>273</v>
      </c>
      <c r="T182" s="10" t="n">
        <v>0.1053</v>
      </c>
    </row>
    <row r="183">
      <c r="A183" s="7" t="inlineStr">
        <is>
          <t>ORD-2024-1272</t>
        </is>
      </c>
      <c r="B183" s="7" t="inlineStr">
        <is>
          <t>2024-03-24</t>
        </is>
      </c>
      <c r="C183" s="7" t="inlineStr">
        <is>
          <t>FUR-LGT-006</t>
        </is>
      </c>
      <c r="D183" s="7" t="inlineStr">
        <is>
          <t>Architect LED Desk Task Lamp</t>
        </is>
      </c>
      <c r="E183" s="7" t="inlineStr">
        <is>
          <t>Furniture</t>
        </is>
      </c>
      <c r="F183" s="7" t="inlineStr">
        <is>
          <t>Lighting</t>
        </is>
      </c>
      <c r="G183" s="7" t="inlineStr">
        <is>
          <t>South</t>
        </is>
      </c>
      <c r="H183" s="7" t="inlineStr">
        <is>
          <t>Georgia</t>
        </is>
      </c>
      <c r="I183" s="7" t="inlineStr">
        <is>
          <t>Direct Sales</t>
        </is>
      </c>
      <c r="J183" s="7" t="inlineStr">
        <is>
          <t>Consumer</t>
        </is>
      </c>
      <c r="K183" s="8" t="n">
        <v>1</v>
      </c>
      <c r="L183" s="9" t="n">
        <v>69.98999999999999</v>
      </c>
      <c r="M183" s="10" t="n">
        <v>0</v>
      </c>
      <c r="N183" s="9" t="n">
        <v>43.39</v>
      </c>
      <c r="O183" s="9" t="n">
        <v>69.98999999999999</v>
      </c>
      <c r="P183" s="9" t="n">
        <v>0</v>
      </c>
      <c r="Q183" s="9" t="n">
        <v>69.98999999999999</v>
      </c>
      <c r="R183" s="9" t="n">
        <v>43.39</v>
      </c>
      <c r="S183" s="9" t="n">
        <v>26.6</v>
      </c>
      <c r="T183" s="10" t="n">
        <v>0.3801</v>
      </c>
    </row>
    <row r="184">
      <c r="A184" s="7" t="inlineStr">
        <is>
          <t>ORD-2024-1312</t>
        </is>
      </c>
      <c r="B184" s="7" t="inlineStr">
        <is>
          <t>2024-03-24</t>
        </is>
      </c>
      <c r="C184" s="7" t="inlineStr">
        <is>
          <t>TEC-TAB-003</t>
        </is>
      </c>
      <c r="D184" s="7" t="inlineStr">
        <is>
          <t>VisionPad Pro 11"</t>
        </is>
      </c>
      <c r="E184" s="7" t="inlineStr">
        <is>
          <t>Technology</t>
        </is>
      </c>
      <c r="F184" s="7" t="inlineStr">
        <is>
          <t>Phones &amp; Tablets</t>
        </is>
      </c>
      <c r="G184" s="7" t="inlineStr">
        <is>
          <t>East</t>
        </is>
      </c>
      <c r="H184" s="7" t="inlineStr">
        <is>
          <t>New York</t>
        </is>
      </c>
      <c r="I184" s="7" t="inlineStr">
        <is>
          <t>Online</t>
        </is>
      </c>
      <c r="J184" s="7" t="inlineStr">
        <is>
          <t>Corporate</t>
        </is>
      </c>
      <c r="K184" s="8" t="n">
        <v>7</v>
      </c>
      <c r="L184" s="9" t="n">
        <v>649.99</v>
      </c>
      <c r="M184" s="10" t="n">
        <v>0.15</v>
      </c>
      <c r="N184" s="9" t="n">
        <v>487.49</v>
      </c>
      <c r="O184" s="9" t="n">
        <v>4549.93</v>
      </c>
      <c r="P184" s="9" t="n">
        <v>682.49</v>
      </c>
      <c r="Q184" s="9" t="n">
        <v>3867.44</v>
      </c>
      <c r="R184" s="9" t="n">
        <v>3412.43</v>
      </c>
      <c r="S184" s="9" t="n">
        <v>455.01</v>
      </c>
      <c r="T184" s="10" t="n">
        <v>0.1177</v>
      </c>
    </row>
    <row r="185">
      <c r="A185" s="7" t="inlineStr">
        <is>
          <t>ORD-2024-1716</t>
        </is>
      </c>
      <c r="B185" s="7" t="inlineStr">
        <is>
          <t>2024-03-24</t>
        </is>
      </c>
      <c r="C185" s="7" t="inlineStr">
        <is>
          <t>FUR-DSK-004</t>
        </is>
      </c>
      <c r="D185" s="7" t="inlineStr">
        <is>
          <t>Metro Compact Corner Workstation</t>
        </is>
      </c>
      <c r="E185" s="7" t="inlineStr">
        <is>
          <t>Furniture</t>
        </is>
      </c>
      <c r="F185" s="7" t="inlineStr">
        <is>
          <t>Desks &amp; Workstations</t>
        </is>
      </c>
      <c r="G185" s="7" t="inlineStr">
        <is>
          <t>South</t>
        </is>
      </c>
      <c r="H185" s="7" t="inlineStr">
        <is>
          <t>Virginia</t>
        </is>
      </c>
      <c r="I185" s="7" t="inlineStr">
        <is>
          <t>Direct Sales</t>
        </is>
      </c>
      <c r="J185" s="7" t="inlineStr">
        <is>
          <t>Corporate</t>
        </is>
      </c>
      <c r="K185" s="8" t="n">
        <v>5</v>
      </c>
      <c r="L185" s="9" t="n">
        <v>329.99</v>
      </c>
      <c r="M185" s="10" t="n">
        <v>0.05</v>
      </c>
      <c r="N185" s="9" t="n">
        <v>250.79</v>
      </c>
      <c r="O185" s="9" t="n">
        <v>1649.95</v>
      </c>
      <c r="P185" s="9" t="n">
        <v>82.5</v>
      </c>
      <c r="Q185" s="9" t="n">
        <v>1567.45</v>
      </c>
      <c r="R185" s="9" t="n">
        <v>1253.95</v>
      </c>
      <c r="S185" s="9" t="n">
        <v>313.5</v>
      </c>
      <c r="T185" s="10" t="n">
        <v>0.2</v>
      </c>
    </row>
    <row r="186">
      <c r="A186" s="7" t="inlineStr">
        <is>
          <t>ORD-2024-1032</t>
        </is>
      </c>
      <c r="B186" s="7" t="inlineStr">
        <is>
          <t>2024-03-25</t>
        </is>
      </c>
      <c r="C186" s="7" t="inlineStr">
        <is>
          <t>OFF-PAP-003</t>
        </is>
      </c>
      <c r="D186" s="7" t="inlineStr">
        <is>
          <t>UltraWhite Premium Multipurpose Paper (Case)</t>
        </is>
      </c>
      <c r="E186" s="7" t="inlineStr">
        <is>
          <t>Office Supplies</t>
        </is>
      </c>
      <c r="F186" s="7" t="inlineStr">
        <is>
          <t>Paper Products</t>
        </is>
      </c>
      <c r="G186" s="7" t="inlineStr">
        <is>
          <t>South</t>
        </is>
      </c>
      <c r="H186" s="7" t="inlineStr">
        <is>
          <t>Georgia</t>
        </is>
      </c>
      <c r="I186" s="7" t="inlineStr">
        <is>
          <t>Direct Sales</t>
        </is>
      </c>
      <c r="J186" s="7" t="inlineStr">
        <is>
          <t>Consumer</t>
        </is>
      </c>
      <c r="K186" s="8" t="n">
        <v>1</v>
      </c>
      <c r="L186" s="9" t="n">
        <v>54.99</v>
      </c>
      <c r="M186" s="10" t="n">
        <v>0.05</v>
      </c>
      <c r="N186" s="9" t="n">
        <v>31.89</v>
      </c>
      <c r="O186" s="9" t="n">
        <v>54.99</v>
      </c>
      <c r="P186" s="9" t="n">
        <v>2.75</v>
      </c>
      <c r="Q186" s="9" t="n">
        <v>52.24</v>
      </c>
      <c r="R186" s="9" t="n">
        <v>31.89</v>
      </c>
      <c r="S186" s="9" t="n">
        <v>20.35</v>
      </c>
      <c r="T186" s="10" t="n">
        <v>0.3895</v>
      </c>
    </row>
    <row r="187">
      <c r="A187" s="7" t="inlineStr">
        <is>
          <t>ORD-2024-1146</t>
        </is>
      </c>
      <c r="B187" s="7" t="inlineStr">
        <is>
          <t>2024-03-25</t>
        </is>
      </c>
      <c r="C187" s="7" t="inlineStr">
        <is>
          <t>FUR-CHA-002</t>
        </is>
      </c>
      <c r="D187" s="7" t="inlineStr">
        <is>
          <t>AeroTask Operator Task Chair</t>
        </is>
      </c>
      <c r="E187" s="7" t="inlineStr">
        <is>
          <t>Furniture</t>
        </is>
      </c>
      <c r="F187" s="7" t="inlineStr">
        <is>
          <t>Chairs</t>
        </is>
      </c>
      <c r="G187" s="7" t="inlineStr">
        <is>
          <t>West</t>
        </is>
      </c>
      <c r="H187" s="7" t="inlineStr">
        <is>
          <t>Washington</t>
        </is>
      </c>
      <c r="I187" s="7" t="inlineStr">
        <is>
          <t>Online</t>
        </is>
      </c>
      <c r="J187" s="7" t="inlineStr">
        <is>
          <t>Home Office</t>
        </is>
      </c>
      <c r="K187" s="8" t="n">
        <v>1</v>
      </c>
      <c r="L187" s="9" t="n">
        <v>219.99</v>
      </c>
      <c r="M187" s="10" t="n">
        <v>0.05</v>
      </c>
      <c r="N187" s="9" t="n">
        <v>171.59</v>
      </c>
      <c r="O187" s="9" t="n">
        <v>219.99</v>
      </c>
      <c r="P187" s="9" t="n">
        <v>11</v>
      </c>
      <c r="Q187" s="9" t="n">
        <v>208.99</v>
      </c>
      <c r="R187" s="9" t="n">
        <v>171.59</v>
      </c>
      <c r="S187" s="9" t="n">
        <v>37.4</v>
      </c>
      <c r="T187" s="10" t="n">
        <v>0.179</v>
      </c>
    </row>
    <row r="188">
      <c r="A188" s="7" t="inlineStr">
        <is>
          <t>ORD-2024-1218</t>
        </is>
      </c>
      <c r="B188" s="7" t="inlineStr">
        <is>
          <t>2024-03-25</t>
        </is>
      </c>
      <c r="C188" s="7" t="inlineStr">
        <is>
          <t>FUR-DSK-003</t>
        </is>
      </c>
      <c r="D188" s="7" t="inlineStr">
        <is>
          <t>ApexMotor Dual-Motor Standing Desk</t>
        </is>
      </c>
      <c r="E188" s="7" t="inlineStr">
        <is>
          <t>Furniture</t>
        </is>
      </c>
      <c r="F188" s="7" t="inlineStr">
        <is>
          <t>Desks &amp; Workstations</t>
        </is>
      </c>
      <c r="G188" s="7" t="inlineStr">
        <is>
          <t>East</t>
        </is>
      </c>
      <c r="H188" s="7" t="inlineStr">
        <is>
          <t>New Jersey</t>
        </is>
      </c>
      <c r="I188" s="7" t="inlineStr">
        <is>
          <t>Online</t>
        </is>
      </c>
      <c r="J188" s="7" t="inlineStr">
        <is>
          <t>Home Office</t>
        </is>
      </c>
      <c r="K188" s="8" t="n">
        <v>3</v>
      </c>
      <c r="L188" s="9" t="n">
        <v>549.99</v>
      </c>
      <c r="M188" s="10" t="n">
        <v>0</v>
      </c>
      <c r="N188" s="9" t="n">
        <v>439.99</v>
      </c>
      <c r="O188" s="9" t="n">
        <v>1649.97</v>
      </c>
      <c r="P188" s="9" t="n">
        <v>0</v>
      </c>
      <c r="Q188" s="9" t="n">
        <v>1649.97</v>
      </c>
      <c r="R188" s="9" t="n">
        <v>1319.97</v>
      </c>
      <c r="S188" s="9" t="n">
        <v>330</v>
      </c>
      <c r="T188" s="10" t="n">
        <v>0.2</v>
      </c>
    </row>
    <row r="189">
      <c r="A189" s="7" t="inlineStr">
        <is>
          <t>ORD-2024-1281</t>
        </is>
      </c>
      <c r="B189" s="7" t="inlineStr">
        <is>
          <t>2024-03-25</t>
        </is>
      </c>
      <c r="C189" s="7" t="inlineStr">
        <is>
          <t>OFF-BIN-005</t>
        </is>
      </c>
      <c r="D189" s="7" t="inlineStr">
        <is>
          <t>Heavy-Duty D-Ring Presentation Binder (6-Pk)</t>
        </is>
      </c>
      <c r="E189" s="7" t="inlineStr">
        <is>
          <t>Office Supplies</t>
        </is>
      </c>
      <c r="F189" s="7" t="inlineStr">
        <is>
          <t>Binders &amp; Fasteners</t>
        </is>
      </c>
      <c r="G189" s="7" t="inlineStr">
        <is>
          <t>Central</t>
        </is>
      </c>
      <c r="H189" s="7" t="inlineStr">
        <is>
          <t>Texas</t>
        </is>
      </c>
      <c r="I189" s="7" t="inlineStr">
        <is>
          <t>Direct Sales</t>
        </is>
      </c>
      <c r="J189" s="7" t="inlineStr">
        <is>
          <t>Corporate</t>
        </is>
      </c>
      <c r="K189" s="8" t="n">
        <v>3</v>
      </c>
      <c r="L189" s="9" t="n">
        <v>27.99</v>
      </c>
      <c r="M189" s="10" t="n">
        <v>0</v>
      </c>
      <c r="N189" s="9" t="n">
        <v>13.99</v>
      </c>
      <c r="O189" s="9" t="n">
        <v>83.97</v>
      </c>
      <c r="P189" s="9" t="n">
        <v>0</v>
      </c>
      <c r="Q189" s="9" t="n">
        <v>83.97</v>
      </c>
      <c r="R189" s="9" t="n">
        <v>41.97</v>
      </c>
      <c r="S189" s="9" t="n">
        <v>42</v>
      </c>
      <c r="T189" s="10" t="n">
        <v>0.5002</v>
      </c>
    </row>
    <row r="190">
      <c r="A190" s="7" t="inlineStr">
        <is>
          <t>ORD-2024-1376</t>
        </is>
      </c>
      <c r="B190" s="7" t="inlineStr">
        <is>
          <t>2024-03-25</t>
        </is>
      </c>
      <c r="C190" s="7" t="inlineStr">
        <is>
          <t>FUR-CHA-001</t>
        </is>
      </c>
      <c r="D190" s="7" t="inlineStr">
        <is>
          <t>ErgoFlex Executive Mesh Chair</t>
        </is>
      </c>
      <c r="E190" s="7" t="inlineStr">
        <is>
          <t>Furniture</t>
        </is>
      </c>
      <c r="F190" s="7" t="inlineStr">
        <is>
          <t>Chairs</t>
        </is>
      </c>
      <c r="G190" s="7" t="inlineStr">
        <is>
          <t>East</t>
        </is>
      </c>
      <c r="H190" s="7" t="inlineStr">
        <is>
          <t>Pennsylvania</t>
        </is>
      </c>
      <c r="I190" s="7" t="inlineStr">
        <is>
          <t>Online</t>
        </is>
      </c>
      <c r="J190" s="7" t="inlineStr">
        <is>
          <t>Home Office</t>
        </is>
      </c>
      <c r="K190" s="8" t="n">
        <v>4</v>
      </c>
      <c r="L190" s="9" t="n">
        <v>389.99</v>
      </c>
      <c r="M190" s="10" t="n">
        <v>0.05</v>
      </c>
      <c r="N190" s="9" t="n">
        <v>331.49</v>
      </c>
      <c r="O190" s="9" t="n">
        <v>1559.96</v>
      </c>
      <c r="P190" s="9" t="n">
        <v>78</v>
      </c>
      <c r="Q190" s="9" t="n">
        <v>1481.96</v>
      </c>
      <c r="R190" s="9" t="n">
        <v>1325.96</v>
      </c>
      <c r="S190" s="9" t="n">
        <v>156</v>
      </c>
      <c r="T190" s="10" t="n">
        <v>0.1053</v>
      </c>
    </row>
    <row r="191">
      <c r="A191" s="7" t="inlineStr">
        <is>
          <t>ORD-2024-1547</t>
        </is>
      </c>
      <c r="B191" s="7" t="inlineStr">
        <is>
          <t>2024-03-25</t>
        </is>
      </c>
      <c r="C191" s="7" t="inlineStr">
        <is>
          <t>TEC-ACC-008</t>
        </is>
      </c>
      <c r="D191" s="7" t="inlineStr">
        <is>
          <t>Precision Laser Bluetooth Mouse</t>
        </is>
      </c>
      <c r="E191" s="7" t="inlineStr">
        <is>
          <t>Technology</t>
        </is>
      </c>
      <c r="F191" s="7" t="inlineStr">
        <is>
          <t>Audio &amp; Accessories</t>
        </is>
      </c>
      <c r="G191" s="7" t="inlineStr">
        <is>
          <t>East</t>
        </is>
      </c>
      <c r="H191" s="7" t="inlineStr">
        <is>
          <t>Massachusetts</t>
        </is>
      </c>
      <c r="I191" s="7" t="inlineStr">
        <is>
          <t>Online</t>
        </is>
      </c>
      <c r="J191" s="7" t="inlineStr">
        <is>
          <t>Home Office</t>
        </is>
      </c>
      <c r="K191" s="8" t="n">
        <v>3</v>
      </c>
      <c r="L191" s="9" t="n">
        <v>49.99</v>
      </c>
      <c r="M191" s="10" t="n">
        <v>0.05</v>
      </c>
      <c r="N191" s="9" t="n">
        <v>27.49</v>
      </c>
      <c r="O191" s="9" t="n">
        <v>149.97</v>
      </c>
      <c r="P191" s="9" t="n">
        <v>7.5</v>
      </c>
      <c r="Q191" s="9" t="n">
        <v>142.47</v>
      </c>
      <c r="R191" s="9" t="n">
        <v>82.47</v>
      </c>
      <c r="S191" s="9" t="n">
        <v>60</v>
      </c>
      <c r="T191" s="10" t="n">
        <v>0.4211</v>
      </c>
    </row>
    <row r="192">
      <c r="A192" s="7" t="inlineStr">
        <is>
          <t>ORD-2024-1597</t>
        </is>
      </c>
      <c r="B192" s="7" t="inlineStr">
        <is>
          <t>2024-03-25</t>
        </is>
      </c>
      <c r="C192" s="7" t="inlineStr">
        <is>
          <t>TEC-TAB-003</t>
        </is>
      </c>
      <c r="D192" s="7" t="inlineStr">
        <is>
          <t>VisionPad Pro 11"</t>
        </is>
      </c>
      <c r="E192" s="7" t="inlineStr">
        <is>
          <t>Technology</t>
        </is>
      </c>
      <c r="F192" s="7" t="inlineStr">
        <is>
          <t>Phones &amp; Tablets</t>
        </is>
      </c>
      <c r="G192" s="7" t="inlineStr">
        <is>
          <t>East</t>
        </is>
      </c>
      <c r="H192" s="7" t="inlineStr">
        <is>
          <t>New Jersey</t>
        </is>
      </c>
      <c r="I192" s="7" t="inlineStr">
        <is>
          <t>ONLINE</t>
        </is>
      </c>
      <c r="J192" s="7" t="inlineStr">
        <is>
          <t>Home Office</t>
        </is>
      </c>
      <c r="K192" s="8" t="n">
        <v>3</v>
      </c>
      <c r="L192" s="9" t="n">
        <v>649.99</v>
      </c>
      <c r="M192" s="10" t="n">
        <v>0.15</v>
      </c>
      <c r="N192" s="9" t="n">
        <v>487.49</v>
      </c>
      <c r="O192" s="9" t="n">
        <v>1949.97</v>
      </c>
      <c r="P192" s="9" t="n">
        <v>292.5</v>
      </c>
      <c r="Q192" s="9" t="n">
        <v>1657.47</v>
      </c>
      <c r="R192" s="9" t="n">
        <v>1462.47</v>
      </c>
      <c r="S192" s="9" t="n">
        <v>195</v>
      </c>
      <c r="T192" s="10" t="n">
        <v>0.1176</v>
      </c>
    </row>
    <row r="193">
      <c r="A193" s="7" t="inlineStr">
        <is>
          <t>ORD-2024-1597</t>
        </is>
      </c>
      <c r="B193" s="7" t="inlineStr">
        <is>
          <t>2024-03-25</t>
        </is>
      </c>
      <c r="C193" s="7" t="inlineStr">
        <is>
          <t>TEC-ACC-006</t>
        </is>
      </c>
      <c r="D193" s="7" t="inlineStr">
        <is>
          <t>MultiPort Thunderbolt 4 Dock</t>
        </is>
      </c>
      <c r="E193" s="7" t="inlineStr">
        <is>
          <t>Technology</t>
        </is>
      </c>
      <c r="F193" s="7" t="inlineStr">
        <is>
          <t>Audio &amp; Accessories</t>
        </is>
      </c>
      <c r="G193" s="7" t="inlineStr">
        <is>
          <t>East</t>
        </is>
      </c>
      <c r="H193" s="7" t="inlineStr">
        <is>
          <t>New Jersey</t>
        </is>
      </c>
      <c r="I193" s="7" t="inlineStr">
        <is>
          <t>Online</t>
        </is>
      </c>
      <c r="J193" s="7" t="inlineStr">
        <is>
          <t>Home Office</t>
        </is>
      </c>
      <c r="K193" s="8" t="n">
        <v>2</v>
      </c>
      <c r="L193" s="9" t="n">
        <v>149.99</v>
      </c>
      <c r="M193" s="10" t="n">
        <v>0</v>
      </c>
      <c r="N193" s="9" t="n">
        <v>98.98999999999999</v>
      </c>
      <c r="O193" s="9" t="n">
        <v>299.98</v>
      </c>
      <c r="P193" s="9" t="n">
        <v>0</v>
      </c>
      <c r="Q193" s="9" t="n">
        <v>299.98</v>
      </c>
      <c r="R193" s="9" t="n">
        <v>197.98</v>
      </c>
      <c r="S193" s="9" t="n">
        <v>102</v>
      </c>
      <c r="T193" s="10" t="n">
        <v>0.34</v>
      </c>
    </row>
    <row r="194">
      <c r="A194" s="7" t="inlineStr">
        <is>
          <t>ORD-2024-1050</t>
        </is>
      </c>
      <c r="B194" s="7" t="inlineStr">
        <is>
          <t>2024-03-26</t>
        </is>
      </c>
      <c r="C194" s="7" t="inlineStr">
        <is>
          <t>TEC-ACC-007</t>
        </is>
      </c>
      <c r="D194" s="7" t="inlineStr">
        <is>
          <t>ErgoMechanical Wireless Keyboard</t>
        </is>
      </c>
      <c r="E194" s="7" t="inlineStr">
        <is>
          <t>Technology</t>
        </is>
      </c>
      <c r="F194" s="7" t="inlineStr">
        <is>
          <t>Audio &amp; Accessories</t>
        </is>
      </c>
      <c r="G194" s="7" t="inlineStr">
        <is>
          <t>West</t>
        </is>
      </c>
      <c r="H194" s="7" t="inlineStr">
        <is>
          <t>Colorado</t>
        </is>
      </c>
      <c r="I194" s="7" t="inlineStr">
        <is>
          <t>Online</t>
        </is>
      </c>
      <c r="J194" s="7" t="inlineStr">
        <is>
          <t>Corporate</t>
        </is>
      </c>
      <c r="K194" s="8" t="n">
        <v>2</v>
      </c>
      <c r="L194" s="9" t="n">
        <v>109.99</v>
      </c>
      <c r="M194" s="10" t="n">
        <v>0.05</v>
      </c>
      <c r="N194" s="9" t="n">
        <v>65.98999999999999</v>
      </c>
      <c r="O194" s="9" t="n">
        <v>219.98</v>
      </c>
      <c r="P194" s="9" t="n">
        <v>11</v>
      </c>
      <c r="Q194" s="9" t="n">
        <v>208.98</v>
      </c>
      <c r="R194" s="9" t="n">
        <v>131.98</v>
      </c>
      <c r="S194" s="9" t="n">
        <v>77</v>
      </c>
      <c r="T194" s="10" t="n">
        <v>0.3685</v>
      </c>
    </row>
    <row r="195">
      <c r="A195" s="7" t="inlineStr">
        <is>
          <t>ORD-2024-1506</t>
        </is>
      </c>
      <c r="B195" s="7" t="inlineStr">
        <is>
          <t>2024-03-26</t>
        </is>
      </c>
      <c r="C195" s="7" t="inlineStr">
        <is>
          <t>OFF-BIN-005</t>
        </is>
      </c>
      <c r="D195" s="7" t="inlineStr">
        <is>
          <t>Heavy-Duty D-Ring Presentation Binder (6-Pk)</t>
        </is>
      </c>
      <c r="E195" s="7" t="inlineStr">
        <is>
          <t>Office Supplies</t>
        </is>
      </c>
      <c r="F195" s="7" t="inlineStr">
        <is>
          <t>Binders &amp; Fasteners</t>
        </is>
      </c>
      <c r="G195" s="7" t="inlineStr">
        <is>
          <t>South</t>
        </is>
      </c>
      <c r="H195" s="7" t="inlineStr">
        <is>
          <t>North Carolina</t>
        </is>
      </c>
      <c r="I195" s="7" t="inlineStr">
        <is>
          <t>Online</t>
        </is>
      </c>
      <c r="J195" s="7" t="inlineStr">
        <is>
          <t>Consumer</t>
        </is>
      </c>
      <c r="K195" s="8" t="n">
        <v>2</v>
      </c>
      <c r="L195" s="9" t="n">
        <v>27.99</v>
      </c>
      <c r="M195" s="10" t="n">
        <v>0</v>
      </c>
      <c r="N195" s="9" t="n">
        <v>13.99</v>
      </c>
      <c r="O195" s="9" t="n">
        <v>55.98</v>
      </c>
      <c r="P195" s="9" t="n">
        <v>0</v>
      </c>
      <c r="Q195" s="9" t="n">
        <v>55.98</v>
      </c>
      <c r="R195" s="9" t="n">
        <v>27.98</v>
      </c>
      <c r="S195" s="9" t="n">
        <v>28</v>
      </c>
      <c r="T195" s="10" t="n">
        <v>0.5002</v>
      </c>
    </row>
    <row r="196">
      <c r="A196" s="7" t="inlineStr">
        <is>
          <t>ORD-2024-1586</t>
        </is>
      </c>
      <c r="B196" s="7" t="inlineStr">
        <is>
          <t>2024-03-26</t>
        </is>
      </c>
      <c r="C196" s="7" t="inlineStr">
        <is>
          <t>TEC-TAB-003</t>
        </is>
      </c>
      <c r="D196" s="7" t="inlineStr">
        <is>
          <t>VisionPad Pro 11"</t>
        </is>
      </c>
      <c r="E196" s="7" t="inlineStr">
        <is>
          <t>Technology</t>
        </is>
      </c>
      <c r="F196" s="7" t="inlineStr">
        <is>
          <t>Phones &amp; Tablets</t>
        </is>
      </c>
      <c r="G196" s="7" t="inlineStr">
        <is>
          <t>East</t>
        </is>
      </c>
      <c r="H196" s="7" t="inlineStr">
        <is>
          <t>New Jersey</t>
        </is>
      </c>
      <c r="I196" s="7" t="inlineStr">
        <is>
          <t>Online</t>
        </is>
      </c>
      <c r="J196" s="7" t="inlineStr">
        <is>
          <t>Home Office</t>
        </is>
      </c>
      <c r="K196" s="8" t="n">
        <v>3</v>
      </c>
      <c r="L196" s="9" t="n">
        <v>649.99</v>
      </c>
      <c r="M196" s="10" t="n">
        <v>0</v>
      </c>
      <c r="N196" s="9" t="n">
        <v>487.49</v>
      </c>
      <c r="O196" s="9" t="n">
        <v>1949.97</v>
      </c>
      <c r="P196" s="9" t="n">
        <v>0</v>
      </c>
      <c r="Q196" s="9" t="n">
        <v>1949.97</v>
      </c>
      <c r="R196" s="9" t="n">
        <v>1462.47</v>
      </c>
      <c r="S196" s="9" t="n">
        <v>487.5</v>
      </c>
      <c r="T196" s="10" t="n">
        <v>0.25</v>
      </c>
    </row>
    <row r="197">
      <c r="A197" s="7" t="inlineStr">
        <is>
          <t>ORD-2024-1264</t>
        </is>
      </c>
      <c r="B197" s="7" t="inlineStr">
        <is>
          <t>2024-03-27</t>
        </is>
      </c>
      <c r="C197" s="7" t="inlineStr">
        <is>
          <t>TEC-TAB-004</t>
        </is>
      </c>
      <c r="D197" s="7" t="inlineStr">
        <is>
          <t>VisionPad Lite 8.5"</t>
        </is>
      </c>
      <c r="E197" s="7" t="inlineStr">
        <is>
          <t>Technology</t>
        </is>
      </c>
      <c r="F197" s="7" t="inlineStr">
        <is>
          <t>Phones &amp; Tablets</t>
        </is>
      </c>
      <c r="G197" s="7" t="inlineStr">
        <is>
          <t>South</t>
        </is>
      </c>
      <c r="H197" s="7" t="inlineStr">
        <is>
          <t>North Carolina</t>
        </is>
      </c>
      <c r="I197" s="7" t="inlineStr">
        <is>
          <t>Wholesale</t>
        </is>
      </c>
      <c r="J197" s="7" t="inlineStr">
        <is>
          <t>Corporate</t>
        </is>
      </c>
      <c r="K197" s="8" t="n">
        <v>15</v>
      </c>
      <c r="L197" s="9" t="n">
        <v>299.99</v>
      </c>
      <c r="M197" s="10" t="n">
        <v>0.15</v>
      </c>
      <c r="N197" s="9" t="n">
        <v>245.99</v>
      </c>
      <c r="O197" s="9" t="n">
        <v>4499.85</v>
      </c>
      <c r="P197" s="9" t="n">
        <v>674.98</v>
      </c>
      <c r="Q197" s="9" t="n">
        <v>3824.87</v>
      </c>
      <c r="R197" s="9" t="n">
        <v>3689.85</v>
      </c>
      <c r="S197" s="9" t="n">
        <v>135.02</v>
      </c>
      <c r="T197" s="10" t="n">
        <v>0.0353</v>
      </c>
    </row>
    <row r="198">
      <c r="A198" s="7" t="inlineStr">
        <is>
          <t>ORD-2024-1150</t>
        </is>
      </c>
      <c r="B198" s="7" t="inlineStr">
        <is>
          <t>2024-03-28</t>
        </is>
      </c>
      <c r="C198" s="7" t="inlineStr">
        <is>
          <t>OFF-BIN-005</t>
        </is>
      </c>
      <c r="D198" s="7" t="inlineStr">
        <is>
          <t>Heavy-Duty D-Ring Presentation Binder (6-Pk)</t>
        </is>
      </c>
      <c r="E198" s="7" t="inlineStr">
        <is>
          <t>Office Supplies</t>
        </is>
      </c>
      <c r="F198" s="7" t="inlineStr">
        <is>
          <t>Binders &amp; Fasteners</t>
        </is>
      </c>
      <c r="G198" s="7" t="inlineStr">
        <is>
          <t>Central</t>
        </is>
      </c>
      <c r="H198" s="7" t="inlineStr">
        <is>
          <t>Illinois</t>
        </is>
      </c>
      <c r="I198" s="7" t="inlineStr">
        <is>
          <t>Online</t>
        </is>
      </c>
      <c r="J198" s="7" t="inlineStr">
        <is>
          <t>Corporate</t>
        </is>
      </c>
      <c r="K198" s="8" t="n">
        <v>8</v>
      </c>
      <c r="L198" s="9" t="n">
        <v>27.99</v>
      </c>
      <c r="M198" s="10" t="n">
        <v>0</v>
      </c>
      <c r="N198" s="9" t="n">
        <v>13.99</v>
      </c>
      <c r="O198" s="9" t="n">
        <v>223.92</v>
      </c>
      <c r="P198" s="9" t="n">
        <v>0</v>
      </c>
      <c r="Q198" s="9" t="n">
        <v>223.92</v>
      </c>
      <c r="R198" s="9" t="n">
        <v>111.92</v>
      </c>
      <c r="S198" s="9" t="n">
        <v>112</v>
      </c>
      <c r="T198" s="10" t="n">
        <v>0.5002</v>
      </c>
    </row>
    <row r="199">
      <c r="A199" s="7" t="inlineStr">
        <is>
          <t>ORD-2024-1195</t>
        </is>
      </c>
      <c r="B199" s="7" t="inlineStr">
        <is>
          <t>2024-03-29</t>
        </is>
      </c>
      <c r="C199" s="7" t="inlineStr">
        <is>
          <t>FUR-DSK-003</t>
        </is>
      </c>
      <c r="D199" s="7" t="inlineStr">
        <is>
          <t>ApexMotor Dual-Motor Standing Desk</t>
        </is>
      </c>
      <c r="E199" s="7" t="inlineStr">
        <is>
          <t>Furniture</t>
        </is>
      </c>
      <c r="F199" s="7" t="inlineStr">
        <is>
          <t>Desks &amp; Workstations</t>
        </is>
      </c>
      <c r="G199" s="7" t="inlineStr">
        <is>
          <t>West</t>
        </is>
      </c>
      <c r="H199" s="7" t="inlineStr">
        <is>
          <t>Colorado</t>
        </is>
      </c>
      <c r="I199" s="7" t="inlineStr">
        <is>
          <t>Wholesale</t>
        </is>
      </c>
      <c r="J199" s="7" t="inlineStr">
        <is>
          <t>Corporate</t>
        </is>
      </c>
      <c r="K199" s="8" t="n">
        <v>14</v>
      </c>
      <c r="L199" s="9" t="n">
        <v>549.99</v>
      </c>
      <c r="M199" s="10" t="n">
        <v>0.15</v>
      </c>
      <c r="N199" s="9" t="n">
        <v>439.99</v>
      </c>
      <c r="O199" s="9" t="n">
        <v>7699.86</v>
      </c>
      <c r="P199" s="9" t="n">
        <v>1154.98</v>
      </c>
      <c r="Q199" s="9" t="n">
        <v>6544.88</v>
      </c>
      <c r="R199" s="9" t="n">
        <v>6159.86</v>
      </c>
      <c r="S199" s="9" t="n">
        <v>385.02</v>
      </c>
      <c r="T199" s="10" t="n">
        <v>0.0588</v>
      </c>
    </row>
    <row r="200">
      <c r="A200" s="7" t="inlineStr">
        <is>
          <t>ORD-2024-1195</t>
        </is>
      </c>
      <c r="B200" s="7" t="inlineStr">
        <is>
          <t>2024-03-29</t>
        </is>
      </c>
      <c r="C200" s="7" t="inlineStr">
        <is>
          <t>FUR-CHA-001</t>
        </is>
      </c>
      <c r="D200" s="7" t="inlineStr">
        <is>
          <t>ErgoFlex Executive Mesh Chair</t>
        </is>
      </c>
      <c r="E200" s="7" t="inlineStr">
        <is>
          <t>Furniture</t>
        </is>
      </c>
      <c r="F200" s="7" t="inlineStr">
        <is>
          <t>Chairs</t>
        </is>
      </c>
      <c r="G200" s="7" t="inlineStr">
        <is>
          <t>West</t>
        </is>
      </c>
      <c r="H200" s="7" t="inlineStr">
        <is>
          <t>Colorado</t>
        </is>
      </c>
      <c r="I200" s="7" t="inlineStr">
        <is>
          <t>Wholesale</t>
        </is>
      </c>
      <c r="J200" s="7" t="inlineStr">
        <is>
          <t>Corporate</t>
        </is>
      </c>
      <c r="K200" s="8" t="n">
        <v>5</v>
      </c>
      <c r="L200" s="9" t="n">
        <v>389.99</v>
      </c>
      <c r="M200" s="10" t="n">
        <v>0.05</v>
      </c>
      <c r="N200" s="9" t="n">
        <v>331.49</v>
      </c>
      <c r="O200" s="9" t="n">
        <v>1949.95</v>
      </c>
      <c r="P200" s="9" t="n">
        <v>97.5</v>
      </c>
      <c r="Q200" s="9" t="n">
        <v>1852.45</v>
      </c>
      <c r="R200" s="9" t="n">
        <v>1657.45</v>
      </c>
      <c r="S200" s="9" t="n">
        <v>195</v>
      </c>
      <c r="T200" s="10" t="n">
        <v>0.1053</v>
      </c>
    </row>
    <row r="201">
      <c r="A201" s="7" t="inlineStr">
        <is>
          <t>ORD-2024-1011</t>
        </is>
      </c>
      <c r="B201" s="7" t="inlineStr">
        <is>
          <t>2024-03-30</t>
        </is>
      </c>
      <c r="C201" s="7" t="inlineStr">
        <is>
          <t>TEC-TAB-003</t>
        </is>
      </c>
      <c r="D201" s="7" t="inlineStr">
        <is>
          <t>VisionPad Pro 11"</t>
        </is>
      </c>
      <c r="E201" s="7" t="inlineStr">
        <is>
          <t>Technology</t>
        </is>
      </c>
      <c r="F201" s="7" t="inlineStr">
        <is>
          <t>Phones &amp; Tablets</t>
        </is>
      </c>
      <c r="G201" s="7" t="inlineStr">
        <is>
          <t>Central</t>
        </is>
      </c>
      <c r="H201" s="7" t="inlineStr">
        <is>
          <t>Michigan</t>
        </is>
      </c>
      <c r="I201" s="7" t="inlineStr">
        <is>
          <t>Online</t>
        </is>
      </c>
      <c r="J201" s="7" t="inlineStr">
        <is>
          <t>Home Office</t>
        </is>
      </c>
      <c r="K201" s="8" t="n">
        <v>3</v>
      </c>
      <c r="L201" s="9" t="n">
        <v>649.99</v>
      </c>
      <c r="M201" s="10" t="n">
        <v>0</v>
      </c>
      <c r="N201" s="9" t="n">
        <v>487.49</v>
      </c>
      <c r="O201" s="9" t="n">
        <v>1949.97</v>
      </c>
      <c r="P201" s="9" t="n">
        <v>0</v>
      </c>
      <c r="Q201" s="9" t="n">
        <v>1949.97</v>
      </c>
      <c r="R201" s="9" t="n">
        <v>1462.47</v>
      </c>
      <c r="S201" s="9" t="n">
        <v>487.5</v>
      </c>
      <c r="T201" s="10" t="n">
        <v>0.25</v>
      </c>
    </row>
    <row r="202">
      <c r="A202" s="7" t="inlineStr">
        <is>
          <t>ORD-2024-1011</t>
        </is>
      </c>
      <c r="B202" s="7" t="inlineStr">
        <is>
          <t>2024-03-30</t>
        </is>
      </c>
      <c r="C202" s="7" t="inlineStr">
        <is>
          <t>OFF-DSK-007</t>
        </is>
      </c>
      <c r="D202" s="7" t="inlineStr">
        <is>
          <t>Gel Ergo Mouse Pad &amp; Wrist Rest Combo</t>
        </is>
      </c>
      <c r="E202" s="7" t="inlineStr">
        <is>
          <t>Office Supplies</t>
        </is>
      </c>
      <c r="F202" s="7" t="inlineStr">
        <is>
          <t>Desk Supplies</t>
        </is>
      </c>
      <c r="G202" s="7" t="inlineStr">
        <is>
          <t>Central</t>
        </is>
      </c>
      <c r="H202" s="7" t="inlineStr">
        <is>
          <t>Michigan</t>
        </is>
      </c>
      <c r="I202" s="7" t="inlineStr">
        <is>
          <t>Online</t>
        </is>
      </c>
      <c r="J202" s="7" t="inlineStr">
        <is>
          <t>Home Office</t>
        </is>
      </c>
      <c r="K202" s="8" t="n">
        <v>3</v>
      </c>
      <c r="L202" s="9" t="n">
        <v>21.99</v>
      </c>
      <c r="M202" s="10" t="n">
        <v>0</v>
      </c>
      <c r="N202" s="9" t="n">
        <v>10.56</v>
      </c>
      <c r="O202" s="9" t="n">
        <v>65.97</v>
      </c>
      <c r="P202" s="9" t="n">
        <v>0</v>
      </c>
      <c r="Q202" s="9" t="n">
        <v>65.97</v>
      </c>
      <c r="R202" s="9" t="n">
        <v>31.68</v>
      </c>
      <c r="S202" s="9" t="n">
        <v>34.29</v>
      </c>
      <c r="T202" s="10" t="n">
        <v>0.5198</v>
      </c>
    </row>
    <row r="203">
      <c r="A203" s="7" t="inlineStr">
        <is>
          <t>ORD-2024-1094</t>
        </is>
      </c>
      <c r="B203" s="7" t="inlineStr">
        <is>
          <t>2024-03-31</t>
        </is>
      </c>
      <c r="C203" s="7" t="inlineStr">
        <is>
          <t>TEC-TAB-004</t>
        </is>
      </c>
      <c r="D203" s="7" t="inlineStr">
        <is>
          <t>VisionPad Lite 8.5"</t>
        </is>
      </c>
      <c r="E203" s="7" t="inlineStr">
        <is>
          <t>Technology</t>
        </is>
      </c>
      <c r="F203" s="7" t="inlineStr">
        <is>
          <t>Phones &amp; Tablets</t>
        </is>
      </c>
      <c r="G203" s="7" t="inlineStr">
        <is>
          <t>East</t>
        </is>
      </c>
      <c r="H203" s="7" t="inlineStr">
        <is>
          <t>New York</t>
        </is>
      </c>
      <c r="I203" s="7" t="inlineStr">
        <is>
          <t>Online</t>
        </is>
      </c>
      <c r="J203" s="7" t="inlineStr">
        <is>
          <t>Consumer</t>
        </is>
      </c>
      <c r="K203" s="8" t="n">
        <v>3</v>
      </c>
      <c r="L203" s="9" t="n">
        <v>299.99</v>
      </c>
      <c r="M203" s="10" t="n">
        <v>0.05</v>
      </c>
      <c r="N203" s="9" t="n">
        <v>245.99</v>
      </c>
      <c r="O203" s="9" t="n">
        <v>899.97</v>
      </c>
      <c r="P203" s="9" t="n">
        <v>45</v>
      </c>
      <c r="Q203" s="9" t="n">
        <v>854.97</v>
      </c>
      <c r="R203" s="9" t="n">
        <v>737.97</v>
      </c>
      <c r="S203" s="9" t="n">
        <v>117</v>
      </c>
      <c r="T203" s="10" t="n">
        <v>0.1368</v>
      </c>
    </row>
    <row r="204">
      <c r="A204" s="7" t="inlineStr">
        <is>
          <t>ORD-2024-1268</t>
        </is>
      </c>
      <c r="B204" s="7" t="inlineStr">
        <is>
          <t>2024-03-31</t>
        </is>
      </c>
      <c r="C204" s="7" t="inlineStr">
        <is>
          <t>FUR-CHA-002</t>
        </is>
      </c>
      <c r="D204" s="7" t="inlineStr">
        <is>
          <t>AeroTask Operator Task Chair</t>
        </is>
      </c>
      <c r="E204" s="7" t="inlineStr">
        <is>
          <t>Furniture</t>
        </is>
      </c>
      <c r="F204" s="7" t="inlineStr">
        <is>
          <t>Chairs</t>
        </is>
      </c>
      <c r="G204" s="7" t="inlineStr">
        <is>
          <t>West</t>
        </is>
      </c>
      <c r="H204" s="7" t="inlineStr">
        <is>
          <t>California</t>
        </is>
      </c>
      <c r="I204" s="7" t="inlineStr">
        <is>
          <t>Retail Partner</t>
        </is>
      </c>
      <c r="J204" s="7" t="inlineStr">
        <is>
          <t>Corporate</t>
        </is>
      </c>
      <c r="K204" s="8" t="n">
        <v>5</v>
      </c>
      <c r="L204" s="9" t="n">
        <v>219.99</v>
      </c>
      <c r="M204" s="10" t="n">
        <v>0.15</v>
      </c>
      <c r="N204" s="9" t="n">
        <v>171.59</v>
      </c>
      <c r="O204" s="9" t="n">
        <v>1099.95</v>
      </c>
      <c r="P204" s="9" t="n">
        <v>164.99</v>
      </c>
      <c r="Q204" s="9" t="n">
        <v>934.96</v>
      </c>
      <c r="R204" s="9" t="n">
        <v>857.95</v>
      </c>
      <c r="S204" s="9" t="n">
        <v>77.01000000000001</v>
      </c>
      <c r="T204" s="10" t="n">
        <v>0.0824</v>
      </c>
    </row>
    <row r="205">
      <c r="A205" s="7" t="inlineStr">
        <is>
          <t>ORD-2024-1325</t>
        </is>
      </c>
      <c r="B205" s="7" t="inlineStr">
        <is>
          <t>2024-04-01</t>
        </is>
      </c>
      <c r="C205" s="7" t="inlineStr">
        <is>
          <t>TEC-TAB-003</t>
        </is>
      </c>
      <c r="D205" s="7" t="inlineStr">
        <is>
          <t>VisionPad Pro 11"</t>
        </is>
      </c>
      <c r="E205" s="7" t="inlineStr">
        <is>
          <t>Technology</t>
        </is>
      </c>
      <c r="F205" s="7" t="inlineStr">
        <is>
          <t>Phones &amp; Tablets</t>
        </is>
      </c>
      <c r="G205" s="7" t="inlineStr">
        <is>
          <t>East</t>
        </is>
      </c>
      <c r="H205" s="7" t="inlineStr">
        <is>
          <t>New Jersey</t>
        </is>
      </c>
      <c r="I205" s="7" t="inlineStr">
        <is>
          <t>Wholesale</t>
        </is>
      </c>
      <c r="J205" s="7" t="inlineStr">
        <is>
          <t>Corporate</t>
        </is>
      </c>
      <c r="K205" s="8" t="n">
        <v>10</v>
      </c>
      <c r="L205" s="9" t="n">
        <v>649.99</v>
      </c>
      <c r="M205" s="10" t="n">
        <v>0.1</v>
      </c>
      <c r="N205" s="9" t="n">
        <v>487.49</v>
      </c>
      <c r="O205" s="9" t="n">
        <v>6499.9</v>
      </c>
      <c r="P205" s="9" t="n">
        <v>649.99</v>
      </c>
      <c r="Q205" s="9" t="n">
        <v>5849.91</v>
      </c>
      <c r="R205" s="9" t="n">
        <v>4874.9</v>
      </c>
      <c r="S205" s="9" t="n">
        <v>975.01</v>
      </c>
      <c r="T205" s="10" t="n">
        <v>0.1667</v>
      </c>
    </row>
    <row r="206">
      <c r="A206" s="7" t="inlineStr">
        <is>
          <t>ORD-2024-1003</t>
        </is>
      </c>
      <c r="B206" s="7" t="inlineStr">
        <is>
          <t>2024-04-02</t>
        </is>
      </c>
      <c r="C206" s="7" t="inlineStr">
        <is>
          <t>TEC-TAB-003</t>
        </is>
      </c>
      <c r="D206" s="7" t="inlineStr">
        <is>
          <t>VisionPad Pro 11"</t>
        </is>
      </c>
      <c r="E206" s="7" t="inlineStr">
        <is>
          <t>Technology</t>
        </is>
      </c>
      <c r="F206" s="7" t="inlineStr">
        <is>
          <t>Phones &amp; Tablets</t>
        </is>
      </c>
      <c r="G206" s="7" t="inlineStr">
        <is>
          <t>West</t>
        </is>
      </c>
      <c r="H206" s="7" t="inlineStr">
        <is>
          <t>California</t>
        </is>
      </c>
      <c r="I206" s="7" t="inlineStr">
        <is>
          <t>Direct Sales</t>
        </is>
      </c>
      <c r="J206" s="7" t="inlineStr">
        <is>
          <t>Consumer</t>
        </is>
      </c>
      <c r="K206" s="8" t="n">
        <v>2</v>
      </c>
      <c r="L206" s="9" t="n">
        <v>649.99</v>
      </c>
      <c r="M206" s="10" t="n">
        <v>0.05</v>
      </c>
      <c r="N206" s="9" t="n">
        <v>487.49</v>
      </c>
      <c r="O206" s="9" t="n">
        <v>1299.98</v>
      </c>
      <c r="P206" s="9" t="n">
        <v>65</v>
      </c>
      <c r="Q206" s="9" t="n">
        <v>1234.98</v>
      </c>
      <c r="R206" s="9" t="n">
        <v>974.98</v>
      </c>
      <c r="S206" s="9" t="n">
        <v>260</v>
      </c>
      <c r="T206" s="10" t="n">
        <v>0.2105</v>
      </c>
    </row>
    <row r="207">
      <c r="A207" s="7" t="inlineStr">
        <is>
          <t>ORD-2024-1255</t>
        </is>
      </c>
      <c r="B207" s="7" t="inlineStr">
        <is>
          <t>2024-04-02</t>
        </is>
      </c>
      <c r="C207" s="7" t="inlineStr">
        <is>
          <t>TEC-ACC-005</t>
        </is>
      </c>
      <c r="D207" s="7" t="inlineStr">
        <is>
          <t>UltraWireless Noise-Canceling Headset</t>
        </is>
      </c>
      <c r="E207" s="7" t="inlineStr">
        <is>
          <t>Technology</t>
        </is>
      </c>
      <c r="F207" s="7" t="inlineStr">
        <is>
          <t>Audio &amp; Accessories</t>
        </is>
      </c>
      <c r="G207" s="7" t="inlineStr">
        <is>
          <t>East</t>
        </is>
      </c>
      <c r="H207" s="7" t="inlineStr">
        <is>
          <t>Massachusetts</t>
        </is>
      </c>
      <c r="I207" s="7" t="inlineStr">
        <is>
          <t>Online</t>
        </is>
      </c>
      <c r="J207" s="7" t="inlineStr">
        <is>
          <t>Corporate</t>
        </is>
      </c>
      <c r="K207" s="8" t="n">
        <v>2</v>
      </c>
      <c r="L207" s="9" t="n">
        <v>179.99</v>
      </c>
      <c r="M207" s="10" t="n">
        <v>0</v>
      </c>
      <c r="N207" s="9" t="n">
        <v>111.59</v>
      </c>
      <c r="O207" s="9" t="n">
        <v>359.98</v>
      </c>
      <c r="P207" s="9" t="n">
        <v>0</v>
      </c>
      <c r="Q207" s="9" t="n">
        <v>359.98</v>
      </c>
      <c r="R207" s="9" t="n">
        <v>223.18</v>
      </c>
      <c r="S207" s="9" t="n">
        <v>136.8</v>
      </c>
      <c r="T207" s="10" t="n">
        <v>0.38</v>
      </c>
    </row>
    <row r="208">
      <c r="A208" s="7" t="inlineStr">
        <is>
          <t>ORD-2024-1255</t>
        </is>
      </c>
      <c r="B208" s="7" t="inlineStr">
        <is>
          <t>2024-04-02</t>
        </is>
      </c>
      <c r="C208" s="7" t="inlineStr">
        <is>
          <t>FUR-CHA-002</t>
        </is>
      </c>
      <c r="D208" s="7" t="inlineStr">
        <is>
          <t>AeroTask Operator Task Chair</t>
        </is>
      </c>
      <c r="E208" s="7" t="inlineStr">
        <is>
          <t>Furniture</t>
        </is>
      </c>
      <c r="F208" s="7" t="inlineStr">
        <is>
          <t>Chairs</t>
        </is>
      </c>
      <c r="G208" s="7" t="inlineStr">
        <is>
          <t>East</t>
        </is>
      </c>
      <c r="H208" s="7" t="inlineStr">
        <is>
          <t>Massachusetts</t>
        </is>
      </c>
      <c r="I208" s="7" t="inlineStr">
        <is>
          <t>Online</t>
        </is>
      </c>
      <c r="J208" s="7" t="inlineStr">
        <is>
          <t>Corporate</t>
        </is>
      </c>
      <c r="K208" s="8" t="n">
        <v>4</v>
      </c>
      <c r="L208" s="9" t="n">
        <v>219.99</v>
      </c>
      <c r="M208" s="10" t="n">
        <v>0.05</v>
      </c>
      <c r="N208" s="9" t="n">
        <v>171.59</v>
      </c>
      <c r="O208" s="9" t="n">
        <v>879.96</v>
      </c>
      <c r="P208" s="9" t="n">
        <v>44</v>
      </c>
      <c r="Q208" s="9" t="n">
        <v>835.96</v>
      </c>
      <c r="R208" s="9" t="n">
        <v>686.36</v>
      </c>
      <c r="S208" s="9" t="n">
        <v>149.6</v>
      </c>
      <c r="T208" s="10" t="n">
        <v>0.179</v>
      </c>
    </row>
    <row r="209">
      <c r="A209" s="7" t="inlineStr">
        <is>
          <t>ORD-2024-1508</t>
        </is>
      </c>
      <c r="B209" s="7" t="inlineStr">
        <is>
          <t>2024-04-03</t>
        </is>
      </c>
      <c r="C209" s="7" t="inlineStr">
        <is>
          <t>OFF-DSK-008</t>
        </is>
      </c>
      <c r="D209" s="7" t="inlineStr">
        <is>
          <t>Steel Desktop Mesh Organizer Caddy</t>
        </is>
      </c>
      <c r="E209" s="7" t="inlineStr">
        <is>
          <t>Office Supplies</t>
        </is>
      </c>
      <c r="F209" s="7" t="inlineStr">
        <is>
          <t>Desk Supplies</t>
        </is>
      </c>
      <c r="G209" s="7" t="inlineStr">
        <is>
          <t>South</t>
        </is>
      </c>
      <c r="H209" s="7" t="inlineStr">
        <is>
          <t>Virginia</t>
        </is>
      </c>
      <c r="I209" s="7" t="inlineStr">
        <is>
          <t>Direct Sales</t>
        </is>
      </c>
      <c r="J209" s="7" t="inlineStr">
        <is>
          <t>Corporate</t>
        </is>
      </c>
      <c r="K209" s="8" t="n">
        <v>2</v>
      </c>
      <c r="L209" s="9" t="n">
        <v>18.99</v>
      </c>
      <c r="M209" s="10" t="n">
        <v>0</v>
      </c>
      <c r="N209" s="9" t="n">
        <v>8.550000000000001</v>
      </c>
      <c r="O209" s="9" t="n">
        <v>37.98</v>
      </c>
      <c r="P209" s="9" t="n">
        <v>0</v>
      </c>
      <c r="Q209" s="9" t="n">
        <v>37.98</v>
      </c>
      <c r="R209" s="9" t="n">
        <v>17.1</v>
      </c>
      <c r="S209" s="9" t="n">
        <v>20.88</v>
      </c>
      <c r="T209" s="10" t="n">
        <v>0.5498</v>
      </c>
    </row>
    <row r="210">
      <c r="A210" s="7" t="inlineStr">
        <is>
          <t>ORD-2024-1203</t>
        </is>
      </c>
      <c r="B210" s="7" t="inlineStr">
        <is>
          <t>2024-04-04</t>
        </is>
      </c>
      <c r="C210" s="7" t="inlineStr">
        <is>
          <t>FUR-DSK-003</t>
        </is>
      </c>
      <c r="D210" s="7" t="inlineStr">
        <is>
          <t>ApexMotor Dual-Motor Standing Desk</t>
        </is>
      </c>
      <c r="E210" s="7" t="inlineStr">
        <is>
          <t>Furniture</t>
        </is>
      </c>
      <c r="F210" s="7" t="inlineStr">
        <is>
          <t>Desks &amp; Workstations</t>
        </is>
      </c>
      <c r="G210" s="7" t="inlineStr">
        <is>
          <t>West</t>
        </is>
      </c>
      <c r="H210" s="7" t="inlineStr">
        <is>
          <t>Washington</t>
        </is>
      </c>
      <c r="I210" s="7" t="inlineStr">
        <is>
          <t>Online</t>
        </is>
      </c>
      <c r="J210" s="7" t="inlineStr">
        <is>
          <t>Corporate</t>
        </is>
      </c>
      <c r="K210" s="8" t="n">
        <v>5</v>
      </c>
      <c r="L210" s="9" t="n">
        <v>549.99</v>
      </c>
      <c r="M210" s="10" t="n">
        <v>0</v>
      </c>
      <c r="N210" s="9" t="n">
        <v>439.99</v>
      </c>
      <c r="O210" s="9" t="n">
        <v>2749.95</v>
      </c>
      <c r="P210" s="9" t="n">
        <v>0</v>
      </c>
      <c r="Q210" s="9" t="n">
        <v>2749.95</v>
      </c>
      <c r="R210" s="9" t="n">
        <v>2199.95</v>
      </c>
      <c r="S210" s="9" t="n">
        <v>550</v>
      </c>
      <c r="T210" s="10" t="n">
        <v>0.2</v>
      </c>
    </row>
    <row r="211">
      <c r="A211" s="7" t="inlineStr">
        <is>
          <t>ORD-2024-1215</t>
        </is>
      </c>
      <c r="B211" s="7" t="inlineStr">
        <is>
          <t>2024-04-04</t>
        </is>
      </c>
      <c r="C211" s="7" t="inlineStr">
        <is>
          <t>OFF-STR-002</t>
        </is>
      </c>
      <c r="D211" s="7" t="inlineStr">
        <is>
          <t>Stackable Heavy-Duty Storage Bins (4-Pk)</t>
        </is>
      </c>
      <c r="E211" s="7" t="inlineStr">
        <is>
          <t>Office Supplies</t>
        </is>
      </c>
      <c r="F211" s="7" t="inlineStr">
        <is>
          <t>Storage &amp; Organizers</t>
        </is>
      </c>
      <c r="G211" s="7" t="inlineStr">
        <is>
          <t>South</t>
        </is>
      </c>
      <c r="H211" s="7" t="inlineStr">
        <is>
          <t>Georgia</t>
        </is>
      </c>
      <c r="I211" s="7" t="inlineStr">
        <is>
          <t>Direct Sales</t>
        </is>
      </c>
      <c r="J211" s="7" t="inlineStr">
        <is>
          <t>Consumer</t>
        </is>
      </c>
      <c r="K211" s="8" t="n">
        <v>3</v>
      </c>
      <c r="L211" s="9" t="n">
        <v>44.99</v>
      </c>
      <c r="M211" s="10" t="n">
        <v>0</v>
      </c>
      <c r="N211" s="9" t="n">
        <v>24.74</v>
      </c>
      <c r="O211" s="9" t="n">
        <v>134.97</v>
      </c>
      <c r="P211" s="9" t="n">
        <v>0</v>
      </c>
      <c r="Q211" s="9" t="n">
        <v>134.97</v>
      </c>
      <c r="R211" s="9" t="n">
        <v>74.22</v>
      </c>
      <c r="S211" s="9" t="n">
        <v>60.75</v>
      </c>
      <c r="T211" s="10" t="n">
        <v>0.4501</v>
      </c>
    </row>
    <row r="212">
      <c r="A212" s="7" t="inlineStr">
        <is>
          <t>ORD-2024-1215</t>
        </is>
      </c>
      <c r="B212" s="7" t="inlineStr">
        <is>
          <t>2024-04-04</t>
        </is>
      </c>
      <c r="C212" s="7" t="inlineStr">
        <is>
          <t>OFF-PAP-003</t>
        </is>
      </c>
      <c r="D212" s="7" t="inlineStr">
        <is>
          <t>UltraWhite Premium Multipurpose Paper (Case)</t>
        </is>
      </c>
      <c r="E212" s="7" t="inlineStr">
        <is>
          <t>Office Supplies</t>
        </is>
      </c>
      <c r="F212" s="7" t="inlineStr">
        <is>
          <t>Paper Products</t>
        </is>
      </c>
      <c r="G212" s="7" t="inlineStr">
        <is>
          <t>South</t>
        </is>
      </c>
      <c r="H212" s="7" t="inlineStr">
        <is>
          <t>Georgia</t>
        </is>
      </c>
      <c r="I212" s="7" t="inlineStr">
        <is>
          <t>Direct Sales</t>
        </is>
      </c>
      <c r="J212" s="7" t="inlineStr">
        <is>
          <t>Consumer</t>
        </is>
      </c>
      <c r="K212" s="8" t="n">
        <v>3</v>
      </c>
      <c r="L212" s="9" t="n">
        <v>54.99</v>
      </c>
      <c r="M212" s="10" t="n">
        <v>0</v>
      </c>
      <c r="N212" s="9" t="n">
        <v>31.89</v>
      </c>
      <c r="O212" s="9" t="n">
        <v>164.97</v>
      </c>
      <c r="P212" s="9" t="n">
        <v>0</v>
      </c>
      <c r="Q212" s="9" t="n">
        <v>164.97</v>
      </c>
      <c r="R212" s="9" t="n">
        <v>95.67</v>
      </c>
      <c r="S212" s="9" t="n">
        <v>69.3</v>
      </c>
      <c r="T212" s="10" t="n">
        <v>0.4201</v>
      </c>
    </row>
    <row r="213">
      <c r="A213" s="7" t="inlineStr">
        <is>
          <t>ORD-2024-1335</t>
        </is>
      </c>
      <c r="B213" s="7" t="inlineStr">
        <is>
          <t>2024-04-05</t>
        </is>
      </c>
      <c r="C213" s="7" t="inlineStr">
        <is>
          <t>TEC-TAB-004</t>
        </is>
      </c>
      <c r="D213" s="7" t="inlineStr">
        <is>
          <t>VisionPad Lite 8.5"</t>
        </is>
      </c>
      <c r="E213" s="7" t="inlineStr">
        <is>
          <t>Technology</t>
        </is>
      </c>
      <c r="F213" s="7" t="inlineStr">
        <is>
          <t>Phones &amp; Tablets</t>
        </is>
      </c>
      <c r="G213" s="7" t="inlineStr">
        <is>
          <t>South</t>
        </is>
      </c>
      <c r="H213" s="7" t="inlineStr">
        <is>
          <t>Georgia</t>
        </is>
      </c>
      <c r="I213" s="7" t="inlineStr">
        <is>
          <t>Retail Partner</t>
        </is>
      </c>
      <c r="J213" s="7" t="inlineStr">
        <is>
          <t>Corporate</t>
        </is>
      </c>
      <c r="K213" s="8" t="n">
        <v>3</v>
      </c>
      <c r="L213" s="9" t="n">
        <v>299.99</v>
      </c>
      <c r="M213" s="10" t="n">
        <v>0</v>
      </c>
      <c r="N213" s="9" t="n">
        <v>245.99</v>
      </c>
      <c r="O213" s="9" t="n">
        <v>899.97</v>
      </c>
      <c r="P213" s="9" t="n">
        <v>0</v>
      </c>
      <c r="Q213" s="9" t="n">
        <v>899.97</v>
      </c>
      <c r="R213" s="9" t="n">
        <v>737.97</v>
      </c>
      <c r="S213" s="9" t="n">
        <v>162</v>
      </c>
      <c r="T213" s="10" t="n">
        <v>0.18</v>
      </c>
    </row>
    <row r="214">
      <c r="A214" s="7" t="inlineStr">
        <is>
          <t>ORD-2024-1464</t>
        </is>
      </c>
      <c r="B214" s="7" t="inlineStr">
        <is>
          <t>2024-04-05</t>
        </is>
      </c>
      <c r="C214" s="7" t="inlineStr">
        <is>
          <t>OFF-ART-006</t>
        </is>
      </c>
      <c r="D214" s="7" t="inlineStr">
        <is>
          <t>Professional Presentation Dry Erase Board</t>
        </is>
      </c>
      <c r="E214" s="7" t="inlineStr">
        <is>
          <t>Office Supplies</t>
        </is>
      </c>
      <c r="F214" s="7" t="inlineStr">
        <is>
          <t>Presentation &amp; Art</t>
        </is>
      </c>
      <c r="G214" s="7" t="inlineStr">
        <is>
          <t>East</t>
        </is>
      </c>
      <c r="H214" s="7" t="inlineStr">
        <is>
          <t>Pennsylvania</t>
        </is>
      </c>
      <c r="I214" s="7" t="inlineStr">
        <is>
          <t>Online</t>
        </is>
      </c>
      <c r="J214" s="7" t="inlineStr">
        <is>
          <t>Home Office</t>
        </is>
      </c>
      <c r="K214" s="8" t="n">
        <v>4</v>
      </c>
      <c r="L214" s="9" t="n">
        <v>89.98999999999999</v>
      </c>
      <c r="M214" s="10" t="n">
        <v>0.05</v>
      </c>
      <c r="N214" s="9" t="n">
        <v>53.99</v>
      </c>
      <c r="O214" s="9" t="n">
        <v>359.96</v>
      </c>
      <c r="P214" s="9" t="n">
        <v>18</v>
      </c>
      <c r="Q214" s="9" t="n">
        <v>341.96</v>
      </c>
      <c r="R214" s="9" t="n">
        <v>215.96</v>
      </c>
      <c r="S214" s="9" t="n">
        <v>126</v>
      </c>
      <c r="T214" s="10" t="n">
        <v>0.3685</v>
      </c>
    </row>
    <row r="215">
      <c r="A215" s="7" t="inlineStr">
        <is>
          <t>ORD-2024-1464</t>
        </is>
      </c>
      <c r="B215" s="7" t="inlineStr">
        <is>
          <t>2024-04-05</t>
        </is>
      </c>
      <c r="C215" s="7" t="inlineStr">
        <is>
          <t>OFF-PAP-003</t>
        </is>
      </c>
      <c r="D215" s="7" t="inlineStr">
        <is>
          <t>UltraWhite Premium Multipurpose Paper (Case)</t>
        </is>
      </c>
      <c r="E215" s="7" t="inlineStr">
        <is>
          <t>Office Supplies</t>
        </is>
      </c>
      <c r="F215" s="7" t="inlineStr">
        <is>
          <t>Paper Products</t>
        </is>
      </c>
      <c r="G215" s="7" t="inlineStr">
        <is>
          <t>East</t>
        </is>
      </c>
      <c r="H215" s="7" t="inlineStr">
        <is>
          <t>Pennsylvania</t>
        </is>
      </c>
      <c r="I215" s="7" t="inlineStr">
        <is>
          <t>Online</t>
        </is>
      </c>
      <c r="J215" s="7" t="inlineStr">
        <is>
          <t>Home Office</t>
        </is>
      </c>
      <c r="K215" s="8" t="n">
        <v>1</v>
      </c>
      <c r="L215" s="9" t="n">
        <v>54.99</v>
      </c>
      <c r="M215" s="10" t="n">
        <v>0.05</v>
      </c>
      <c r="N215" s="9" t="n">
        <v>31.89</v>
      </c>
      <c r="O215" s="9" t="n">
        <v>54.99</v>
      </c>
      <c r="P215" s="9" t="n">
        <v>2.75</v>
      </c>
      <c r="Q215" s="9" t="n">
        <v>52.24</v>
      </c>
      <c r="R215" s="9" t="n">
        <v>31.89</v>
      </c>
      <c r="S215" s="9" t="n">
        <v>20.35</v>
      </c>
      <c r="T215" s="10" t="n">
        <v>0.3895</v>
      </c>
    </row>
    <row r="216">
      <c r="A216" s="7" t="inlineStr">
        <is>
          <t>ORD-2024-1087</t>
        </is>
      </c>
      <c r="B216" s="7" t="inlineStr">
        <is>
          <t>2024-04-06</t>
        </is>
      </c>
      <c r="C216" s="7" t="inlineStr">
        <is>
          <t>FUR-LGT-006</t>
        </is>
      </c>
      <c r="D216" s="7" t="inlineStr">
        <is>
          <t>Architect LED Desk Task Lamp</t>
        </is>
      </c>
      <c r="E216" s="7" t="inlineStr">
        <is>
          <t>Furniture</t>
        </is>
      </c>
      <c r="F216" s="7" t="inlineStr">
        <is>
          <t>Lighting</t>
        </is>
      </c>
      <c r="G216" s="7" t="inlineStr">
        <is>
          <t>West</t>
        </is>
      </c>
      <c r="H216" s="7" t="inlineStr">
        <is>
          <t>Oregon</t>
        </is>
      </c>
      <c r="I216" s="7" t="inlineStr">
        <is>
          <t>Online</t>
        </is>
      </c>
      <c r="J216" s="7" t="inlineStr">
        <is>
          <t>Consumer</t>
        </is>
      </c>
      <c r="K216" s="8" t="n">
        <v>2</v>
      </c>
      <c r="L216" s="9" t="n">
        <v>69.98999999999999</v>
      </c>
      <c r="M216" s="10" t="n">
        <v>0</v>
      </c>
      <c r="N216" s="9" t="n">
        <v>43.39</v>
      </c>
      <c r="O216" s="9" t="n">
        <v>139.98</v>
      </c>
      <c r="P216" s="9" t="n">
        <v>0</v>
      </c>
      <c r="Q216" s="9" t="n">
        <v>139.98</v>
      </c>
      <c r="R216" s="9" t="n">
        <v>86.78</v>
      </c>
      <c r="S216" s="9" t="n">
        <v>53.2</v>
      </c>
      <c r="T216" s="10" t="n">
        <v>0.3801</v>
      </c>
    </row>
    <row r="217">
      <c r="A217" s="7" t="inlineStr">
        <is>
          <t>ORD-2024-1504</t>
        </is>
      </c>
      <c r="B217" s="7" t="inlineStr">
        <is>
          <t>2024-04-06</t>
        </is>
      </c>
      <c r="C217" s="7" t="inlineStr">
        <is>
          <t>OFF-DSK-007</t>
        </is>
      </c>
      <c r="D217" s="7" t="inlineStr">
        <is>
          <t>Gel Ergo Mouse Pad &amp; Wrist Rest Combo</t>
        </is>
      </c>
      <c r="E217" s="7" t="inlineStr">
        <is>
          <t>Office Supplies</t>
        </is>
      </c>
      <c r="F217" s="7" t="inlineStr">
        <is>
          <t>Desk Supplies</t>
        </is>
      </c>
      <c r="G217" s="7" t="inlineStr">
        <is>
          <t>Central</t>
        </is>
      </c>
      <c r="H217" s="7" t="inlineStr">
        <is>
          <t>Michigan</t>
        </is>
      </c>
      <c r="I217" s="7" t="inlineStr">
        <is>
          <t>Online</t>
        </is>
      </c>
      <c r="J217" s="7" t="inlineStr">
        <is>
          <t>Consumer</t>
        </is>
      </c>
      <c r="K217" s="8" t="n">
        <v>3</v>
      </c>
      <c r="L217" s="9" t="n">
        <v>21.99</v>
      </c>
      <c r="M217" s="10" t="n">
        <v>0</v>
      </c>
      <c r="N217" s="9" t="n">
        <v>10.56</v>
      </c>
      <c r="O217" s="9" t="n">
        <v>65.97</v>
      </c>
      <c r="P217" s="9" t="n">
        <v>0</v>
      </c>
      <c r="Q217" s="9" t="n">
        <v>65.97</v>
      </c>
      <c r="R217" s="9" t="n">
        <v>31.68</v>
      </c>
      <c r="S217" s="9" t="n">
        <v>34.29</v>
      </c>
      <c r="T217" s="10" t="n">
        <v>0.5198</v>
      </c>
    </row>
    <row r="218">
      <c r="A218" s="7" t="inlineStr">
        <is>
          <t>ORD-2024-1247</t>
        </is>
      </c>
      <c r="B218" s="7" t="inlineStr">
        <is>
          <t>2024-04-07</t>
        </is>
      </c>
      <c r="C218" s="7" t="inlineStr">
        <is>
          <t>OFF-STR-002</t>
        </is>
      </c>
      <c r="D218" s="7" t="inlineStr">
        <is>
          <t>Stackable Heavy-Duty Storage Bins (4-Pk)</t>
        </is>
      </c>
      <c r="E218" s="7" t="inlineStr">
        <is>
          <t>Office Supplies</t>
        </is>
      </c>
      <c r="F218" s="7" t="inlineStr">
        <is>
          <t>Storage &amp; Organizers</t>
        </is>
      </c>
      <c r="G218" s="7" t="inlineStr">
        <is>
          <t>West</t>
        </is>
      </c>
      <c r="H218" s="7" t="inlineStr">
        <is>
          <t>Colorado</t>
        </is>
      </c>
      <c r="I218" s="7" t="inlineStr">
        <is>
          <t>Online</t>
        </is>
      </c>
      <c r="J218" s="7" t="inlineStr">
        <is>
          <t>Corporate</t>
        </is>
      </c>
      <c r="K218" s="8" t="n">
        <v>2</v>
      </c>
      <c r="L218" s="9" t="n">
        <v>44.99</v>
      </c>
      <c r="M218" s="10" t="n">
        <v>0</v>
      </c>
      <c r="N218" s="9" t="n">
        <v>24.74</v>
      </c>
      <c r="O218" s="9" t="n">
        <v>89.98</v>
      </c>
      <c r="P218" s="9" t="n">
        <v>0</v>
      </c>
      <c r="Q218" s="9" t="n">
        <v>89.98</v>
      </c>
      <c r="R218" s="9" t="n">
        <v>49.48</v>
      </c>
      <c r="S218" s="9" t="n">
        <v>40.5</v>
      </c>
      <c r="T218" s="10" t="n">
        <v>0.4501</v>
      </c>
    </row>
    <row r="219">
      <c r="A219" s="7" t="inlineStr">
        <is>
          <t>ORD-2024-1252</t>
        </is>
      </c>
      <c r="B219" s="7" t="inlineStr">
        <is>
          <t>2024-04-07</t>
        </is>
      </c>
      <c r="C219" s="7" t="inlineStr">
        <is>
          <t>OFF-DSK-008</t>
        </is>
      </c>
      <c r="D219" s="7" t="inlineStr">
        <is>
          <t>Steel Desktop Mesh Organizer Caddy</t>
        </is>
      </c>
      <c r="E219" s="7" t="inlineStr">
        <is>
          <t>Office Supplies</t>
        </is>
      </c>
      <c r="F219" s="7" t="inlineStr">
        <is>
          <t>Desk Supplies</t>
        </is>
      </c>
      <c r="G219" s="7" t="inlineStr">
        <is>
          <t>East</t>
        </is>
      </c>
      <c r="H219" s="7" t="inlineStr">
        <is>
          <t>Massachusetts</t>
        </is>
      </c>
      <c r="I219" s="7" t="inlineStr">
        <is>
          <t>Wholesale</t>
        </is>
      </c>
      <c r="J219" s="7" t="inlineStr">
        <is>
          <t>Corporate</t>
        </is>
      </c>
      <c r="K219" s="8" t="n">
        <v>15</v>
      </c>
      <c r="L219" s="9" t="n">
        <v>18.99</v>
      </c>
      <c r="M219" s="10" t="n">
        <v>0.1</v>
      </c>
      <c r="N219" s="9" t="n">
        <v>8.550000000000001</v>
      </c>
      <c r="O219" s="9" t="n">
        <v>284.85</v>
      </c>
      <c r="P219" s="9" t="n">
        <v>28.49</v>
      </c>
      <c r="Q219" s="9" t="n">
        <v>256.36</v>
      </c>
      <c r="R219" s="9" t="n">
        <v>128.25</v>
      </c>
      <c r="S219" s="9" t="n">
        <v>128.11</v>
      </c>
      <c r="T219" s="10" t="n">
        <v>0.4997</v>
      </c>
    </row>
    <row r="220">
      <c r="A220" s="7" t="inlineStr">
        <is>
          <t>ORD-2024-1318</t>
        </is>
      </c>
      <c r="B220" s="7" t="inlineStr">
        <is>
          <t>2024-04-07</t>
        </is>
      </c>
      <c r="C220" s="7" t="inlineStr">
        <is>
          <t>FUR-DSK-004</t>
        </is>
      </c>
      <c r="D220" s="7" t="inlineStr">
        <is>
          <t>Metro Compact Corner Workstation</t>
        </is>
      </c>
      <c r="E220" s="7" t="inlineStr">
        <is>
          <t>Furniture</t>
        </is>
      </c>
      <c r="F220" s="7" t="inlineStr">
        <is>
          <t>Desks &amp; Workstations</t>
        </is>
      </c>
      <c r="G220" s="7" t="inlineStr">
        <is>
          <t>East</t>
        </is>
      </c>
      <c r="H220" s="7" t="inlineStr">
        <is>
          <t>New York</t>
        </is>
      </c>
      <c r="I220" s="7" t="inlineStr">
        <is>
          <t>Direct Sales</t>
        </is>
      </c>
      <c r="J220" s="7" t="inlineStr">
        <is>
          <t>Home Office</t>
        </is>
      </c>
      <c r="K220" s="8" t="n">
        <v>4</v>
      </c>
      <c r="L220" s="9" t="n">
        <v>329.99</v>
      </c>
      <c r="M220" s="10" t="n">
        <v>0</v>
      </c>
      <c r="N220" s="9" t="n">
        <v>250.79</v>
      </c>
      <c r="O220" s="9" t="n">
        <v>1319.96</v>
      </c>
      <c r="P220" s="9" t="n">
        <v>0</v>
      </c>
      <c r="Q220" s="9" t="n">
        <v>1319.96</v>
      </c>
      <c r="R220" s="9" t="n">
        <v>1003.16</v>
      </c>
      <c r="S220" s="9" t="n">
        <v>316.8</v>
      </c>
      <c r="T220" s="10" t="n">
        <v>0.24</v>
      </c>
    </row>
    <row r="221">
      <c r="A221" s="7" t="inlineStr">
        <is>
          <t>ORD-2024-1475</t>
        </is>
      </c>
      <c r="B221" s="7" t="inlineStr">
        <is>
          <t>2024-04-07</t>
        </is>
      </c>
      <c r="C221" s="7" t="inlineStr">
        <is>
          <t>OFF-STR-001</t>
        </is>
      </c>
      <c r="D221" s="7" t="inlineStr">
        <is>
          <t>SteelLock 3-Drawer File Cabinet</t>
        </is>
      </c>
      <c r="E221" s="7" t="inlineStr">
        <is>
          <t>Office Supplies</t>
        </is>
      </c>
      <c r="F221" s="7" t="inlineStr">
        <is>
          <t>Storage &amp; Organizers</t>
        </is>
      </c>
      <c r="G221" s="7" t="inlineStr">
        <is>
          <t>East</t>
        </is>
      </c>
      <c r="H221" s="7" t="inlineStr">
        <is>
          <t>New York</t>
        </is>
      </c>
      <c r="I221" s="7" t="inlineStr">
        <is>
          <t>Retail Partner</t>
        </is>
      </c>
      <c r="J221" s="7" t="inlineStr">
        <is>
          <t>Consumer</t>
        </is>
      </c>
      <c r="K221" s="8" t="n">
        <v>3</v>
      </c>
      <c r="L221" s="9" t="n">
        <v>169.99</v>
      </c>
      <c r="M221" s="10" t="n">
        <v>0</v>
      </c>
      <c r="N221" s="9" t="n">
        <v>115.59</v>
      </c>
      <c r="O221" s="9" t="n">
        <v>509.97</v>
      </c>
      <c r="P221" s="9" t="n">
        <v>0</v>
      </c>
      <c r="Q221" s="9" t="n">
        <v>509.97</v>
      </c>
      <c r="R221" s="9" t="n">
        <v>346.77</v>
      </c>
      <c r="S221" s="9" t="n">
        <v>163.2</v>
      </c>
      <c r="T221" s="10" t="n">
        <v>0.32</v>
      </c>
    </row>
    <row r="222">
      <c r="A222" s="7" t="inlineStr">
        <is>
          <t>ORD-2024-1248</t>
        </is>
      </c>
      <c r="B222" s="7" t="inlineStr">
        <is>
          <t>2024-04-08</t>
        </is>
      </c>
      <c r="C222" s="7" t="inlineStr">
        <is>
          <t>OFF-BIN-005</t>
        </is>
      </c>
      <c r="D222" s="7" t="inlineStr">
        <is>
          <t>Heavy-Duty D-Ring Presentation Binder (6-Pk)</t>
        </is>
      </c>
      <c r="E222" s="7" t="inlineStr">
        <is>
          <t>Office Supplies</t>
        </is>
      </c>
      <c r="F222" s="7" t="inlineStr">
        <is>
          <t>Binders &amp; Fasteners</t>
        </is>
      </c>
      <c r="G222" s="7" t="inlineStr">
        <is>
          <t>East</t>
        </is>
      </c>
      <c r="H222" s="7" t="inlineStr">
        <is>
          <t>New Jersey</t>
        </is>
      </c>
      <c r="I222" s="7" t="inlineStr">
        <is>
          <t>Direct Sales</t>
        </is>
      </c>
      <c r="J222" s="7" t="inlineStr">
        <is>
          <t>Corporate</t>
        </is>
      </c>
      <c r="K222" s="8" t="n">
        <v>4</v>
      </c>
      <c r="L222" s="9" t="n">
        <v>27.99</v>
      </c>
      <c r="M222" s="10" t="n">
        <v>0</v>
      </c>
      <c r="N222" s="9" t="n">
        <v>13.99</v>
      </c>
      <c r="O222" s="9" t="n">
        <v>111.96</v>
      </c>
      <c r="P222" s="9" t="n">
        <v>0</v>
      </c>
      <c r="Q222" s="9" t="n">
        <v>111.96</v>
      </c>
      <c r="R222" s="9" t="n">
        <v>55.96</v>
      </c>
      <c r="S222" s="9" t="n">
        <v>56</v>
      </c>
      <c r="T222" s="10" t="n">
        <v>0.5002</v>
      </c>
    </row>
    <row r="223">
      <c r="A223" s="7" t="inlineStr">
        <is>
          <t>ORD-2024-1248</t>
        </is>
      </c>
      <c r="B223" s="7" t="inlineStr">
        <is>
          <t>2024-04-08</t>
        </is>
      </c>
      <c r="C223" s="7" t="inlineStr">
        <is>
          <t>OFF-BIN-005</t>
        </is>
      </c>
      <c r="D223" s="7" t="inlineStr">
        <is>
          <t>Heavy-Duty D-Ring Presentation Binder (6-Pk)</t>
        </is>
      </c>
      <c r="E223" s="7" t="inlineStr">
        <is>
          <t>Office Supplies</t>
        </is>
      </c>
      <c r="F223" s="7" t="inlineStr">
        <is>
          <t>Binders &amp; Fasteners</t>
        </is>
      </c>
      <c r="G223" s="7" t="inlineStr">
        <is>
          <t>East</t>
        </is>
      </c>
      <c r="H223" s="7" t="inlineStr">
        <is>
          <t>New Jersey</t>
        </is>
      </c>
      <c r="I223" s="7" t="inlineStr">
        <is>
          <t>Direct Sales</t>
        </is>
      </c>
      <c r="J223" s="7" t="inlineStr">
        <is>
          <t>Corporate</t>
        </is>
      </c>
      <c r="K223" s="8" t="n">
        <v>4</v>
      </c>
      <c r="L223" s="9" t="n">
        <v>27.99</v>
      </c>
      <c r="M223" s="10" t="n">
        <v>0.05</v>
      </c>
      <c r="N223" s="9" t="n">
        <v>13.99</v>
      </c>
      <c r="O223" s="9" t="n">
        <v>111.96</v>
      </c>
      <c r="P223" s="9" t="n">
        <v>5.6</v>
      </c>
      <c r="Q223" s="9" t="n">
        <v>106.36</v>
      </c>
      <c r="R223" s="9" t="n">
        <v>55.96</v>
      </c>
      <c r="S223" s="9" t="n">
        <v>50.4</v>
      </c>
      <c r="T223" s="10" t="n">
        <v>0.4739</v>
      </c>
    </row>
    <row r="224">
      <c r="A224" s="7" t="inlineStr">
        <is>
          <t>ORD-2024-1248</t>
        </is>
      </c>
      <c r="B224" s="7" t="inlineStr">
        <is>
          <t>2024-04-08</t>
        </is>
      </c>
      <c r="C224" s="7" t="inlineStr">
        <is>
          <t>FUR-CHA-002</t>
        </is>
      </c>
      <c r="D224" s="7" t="inlineStr">
        <is>
          <t>AeroTask Operator Task Chair</t>
        </is>
      </c>
      <c r="E224" s="7" t="inlineStr">
        <is>
          <t>Furniture</t>
        </is>
      </c>
      <c r="F224" s="7" t="inlineStr">
        <is>
          <t>Chairs</t>
        </is>
      </c>
      <c r="G224" s="7" t="inlineStr">
        <is>
          <t>East</t>
        </is>
      </c>
      <c r="H224" s="7" t="inlineStr">
        <is>
          <t>New Jersey</t>
        </is>
      </c>
      <c r="I224" s="7" t="inlineStr">
        <is>
          <t>Direct Sales</t>
        </is>
      </c>
      <c r="J224" s="7" t="inlineStr">
        <is>
          <t>Corporate</t>
        </is>
      </c>
      <c r="K224" s="8" t="n">
        <v>2</v>
      </c>
      <c r="L224" s="9" t="n">
        <v>219.99</v>
      </c>
      <c r="M224" s="10" t="n">
        <v>0</v>
      </c>
      <c r="N224" s="9" t="n">
        <v>171.59</v>
      </c>
      <c r="O224" s="9" t="n">
        <v>439.98</v>
      </c>
      <c r="P224" s="9" t="n">
        <v>0</v>
      </c>
      <c r="Q224" s="9" t="n">
        <v>439.98</v>
      </c>
      <c r="R224" s="9" t="n">
        <v>343.18</v>
      </c>
      <c r="S224" s="9" t="n">
        <v>96.8</v>
      </c>
      <c r="T224" s="10" t="n">
        <v>0.22</v>
      </c>
    </row>
    <row r="225">
      <c r="A225" s="7" t="inlineStr">
        <is>
          <t>ORD-2024-1248</t>
        </is>
      </c>
      <c r="B225" s="7" t="inlineStr">
        <is>
          <t>2024-04-08</t>
        </is>
      </c>
      <c r="C225" s="7" t="inlineStr">
        <is>
          <t>OFF-DSK-008</t>
        </is>
      </c>
      <c r="D225" s="7" t="inlineStr">
        <is>
          <t>Steel Desktop Mesh Organizer Caddy</t>
        </is>
      </c>
      <c r="E225" s="7" t="inlineStr">
        <is>
          <t>Office Supplies</t>
        </is>
      </c>
      <c r="F225" s="7" t="inlineStr">
        <is>
          <t>Desk Supplies</t>
        </is>
      </c>
      <c r="G225" s="7" t="inlineStr">
        <is>
          <t>East</t>
        </is>
      </c>
      <c r="H225" s="7" t="inlineStr">
        <is>
          <t>New Jersey</t>
        </is>
      </c>
      <c r="I225" s="7" t="inlineStr">
        <is>
          <t>Direct Sales</t>
        </is>
      </c>
      <c r="J225" s="7" t="inlineStr">
        <is>
          <t>Corporate</t>
        </is>
      </c>
      <c r="K225" s="8" t="n">
        <v>5</v>
      </c>
      <c r="L225" s="9" t="n">
        <v>18.99</v>
      </c>
      <c r="M225" s="10" t="n">
        <v>0</v>
      </c>
      <c r="N225" s="9" t="n">
        <v>8.550000000000001</v>
      </c>
      <c r="O225" s="9" t="n">
        <v>94.95</v>
      </c>
      <c r="P225" s="9" t="n">
        <v>0</v>
      </c>
      <c r="Q225" s="9" t="n">
        <v>94.95</v>
      </c>
      <c r="R225" s="9" t="n">
        <v>42.75</v>
      </c>
      <c r="S225" s="9" t="n">
        <v>52.2</v>
      </c>
      <c r="T225" s="10" t="n">
        <v>0.5498</v>
      </c>
    </row>
    <row r="226">
      <c r="A226" s="7" t="inlineStr">
        <is>
          <t>ORD-2024-1092</t>
        </is>
      </c>
      <c r="B226" s="7" t="inlineStr">
        <is>
          <t>2024-04-09</t>
        </is>
      </c>
      <c r="C226" s="7" t="inlineStr">
        <is>
          <t>FUR-CHA-001</t>
        </is>
      </c>
      <c r="D226" s="7" t="inlineStr">
        <is>
          <t>ErgoFlex Executive Mesh Chair</t>
        </is>
      </c>
      <c r="E226" s="7" t="inlineStr">
        <is>
          <t>Furniture</t>
        </is>
      </c>
      <c r="F226" s="7" t="inlineStr">
        <is>
          <t>Chairs</t>
        </is>
      </c>
      <c r="G226" s="7" t="inlineStr">
        <is>
          <t>East</t>
        </is>
      </c>
      <c r="H226" s="7" t="inlineStr">
        <is>
          <t>New York</t>
        </is>
      </c>
      <c r="I226" s="7" t="inlineStr">
        <is>
          <t>Wholesale</t>
        </is>
      </c>
      <c r="J226" s="7" t="inlineStr">
        <is>
          <t>Corporate</t>
        </is>
      </c>
      <c r="K226" s="8" t="n">
        <v>10</v>
      </c>
      <c r="L226" s="9" t="n">
        <v>389.99</v>
      </c>
      <c r="M226" s="10" t="n">
        <v>0.05</v>
      </c>
      <c r="N226" s="9" t="n">
        <v>331.49</v>
      </c>
      <c r="O226" s="9" t="n">
        <v>3899.9</v>
      </c>
      <c r="P226" s="9" t="n">
        <v>195</v>
      </c>
      <c r="Q226" s="9" t="n">
        <v>3704.9</v>
      </c>
      <c r="R226" s="9" t="n">
        <v>3314.9</v>
      </c>
      <c r="S226" s="9" t="n">
        <v>390</v>
      </c>
      <c r="T226" s="10" t="n">
        <v>0.1053</v>
      </c>
    </row>
    <row r="227">
      <c r="A227" s="7" t="inlineStr">
        <is>
          <t>ORD-2024-1140</t>
        </is>
      </c>
      <c r="B227" s="7" t="inlineStr">
        <is>
          <t>2024-04-09</t>
        </is>
      </c>
      <c r="C227" s="7" t="inlineStr">
        <is>
          <t>OFF-STR-002</t>
        </is>
      </c>
      <c r="D227" s="7" t="inlineStr">
        <is>
          <t>Stackable Heavy-Duty Storage Bins (4-Pk)</t>
        </is>
      </c>
      <c r="E227" s="7" t="inlineStr">
        <is>
          <t>Office Supplies</t>
        </is>
      </c>
      <c r="F227" s="7" t="inlineStr">
        <is>
          <t>Storage &amp; Organizers</t>
        </is>
      </c>
      <c r="G227" s="7" t="inlineStr">
        <is>
          <t>West</t>
        </is>
      </c>
      <c r="H227" s="7" t="inlineStr">
        <is>
          <t>California</t>
        </is>
      </c>
      <c r="I227" s="7" t="inlineStr">
        <is>
          <t>Wholesale</t>
        </is>
      </c>
      <c r="J227" s="7" t="inlineStr">
        <is>
          <t>Consumer</t>
        </is>
      </c>
      <c r="K227" s="8" t="n">
        <v>5</v>
      </c>
      <c r="L227" s="9" t="n">
        <v>44.99</v>
      </c>
      <c r="M227" s="10" t="n">
        <v>0.1</v>
      </c>
      <c r="N227" s="9" t="n">
        <v>24.74</v>
      </c>
      <c r="O227" s="9" t="n">
        <v>224.95</v>
      </c>
      <c r="P227" s="9" t="n">
        <v>22.5</v>
      </c>
      <c r="Q227" s="9" t="n">
        <v>202.45</v>
      </c>
      <c r="R227" s="9" t="n">
        <v>123.7</v>
      </c>
      <c r="S227" s="9" t="n">
        <v>78.75</v>
      </c>
      <c r="T227" s="10" t="n">
        <v>0.389</v>
      </c>
    </row>
    <row r="228">
      <c r="A228" s="7" t="inlineStr">
        <is>
          <t>ORD-2024-1572</t>
        </is>
      </c>
      <c r="B228" s="7" t="inlineStr">
        <is>
          <t>2024-04-09</t>
        </is>
      </c>
      <c r="C228" s="7" t="inlineStr">
        <is>
          <t>OFF-DSK-007</t>
        </is>
      </c>
      <c r="D228" s="7" t="inlineStr">
        <is>
          <t>Gel Ergo Mouse Pad &amp; Wrist Rest Combo</t>
        </is>
      </c>
      <c r="E228" s="7" t="inlineStr">
        <is>
          <t>Office Supplies</t>
        </is>
      </c>
      <c r="F228" s="7" t="inlineStr">
        <is>
          <t>Desk Supplies</t>
        </is>
      </c>
      <c r="G228" s="7" t="inlineStr">
        <is>
          <t>West</t>
        </is>
      </c>
      <c r="H228" s="7" t="inlineStr">
        <is>
          <t>Colorado</t>
        </is>
      </c>
      <c r="I228" s="7" t="inlineStr">
        <is>
          <t>Wholesale</t>
        </is>
      </c>
      <c r="J228" s="7" t="inlineStr">
        <is>
          <t>Corporate</t>
        </is>
      </c>
      <c r="K228" s="8" t="n">
        <v>12</v>
      </c>
      <c r="L228" s="9" t="n">
        <v>21.99</v>
      </c>
      <c r="M228" s="10" t="n">
        <v>0.15</v>
      </c>
      <c r="N228" s="9" t="n">
        <v>10.56</v>
      </c>
      <c r="O228" s="9" t="n">
        <v>263.88</v>
      </c>
      <c r="P228" s="9" t="n">
        <v>39.58</v>
      </c>
      <c r="Q228" s="9" t="n">
        <v>224.3</v>
      </c>
      <c r="R228" s="9" t="n">
        <v>126.72</v>
      </c>
      <c r="S228" s="9" t="n">
        <v>97.58</v>
      </c>
      <c r="T228" s="10" t="n">
        <v>0.435</v>
      </c>
    </row>
    <row r="229">
      <c r="A229" s="7" t="inlineStr">
        <is>
          <t>ORD-2024-1159</t>
        </is>
      </c>
      <c r="B229" s="7" t="inlineStr">
        <is>
          <t>2024-04-11</t>
        </is>
      </c>
      <c r="C229" s="7" t="inlineStr">
        <is>
          <t>OFF-STR-002</t>
        </is>
      </c>
      <c r="D229" s="7" t="inlineStr">
        <is>
          <t>Stackable Heavy-Duty Storage Bins (4-Pk)</t>
        </is>
      </c>
      <c r="E229" s="7" t="inlineStr">
        <is>
          <t>Office Supplies</t>
        </is>
      </c>
      <c r="F229" s="7" t="inlineStr">
        <is>
          <t>Storage &amp; Organizers</t>
        </is>
      </c>
      <c r="G229" s="7" t="inlineStr">
        <is>
          <t>East</t>
        </is>
      </c>
      <c r="H229" s="7" t="inlineStr">
        <is>
          <t>New York</t>
        </is>
      </c>
      <c r="I229" s="7" t="inlineStr">
        <is>
          <t>Wholesale</t>
        </is>
      </c>
      <c r="J229" s="7" t="inlineStr">
        <is>
          <t>Consumer</t>
        </is>
      </c>
      <c r="K229" s="8" t="n">
        <v>10</v>
      </c>
      <c r="L229" s="9" t="n">
        <v>44.99</v>
      </c>
      <c r="M229" s="10" t="n">
        <v>0.1</v>
      </c>
      <c r="N229" s="9" t="n">
        <v>24.74</v>
      </c>
      <c r="O229" s="9" t="n">
        <v>449.9</v>
      </c>
      <c r="P229" s="9" t="n">
        <v>44.99</v>
      </c>
      <c r="Q229" s="9" t="n">
        <v>404.91</v>
      </c>
      <c r="R229" s="9" t="n">
        <v>247.4</v>
      </c>
      <c r="S229" s="9" t="n">
        <v>157.51</v>
      </c>
      <c r="T229" s="10" t="n">
        <v>0.389</v>
      </c>
    </row>
    <row r="230">
      <c r="A230" s="7" t="inlineStr">
        <is>
          <t>ORD-2024-1512</t>
        </is>
      </c>
      <c r="B230" s="7" t="inlineStr">
        <is>
          <t>2024-04-11</t>
        </is>
      </c>
      <c r="C230" s="7" t="inlineStr">
        <is>
          <t>OFF-BIN-005</t>
        </is>
      </c>
      <c r="D230" s="7" t="inlineStr">
        <is>
          <t>Heavy-Duty D-Ring Presentation Binder (6-Pk)</t>
        </is>
      </c>
      <c r="E230" s="7" t="inlineStr">
        <is>
          <t>Office Supplies</t>
        </is>
      </c>
      <c r="F230" s="7" t="inlineStr">
        <is>
          <t>Binders &amp; Fasteners</t>
        </is>
      </c>
      <c r="G230" s="7" t="inlineStr">
        <is>
          <t>East</t>
        </is>
      </c>
      <c r="H230" s="7" t="inlineStr">
        <is>
          <t>Massachusetts</t>
        </is>
      </c>
      <c r="I230" s="7" t="inlineStr">
        <is>
          <t>Online</t>
        </is>
      </c>
      <c r="J230" s="7" t="inlineStr">
        <is>
          <t>Consumer</t>
        </is>
      </c>
      <c r="K230" s="8" t="n">
        <v>1</v>
      </c>
      <c r="L230" s="9" t="n">
        <v>27.99</v>
      </c>
      <c r="M230" s="10" t="n">
        <v>0</v>
      </c>
      <c r="N230" s="9" t="n">
        <v>13.99</v>
      </c>
      <c r="O230" s="9" t="n">
        <v>27.99</v>
      </c>
      <c r="P230" s="9" t="n">
        <v>0</v>
      </c>
      <c r="Q230" s="9" t="n">
        <v>27.99</v>
      </c>
      <c r="R230" s="9" t="n">
        <v>13.99</v>
      </c>
      <c r="S230" s="9" t="n">
        <v>14</v>
      </c>
      <c r="T230" s="10" t="n">
        <v>0.5002</v>
      </c>
    </row>
    <row r="231">
      <c r="A231" s="7" t="inlineStr">
        <is>
          <t>ORD-2024-1512</t>
        </is>
      </c>
      <c r="B231" s="7" t="inlineStr">
        <is>
          <t>2024-04-11</t>
        </is>
      </c>
      <c r="C231" s="7" t="inlineStr">
        <is>
          <t>FUR-CHA-001</t>
        </is>
      </c>
      <c r="D231" s="7" t="inlineStr">
        <is>
          <t>ErgoFlex Executive Mesh Chair</t>
        </is>
      </c>
      <c r="E231" s="7" t="inlineStr">
        <is>
          <t>Furniture</t>
        </is>
      </c>
      <c r="F231" s="7" t="inlineStr">
        <is>
          <t>Chairs</t>
        </is>
      </c>
      <c r="G231" s="7" t="inlineStr">
        <is>
          <t>East</t>
        </is>
      </c>
      <c r="H231" s="7" t="inlineStr">
        <is>
          <t>Massachusetts</t>
        </is>
      </c>
      <c r="I231" s="7" t="inlineStr">
        <is>
          <t>Online</t>
        </is>
      </c>
      <c r="J231" s="7" t="inlineStr">
        <is>
          <t>Consumer</t>
        </is>
      </c>
      <c r="K231" s="8" t="n">
        <v>3</v>
      </c>
      <c r="L231" s="9" t="n">
        <v>389.99</v>
      </c>
      <c r="M231" s="10" t="n">
        <v>0.1</v>
      </c>
      <c r="N231" s="9" t="n">
        <v>331.49</v>
      </c>
      <c r="O231" s="9" t="n">
        <v>1169.97</v>
      </c>
      <c r="P231" s="9" t="n">
        <v>117</v>
      </c>
      <c r="Q231" s="9" t="n">
        <v>1052.97</v>
      </c>
      <c r="R231" s="9" t="n">
        <v>994.47</v>
      </c>
      <c r="S231" s="9" t="n">
        <v>58.5</v>
      </c>
      <c r="T231" s="10" t="n">
        <v>0.0556</v>
      </c>
    </row>
    <row r="232">
      <c r="A232" s="7" t="inlineStr">
        <is>
          <t>ORD-2024-1416</t>
        </is>
      </c>
      <c r="B232" s="7" t="inlineStr">
        <is>
          <t>2024-04-12</t>
        </is>
      </c>
      <c r="C232" s="7" t="inlineStr">
        <is>
          <t>OFF-STR-001</t>
        </is>
      </c>
      <c r="D232" s="7" t="inlineStr">
        <is>
          <t>SteelLock 3-Drawer File Cabinet</t>
        </is>
      </c>
      <c r="E232" s="7" t="inlineStr">
        <is>
          <t>Office Supplies</t>
        </is>
      </c>
      <c r="F232" s="7" t="inlineStr">
        <is>
          <t>Storage &amp; Organizers</t>
        </is>
      </c>
      <c r="G232" s="7" t="inlineStr">
        <is>
          <t>East</t>
        </is>
      </c>
      <c r="H232" s="7" t="inlineStr">
        <is>
          <t>Massachusetts</t>
        </is>
      </c>
      <c r="I232" s="7" t="inlineStr">
        <is>
          <t>Online</t>
        </is>
      </c>
      <c r="J232" s="7" t="inlineStr">
        <is>
          <t>Consumer</t>
        </is>
      </c>
      <c r="K232" s="8" t="n">
        <v>1</v>
      </c>
      <c r="L232" s="9" t="n">
        <v>169.99</v>
      </c>
      <c r="M232" s="10" t="n">
        <v>0</v>
      </c>
      <c r="N232" s="9" t="n">
        <v>115.59</v>
      </c>
      <c r="O232" s="9" t="n">
        <v>169.99</v>
      </c>
      <c r="P232" s="9" t="n">
        <v>0</v>
      </c>
      <c r="Q232" s="9" t="n">
        <v>169.99</v>
      </c>
      <c r="R232" s="9" t="n">
        <v>115.59</v>
      </c>
      <c r="S232" s="9" t="n">
        <v>54.4</v>
      </c>
      <c r="T232" s="10" t="n">
        <v>0.32</v>
      </c>
    </row>
    <row r="233">
      <c r="A233" s="7" t="inlineStr">
        <is>
          <t>ORD-2024-1416</t>
        </is>
      </c>
      <c r="B233" s="7" t="inlineStr">
        <is>
          <t>2024-04-12</t>
        </is>
      </c>
      <c r="C233" s="7" t="inlineStr">
        <is>
          <t>OFF-BIN-005</t>
        </is>
      </c>
      <c r="D233" s="7" t="inlineStr">
        <is>
          <t>Heavy-Duty D-Ring Presentation Binder (6-Pk)</t>
        </is>
      </c>
      <c r="E233" s="7" t="inlineStr">
        <is>
          <t>Office Supplies</t>
        </is>
      </c>
      <c r="F233" s="7" t="inlineStr">
        <is>
          <t>Binders &amp; Fasteners</t>
        </is>
      </c>
      <c r="G233" s="7" t="inlineStr">
        <is>
          <t>East</t>
        </is>
      </c>
      <c r="H233" s="7" t="inlineStr">
        <is>
          <t>Massachusetts</t>
        </is>
      </c>
      <c r="I233" s="7" t="inlineStr">
        <is>
          <t>Online</t>
        </is>
      </c>
      <c r="J233" s="7" t="inlineStr">
        <is>
          <t>Consumer</t>
        </is>
      </c>
      <c r="K233" s="8" t="n">
        <v>2</v>
      </c>
      <c r="L233" s="9" t="n">
        <v>27.99</v>
      </c>
      <c r="M233" s="10" t="n">
        <v>0.1</v>
      </c>
      <c r="N233" s="9" t="n">
        <v>13.99</v>
      </c>
      <c r="O233" s="9" t="n">
        <v>55.98</v>
      </c>
      <c r="P233" s="9" t="n">
        <v>5.6</v>
      </c>
      <c r="Q233" s="9" t="n">
        <v>50.38</v>
      </c>
      <c r="R233" s="9" t="n">
        <v>27.98</v>
      </c>
      <c r="S233" s="9" t="n">
        <v>22.4</v>
      </c>
      <c r="T233" s="10" t="n">
        <v>0.4446</v>
      </c>
    </row>
    <row r="234">
      <c r="A234" s="7" t="inlineStr">
        <is>
          <t>ORD-2024-1609</t>
        </is>
      </c>
      <c r="B234" s="7" t="inlineStr">
        <is>
          <t>2024-04-12</t>
        </is>
      </c>
      <c r="C234" s="7" t="inlineStr">
        <is>
          <t>TEC-TAB-003</t>
        </is>
      </c>
      <c r="D234" s="7" t="inlineStr">
        <is>
          <t>VisionPad Pro 11"</t>
        </is>
      </c>
      <c r="E234" s="7" t="inlineStr">
        <is>
          <t>Technology</t>
        </is>
      </c>
      <c r="F234" s="7" t="inlineStr">
        <is>
          <t>Phones &amp; Tablets</t>
        </is>
      </c>
      <c r="G234" s="7" t="inlineStr">
        <is>
          <t>West</t>
        </is>
      </c>
      <c r="H234" s="7" t="inlineStr">
        <is>
          <t>California</t>
        </is>
      </c>
      <c r="I234" s="7" t="inlineStr">
        <is>
          <t>Retail Partner</t>
        </is>
      </c>
      <c r="J234" s="7" t="inlineStr">
        <is>
          <t>Consumer</t>
        </is>
      </c>
      <c r="K234" s="8" t="n">
        <v>1</v>
      </c>
      <c r="L234" s="9" t="n">
        <v>649.99</v>
      </c>
      <c r="M234" s="10" t="n">
        <v>0</v>
      </c>
      <c r="N234" s="9" t="n">
        <v>487.49</v>
      </c>
      <c r="O234" s="9" t="n">
        <v>649.99</v>
      </c>
      <c r="P234" s="9" t="n">
        <v>0</v>
      </c>
      <c r="Q234" s="9" t="n">
        <v>649.99</v>
      </c>
      <c r="R234" s="9" t="n">
        <v>487.49</v>
      </c>
      <c r="S234" s="9" t="n">
        <v>162.5</v>
      </c>
      <c r="T234" s="10" t="n">
        <v>0.25</v>
      </c>
    </row>
    <row r="235">
      <c r="A235" s="7" t="inlineStr">
        <is>
          <t>ORD-2024-1722</t>
        </is>
      </c>
      <c r="B235" s="7" t="inlineStr">
        <is>
          <t>2024-04-12</t>
        </is>
      </c>
      <c r="C235" s="7" t="inlineStr">
        <is>
          <t>TEC-ACC-005</t>
        </is>
      </c>
      <c r="D235" s="7" t="inlineStr">
        <is>
          <t>UltraWireless Noise-Canceling Headset</t>
        </is>
      </c>
      <c r="E235" s="7" t="inlineStr">
        <is>
          <t>Technology</t>
        </is>
      </c>
      <c r="F235" s="7" t="inlineStr">
        <is>
          <t>Audio &amp; Accessories</t>
        </is>
      </c>
      <c r="G235" s="7" t="inlineStr">
        <is>
          <t>East</t>
        </is>
      </c>
      <c r="H235" s="7" t="inlineStr">
        <is>
          <t>Massachusetts</t>
        </is>
      </c>
      <c r="I235" s="7" t="inlineStr">
        <is>
          <t>Online</t>
        </is>
      </c>
      <c r="J235" s="7" t="inlineStr">
        <is>
          <t>Consumer</t>
        </is>
      </c>
      <c r="K235" s="8" t="n">
        <v>4</v>
      </c>
      <c r="L235" s="9" t="n">
        <v>179.99</v>
      </c>
      <c r="M235" s="10" t="n">
        <v>0.05</v>
      </c>
      <c r="N235" s="9" t="n">
        <v>111.59</v>
      </c>
      <c r="O235" s="9" t="n">
        <v>719.96</v>
      </c>
      <c r="P235" s="9" t="n">
        <v>36</v>
      </c>
      <c r="Q235" s="9" t="n">
        <v>683.96</v>
      </c>
      <c r="R235" s="9" t="n">
        <v>446.36</v>
      </c>
      <c r="S235" s="9" t="n">
        <v>237.6</v>
      </c>
      <c r="T235" s="10" t="n">
        <v>0.3474</v>
      </c>
    </row>
    <row r="236">
      <c r="A236" s="7" t="inlineStr">
        <is>
          <t>ORD-2024-1168</t>
        </is>
      </c>
      <c r="B236" s="7" t="inlineStr">
        <is>
          <t>2024-04-14</t>
        </is>
      </c>
      <c r="C236" s="7" t="inlineStr">
        <is>
          <t>FUR-DSK-004</t>
        </is>
      </c>
      <c r="D236" s="7" t="inlineStr">
        <is>
          <t>Metro Compact Corner Workstation</t>
        </is>
      </c>
      <c r="E236" s="7" t="inlineStr">
        <is>
          <t>Furniture</t>
        </is>
      </c>
      <c r="F236" s="7" t="inlineStr">
        <is>
          <t>Desks &amp; Workstations</t>
        </is>
      </c>
      <c r="G236" s="7" t="inlineStr">
        <is>
          <t>West</t>
        </is>
      </c>
      <c r="H236" s="7" t="inlineStr">
        <is>
          <t>Oregon</t>
        </is>
      </c>
      <c r="I236" s="7" t="inlineStr">
        <is>
          <t>Online</t>
        </is>
      </c>
      <c r="J236" s="7" t="inlineStr">
        <is>
          <t>Home Office</t>
        </is>
      </c>
      <c r="K236" s="8" t="n">
        <v>4</v>
      </c>
      <c r="L236" s="9" t="n">
        <v>329.99</v>
      </c>
      <c r="M236" s="10" t="n">
        <v>0</v>
      </c>
      <c r="N236" s="9" t="n">
        <v>250.79</v>
      </c>
      <c r="O236" s="9" t="n">
        <v>1319.96</v>
      </c>
      <c r="P236" s="9" t="n">
        <v>0</v>
      </c>
      <c r="Q236" s="9" t="n">
        <v>1319.96</v>
      </c>
      <c r="R236" s="9" t="n">
        <v>1003.16</v>
      </c>
      <c r="S236" s="9" t="n">
        <v>316.8</v>
      </c>
      <c r="T236" s="10" t="n">
        <v>0.24</v>
      </c>
    </row>
    <row r="237">
      <c r="A237" s="7" t="inlineStr">
        <is>
          <t>ORD-2024-1341</t>
        </is>
      </c>
      <c r="B237" s="7" t="inlineStr">
        <is>
          <t>2024-04-15</t>
        </is>
      </c>
      <c r="C237" s="7" t="inlineStr">
        <is>
          <t>FUR-CHA-001</t>
        </is>
      </c>
      <c r="D237" s="7" t="inlineStr">
        <is>
          <t>ErgoFlex Executive Mesh Chair</t>
        </is>
      </c>
      <c r="E237" s="7" t="inlineStr">
        <is>
          <t>Furniture</t>
        </is>
      </c>
      <c r="F237" s="7" t="inlineStr">
        <is>
          <t>Chairs</t>
        </is>
      </c>
      <c r="G237" s="7" t="inlineStr">
        <is>
          <t>Central</t>
        </is>
      </c>
      <c r="H237" s="7" t="inlineStr">
        <is>
          <t>Ohio</t>
        </is>
      </c>
      <c r="I237" s="7" t="inlineStr">
        <is>
          <t>Online</t>
        </is>
      </c>
      <c r="J237" s="7" t="inlineStr">
        <is>
          <t>Corporate</t>
        </is>
      </c>
      <c r="K237" s="8" t="n">
        <v>6</v>
      </c>
      <c r="L237" s="9" t="n">
        <v>389.99</v>
      </c>
      <c r="M237" s="10" t="n">
        <v>0.1</v>
      </c>
      <c r="N237" s="9" t="n">
        <v>331.49</v>
      </c>
      <c r="O237" s="9" t="n">
        <v>2339.94</v>
      </c>
      <c r="P237" s="9" t="n">
        <v>233.99</v>
      </c>
      <c r="Q237" s="9" t="n">
        <v>2105.95</v>
      </c>
      <c r="R237" s="9" t="n">
        <v>1988.94</v>
      </c>
      <c r="S237" s="9" t="n">
        <v>117.01</v>
      </c>
      <c r="T237" s="10" t="n">
        <v>0.0556</v>
      </c>
    </row>
    <row r="238">
      <c r="A238" s="7" t="inlineStr">
        <is>
          <t>ORD-2024-1622</t>
        </is>
      </c>
      <c r="B238" s="7" t="inlineStr">
        <is>
          <t>2024-04-15</t>
        </is>
      </c>
      <c r="C238" s="7" t="inlineStr">
        <is>
          <t>TEC-ACC-005</t>
        </is>
      </c>
      <c r="D238" s="7" t="inlineStr">
        <is>
          <t>UltraWireless Noise-Canceling Headset</t>
        </is>
      </c>
      <c r="E238" s="7" t="inlineStr">
        <is>
          <t>Technology</t>
        </is>
      </c>
      <c r="F238" s="7" t="inlineStr">
        <is>
          <t>Audio &amp; Accessories</t>
        </is>
      </c>
      <c r="G238" s="7" t="inlineStr">
        <is>
          <t>South</t>
        </is>
      </c>
      <c r="H238" s="7" t="inlineStr">
        <is>
          <t>Florida</t>
        </is>
      </c>
      <c r="I238" s="7" t="inlineStr">
        <is>
          <t>Wholesale</t>
        </is>
      </c>
      <c r="J238" s="7" t="inlineStr">
        <is>
          <t>Consumer</t>
        </is>
      </c>
      <c r="K238" s="8" t="n">
        <v>9</v>
      </c>
      <c r="L238" s="9" t="n">
        <v>179.99</v>
      </c>
      <c r="M238" s="10" t="n">
        <v>0.1</v>
      </c>
      <c r="N238" s="9" t="n">
        <v>111.59</v>
      </c>
      <c r="O238" s="9" t="n">
        <v>1619.91</v>
      </c>
      <c r="P238" s="9" t="n">
        <v>161.99</v>
      </c>
      <c r="Q238" s="9" t="n">
        <v>1457.92</v>
      </c>
      <c r="R238" s="9" t="n">
        <v>1004.31</v>
      </c>
      <c r="S238" s="9" t="n">
        <v>453.61</v>
      </c>
      <c r="T238" s="10" t="n">
        <v>0.3111</v>
      </c>
    </row>
    <row r="239">
      <c r="A239" s="7" t="inlineStr">
        <is>
          <t>ORD-2024-1456</t>
        </is>
      </c>
      <c r="B239" s="7" t="inlineStr">
        <is>
          <t>2024-04-16</t>
        </is>
      </c>
      <c r="C239" s="7" t="inlineStr">
        <is>
          <t>FUR-CHA-002</t>
        </is>
      </c>
      <c r="D239" s="7" t="inlineStr">
        <is>
          <t>AeroTask Operator Task Chair</t>
        </is>
      </c>
      <c r="E239" s="7" t="inlineStr">
        <is>
          <t>Furniture</t>
        </is>
      </c>
      <c r="F239" s="7" t="inlineStr">
        <is>
          <t>Chairs</t>
        </is>
      </c>
      <c r="G239" s="7" t="inlineStr">
        <is>
          <t>West</t>
        </is>
      </c>
      <c r="H239" s="7" t="inlineStr">
        <is>
          <t>Colorado</t>
        </is>
      </c>
      <c r="I239" s="7" t="inlineStr">
        <is>
          <t>Retail Partner</t>
        </is>
      </c>
      <c r="J239" s="7" t="inlineStr">
        <is>
          <t>Home Office</t>
        </is>
      </c>
      <c r="K239" s="8" t="n">
        <v>1</v>
      </c>
      <c r="L239" s="9" t="n">
        <v>219.99</v>
      </c>
      <c r="M239" s="10" t="n">
        <v>0.05</v>
      </c>
      <c r="N239" s="9" t="n">
        <v>171.59</v>
      </c>
      <c r="O239" s="9" t="n">
        <v>219.99</v>
      </c>
      <c r="P239" s="9" t="n">
        <v>11</v>
      </c>
      <c r="Q239" s="9" t="n">
        <v>208.99</v>
      </c>
      <c r="R239" s="9" t="n">
        <v>171.59</v>
      </c>
      <c r="S239" s="9" t="n">
        <v>37.4</v>
      </c>
      <c r="T239" s="10" t="n">
        <v>0.179</v>
      </c>
    </row>
    <row r="240">
      <c r="A240" s="7" t="inlineStr">
        <is>
          <t>ORD-2024-1194</t>
        </is>
      </c>
      <c r="B240" s="7" t="inlineStr">
        <is>
          <t>2024-04-17</t>
        </is>
      </c>
      <c r="C240" s="7" t="inlineStr">
        <is>
          <t>OFF-STR-001</t>
        </is>
      </c>
      <c r="D240" s="7" t="inlineStr">
        <is>
          <t>SteelLock 3-Drawer File Cabinet</t>
        </is>
      </c>
      <c r="E240" s="7" t="inlineStr">
        <is>
          <t>Office Supplies</t>
        </is>
      </c>
      <c r="F240" s="7" t="inlineStr">
        <is>
          <t>Storage &amp; Organizers</t>
        </is>
      </c>
      <c r="G240" s="7" t="inlineStr">
        <is>
          <t>South</t>
        </is>
      </c>
      <c r="H240" s="7" t="inlineStr">
        <is>
          <t>Virginia</t>
        </is>
      </c>
      <c r="I240" s="7" t="inlineStr">
        <is>
          <t>Retail Partner</t>
        </is>
      </c>
      <c r="J240" s="7" t="inlineStr">
        <is>
          <t>Corporate</t>
        </is>
      </c>
      <c r="K240" s="8" t="n">
        <v>2</v>
      </c>
      <c r="L240" s="9" t="n">
        <v>169.99</v>
      </c>
      <c r="M240" s="10" t="n">
        <v>0.05</v>
      </c>
      <c r="N240" s="9" t="n">
        <v>115.59</v>
      </c>
      <c r="O240" s="9" t="n">
        <v>339.98</v>
      </c>
      <c r="P240" s="9" t="n">
        <v>17</v>
      </c>
      <c r="Q240" s="9" t="n">
        <v>322.98</v>
      </c>
      <c r="R240" s="9" t="n">
        <v>231.18</v>
      </c>
      <c r="S240" s="9" t="n">
        <v>91.8</v>
      </c>
      <c r="T240" s="10" t="n">
        <v>0.2842</v>
      </c>
    </row>
    <row r="241">
      <c r="A241" s="7" t="inlineStr">
        <is>
          <t>ORD-2024-1194</t>
        </is>
      </c>
      <c r="B241" s="7" t="inlineStr">
        <is>
          <t>2024-04-17</t>
        </is>
      </c>
      <c r="C241" s="7" t="inlineStr">
        <is>
          <t>OFF-ART-006</t>
        </is>
      </c>
      <c r="D241" s="7" t="inlineStr">
        <is>
          <t>Professional Presentation Dry Erase Board</t>
        </is>
      </c>
      <c r="E241" s="7" t="inlineStr">
        <is>
          <t>Office Supplies</t>
        </is>
      </c>
      <c r="F241" s="7" t="inlineStr">
        <is>
          <t>Presentation &amp; Art</t>
        </is>
      </c>
      <c r="G241" s="7" t="inlineStr">
        <is>
          <t>South</t>
        </is>
      </c>
      <c r="H241" s="7" t="inlineStr">
        <is>
          <t>Virginia</t>
        </is>
      </c>
      <c r="I241" s="7" t="inlineStr">
        <is>
          <t>Retail Partner</t>
        </is>
      </c>
      <c r="J241" s="7" t="inlineStr">
        <is>
          <t>Corporate</t>
        </is>
      </c>
      <c r="K241" s="8" t="n">
        <v>2</v>
      </c>
      <c r="L241" s="9" t="n">
        <v>89.98999999999999</v>
      </c>
      <c r="M241" s="10" t="n">
        <v>0.05</v>
      </c>
      <c r="N241" s="9" t="n">
        <v>53.99</v>
      </c>
      <c r="O241" s="9" t="n">
        <v>179.98</v>
      </c>
      <c r="P241" s="9" t="n">
        <v>9</v>
      </c>
      <c r="Q241" s="9" t="n">
        <v>170.98</v>
      </c>
      <c r="R241" s="9" t="n">
        <v>107.98</v>
      </c>
      <c r="S241" s="9" t="n">
        <v>63</v>
      </c>
      <c r="T241" s="10" t="n">
        <v>0.3685</v>
      </c>
    </row>
    <row r="242">
      <c r="A242" s="7" t="inlineStr">
        <is>
          <t>ORD-2024-1526</t>
        </is>
      </c>
      <c r="B242" s="7" t="inlineStr">
        <is>
          <t>2024-04-17</t>
        </is>
      </c>
      <c r="C242" s="7" t="inlineStr">
        <is>
          <t>OFF-STR-001</t>
        </is>
      </c>
      <c r="D242" s="7" t="inlineStr">
        <is>
          <t>SteelLock 3-Drawer File Cabinet</t>
        </is>
      </c>
      <c r="E242" s="7" t="inlineStr">
        <is>
          <t>Office Supplies</t>
        </is>
      </c>
      <c r="F242" s="7" t="inlineStr">
        <is>
          <t>Storage &amp; Organizers</t>
        </is>
      </c>
      <c r="G242" s="7" t="inlineStr">
        <is>
          <t>West</t>
        </is>
      </c>
      <c r="H242" s="7" t="inlineStr">
        <is>
          <t>Colorado</t>
        </is>
      </c>
      <c r="I242" s="7" t="inlineStr">
        <is>
          <t>Online</t>
        </is>
      </c>
      <c r="J242" s="7" t="inlineStr">
        <is>
          <t>Consumer</t>
        </is>
      </c>
      <c r="K242" s="8" t="n">
        <v>1</v>
      </c>
      <c r="L242" s="9" t="n">
        <v>169.99</v>
      </c>
      <c r="M242" s="10" t="n">
        <v>0.1</v>
      </c>
      <c r="N242" s="9" t="n">
        <v>115.59</v>
      </c>
      <c r="O242" s="9" t="n">
        <v>169.99</v>
      </c>
      <c r="P242" s="9" t="n">
        <v>17</v>
      </c>
      <c r="Q242" s="9" t="n">
        <v>152.99</v>
      </c>
      <c r="R242" s="9" t="n">
        <v>115.59</v>
      </c>
      <c r="S242" s="9" t="n">
        <v>37.4</v>
      </c>
      <c r="T242" s="10" t="n">
        <v>0.2445</v>
      </c>
    </row>
    <row r="243">
      <c r="A243" s="7" t="inlineStr">
        <is>
          <t>ORD-2024-1221</t>
        </is>
      </c>
      <c r="B243" s="7" t="inlineStr">
        <is>
          <t>2024-04-18</t>
        </is>
      </c>
      <c r="C243" s="7" t="inlineStr">
        <is>
          <t>FUR-DSK-004</t>
        </is>
      </c>
      <c r="D243" s="7" t="inlineStr">
        <is>
          <t>Metro Compact Corner Workstation</t>
        </is>
      </c>
      <c r="E243" s="7" t="inlineStr">
        <is>
          <t>Furniture</t>
        </is>
      </c>
      <c r="F243" s="7" t="inlineStr">
        <is>
          <t>Desks &amp; Workstations</t>
        </is>
      </c>
      <c r="G243" s="7" t="inlineStr">
        <is>
          <t>West</t>
        </is>
      </c>
      <c r="H243" s="7" t="inlineStr">
        <is>
          <t>Colorado</t>
        </is>
      </c>
      <c r="I243" s="7" t="inlineStr">
        <is>
          <t>Online</t>
        </is>
      </c>
      <c r="J243" s="7" t="inlineStr">
        <is>
          <t>Consumer</t>
        </is>
      </c>
      <c r="K243" s="8" t="n">
        <v>3</v>
      </c>
      <c r="L243" s="9" t="n">
        <v>329.99</v>
      </c>
      <c r="M243" s="10" t="n">
        <v>0.1</v>
      </c>
      <c r="N243" s="9" t="n">
        <v>250.79</v>
      </c>
      <c r="O243" s="9" t="n">
        <v>989.97</v>
      </c>
      <c r="P243" s="9" t="n">
        <v>99</v>
      </c>
      <c r="Q243" s="9" t="n">
        <v>890.97</v>
      </c>
      <c r="R243" s="9" t="n">
        <v>752.37</v>
      </c>
      <c r="S243" s="9" t="n">
        <v>138.6</v>
      </c>
      <c r="T243" s="10" t="n">
        <v>0.1556</v>
      </c>
    </row>
    <row r="244">
      <c r="A244" s="7" t="inlineStr">
        <is>
          <t>ORD-2024-1251</t>
        </is>
      </c>
      <c r="B244" s="7" t="inlineStr">
        <is>
          <t>2024-04-20</t>
        </is>
      </c>
      <c r="C244" s="7" t="inlineStr">
        <is>
          <t>TEC-ACC-008</t>
        </is>
      </c>
      <c r="D244" s="7" t="inlineStr">
        <is>
          <t>Precision Laser Bluetooth Mouse</t>
        </is>
      </c>
      <c r="E244" s="7" t="inlineStr">
        <is>
          <t>Technology</t>
        </is>
      </c>
      <c r="F244" s="7" t="inlineStr">
        <is>
          <t>Audio &amp; Accessories</t>
        </is>
      </c>
      <c r="G244" s="7" t="inlineStr">
        <is>
          <t>East</t>
        </is>
      </c>
      <c r="H244" s="7" t="inlineStr">
        <is>
          <t>Massachusetts</t>
        </is>
      </c>
      <c r="I244" s="7" t="inlineStr">
        <is>
          <t>Online</t>
        </is>
      </c>
      <c r="J244" s="7" t="inlineStr">
        <is>
          <t>Corporate</t>
        </is>
      </c>
      <c r="K244" s="8" t="n">
        <v>7</v>
      </c>
      <c r="L244" s="9" t="n">
        <v>49.99</v>
      </c>
      <c r="M244" s="10" t="n">
        <v>0.1</v>
      </c>
      <c r="N244" s="9" t="n">
        <v>27.49</v>
      </c>
      <c r="O244" s="9" t="n">
        <v>349.93</v>
      </c>
      <c r="P244" s="9" t="n">
        <v>34.99</v>
      </c>
      <c r="Q244" s="9" t="n">
        <v>314.94</v>
      </c>
      <c r="R244" s="9" t="n">
        <v>192.43</v>
      </c>
      <c r="S244" s="9" t="n">
        <v>122.51</v>
      </c>
      <c r="T244" s="10" t="n">
        <v>0.389</v>
      </c>
    </row>
    <row r="245">
      <c r="A245" s="7" t="inlineStr">
        <is>
          <t>ORD-2024-1437</t>
        </is>
      </c>
      <c r="B245" s="7" t="inlineStr">
        <is>
          <t>2024-04-20</t>
        </is>
      </c>
      <c r="C245" s="7" t="inlineStr">
        <is>
          <t>OFF-PAP-003</t>
        </is>
      </c>
      <c r="D245" s="7" t="inlineStr">
        <is>
          <t>UltraWhite Premium Multipurpose Paper (Case)</t>
        </is>
      </c>
      <c r="E245" s="7" t="inlineStr">
        <is>
          <t>Office Supplies</t>
        </is>
      </c>
      <c r="F245" s="7" t="inlineStr">
        <is>
          <t>Paper Products</t>
        </is>
      </c>
      <c r="G245" s="7" t="inlineStr">
        <is>
          <t>South</t>
        </is>
      </c>
      <c r="H245" s="7" t="inlineStr">
        <is>
          <t>Florida</t>
        </is>
      </c>
      <c r="I245" s="7" t="inlineStr">
        <is>
          <t>Wholesale</t>
        </is>
      </c>
      <c r="J245" s="7" t="inlineStr">
        <is>
          <t>Corporate</t>
        </is>
      </c>
      <c r="K245" s="8" t="n">
        <v>15</v>
      </c>
      <c r="L245" s="9" t="n">
        <v>54.99</v>
      </c>
      <c r="M245" s="10" t="n">
        <v>0.15</v>
      </c>
      <c r="N245" s="9" t="n">
        <v>31.89</v>
      </c>
      <c r="O245" s="9" t="n">
        <v>824.85</v>
      </c>
      <c r="P245" s="9" t="n">
        <v>123.73</v>
      </c>
      <c r="Q245" s="9" t="n">
        <v>701.12</v>
      </c>
      <c r="R245" s="9" t="n">
        <v>478.35</v>
      </c>
      <c r="S245" s="9" t="n">
        <v>222.77</v>
      </c>
      <c r="T245" s="10" t="n">
        <v>0.3177</v>
      </c>
    </row>
    <row r="246">
      <c r="A246" s="7" t="inlineStr">
        <is>
          <t>ORD-2024-1437</t>
        </is>
      </c>
      <c r="B246" s="7" t="inlineStr">
        <is>
          <t>2024-04-20</t>
        </is>
      </c>
      <c r="C246" s="7" t="inlineStr">
        <is>
          <t>TEC-ACC-006</t>
        </is>
      </c>
      <c r="D246" s="7" t="inlineStr">
        <is>
          <t>MultiPort Thunderbolt 4 Dock</t>
        </is>
      </c>
      <c r="E246" s="7" t="inlineStr">
        <is>
          <t>Technology</t>
        </is>
      </c>
      <c r="F246" s="7" t="inlineStr">
        <is>
          <t>Audio &amp; Accessories</t>
        </is>
      </c>
      <c r="G246" s="7" t="inlineStr">
        <is>
          <t>South</t>
        </is>
      </c>
      <c r="H246" s="7" t="inlineStr">
        <is>
          <t>Florida</t>
        </is>
      </c>
      <c r="I246" s="7" t="inlineStr">
        <is>
          <t>Wholesale</t>
        </is>
      </c>
      <c r="J246" s="7" t="inlineStr">
        <is>
          <t>Corporate</t>
        </is>
      </c>
      <c r="K246" s="8" t="n">
        <v>14</v>
      </c>
      <c r="L246" s="9" t="n">
        <v>149.99</v>
      </c>
      <c r="M246" s="10" t="n">
        <v>0.1</v>
      </c>
      <c r="N246" s="9" t="n">
        <v>98.98999999999999</v>
      </c>
      <c r="O246" s="9" t="n">
        <v>2099.86</v>
      </c>
      <c r="P246" s="9" t="n">
        <v>209.99</v>
      </c>
      <c r="Q246" s="9" t="n">
        <v>1889.87</v>
      </c>
      <c r="R246" s="9" t="n">
        <v>1385.86</v>
      </c>
      <c r="S246" s="9" t="n">
        <v>504.01</v>
      </c>
      <c r="T246" s="10" t="n">
        <v>0.2667</v>
      </c>
    </row>
    <row r="247">
      <c r="A247" s="7" t="inlineStr">
        <is>
          <t>ORD-2024-1437</t>
        </is>
      </c>
      <c r="B247" s="7" t="inlineStr">
        <is>
          <t>2024-04-20</t>
        </is>
      </c>
      <c r="C247" s="7" t="inlineStr">
        <is>
          <t>OFF-BIN-005</t>
        </is>
      </c>
      <c r="D247" s="7" t="inlineStr">
        <is>
          <t>Heavy-Duty D-Ring Presentation Binder (6-Pk)</t>
        </is>
      </c>
      <c r="E247" s="7" t="inlineStr">
        <is>
          <t>Office Supplies</t>
        </is>
      </c>
      <c r="F247" s="7" t="inlineStr">
        <is>
          <t>Binders &amp; Fasteners</t>
        </is>
      </c>
      <c r="G247" s="7" t="inlineStr">
        <is>
          <t>South</t>
        </is>
      </c>
      <c r="H247" s="7" t="inlineStr">
        <is>
          <t>Florida</t>
        </is>
      </c>
      <c r="I247" s="7" t="inlineStr">
        <is>
          <t>Wholesale</t>
        </is>
      </c>
      <c r="J247" s="7" t="inlineStr">
        <is>
          <t>Corporate</t>
        </is>
      </c>
      <c r="K247" s="8" t="n">
        <v>7</v>
      </c>
      <c r="L247" s="9" t="n">
        <v>27.99</v>
      </c>
      <c r="M247" s="10" t="n">
        <v>0.15</v>
      </c>
      <c r="N247" s="9" t="n">
        <v>13.99</v>
      </c>
      <c r="O247" s="9" t="n">
        <v>195.93</v>
      </c>
      <c r="P247" s="9" t="n">
        <v>29.39</v>
      </c>
      <c r="Q247" s="9" t="n">
        <v>166.54</v>
      </c>
      <c r="R247" s="9" t="n">
        <v>97.93000000000001</v>
      </c>
      <c r="S247" s="9" t="n">
        <v>68.61</v>
      </c>
      <c r="T247" s="10" t="n">
        <v>0.412</v>
      </c>
    </row>
    <row r="248">
      <c r="A248" s="7" t="inlineStr">
        <is>
          <t>ORD-2024-1437</t>
        </is>
      </c>
      <c r="B248" s="7" t="inlineStr">
        <is>
          <t>2024-04-20</t>
        </is>
      </c>
      <c r="C248" s="7" t="inlineStr">
        <is>
          <t>TEC-ACC-006</t>
        </is>
      </c>
      <c r="D248" s="7" t="inlineStr">
        <is>
          <t>MultiPort Thunderbolt 4 Dock</t>
        </is>
      </c>
      <c r="E248" s="7" t="inlineStr">
        <is>
          <t>Technology</t>
        </is>
      </c>
      <c r="F248" s="7" t="inlineStr">
        <is>
          <t>Audio &amp; Accessories</t>
        </is>
      </c>
      <c r="G248" s="7" t="inlineStr">
        <is>
          <t>South</t>
        </is>
      </c>
      <c r="H248" s="7" t="inlineStr">
        <is>
          <t>Florida</t>
        </is>
      </c>
      <c r="I248" s="7" t="inlineStr">
        <is>
          <t>Wholesale</t>
        </is>
      </c>
      <c r="J248" s="7" t="inlineStr">
        <is>
          <t>Corporate</t>
        </is>
      </c>
      <c r="K248" s="8" t="n">
        <v>15</v>
      </c>
      <c r="L248" s="9" t="n">
        <v>149.99</v>
      </c>
      <c r="M248" s="10" t="n">
        <v>0.15</v>
      </c>
      <c r="N248" s="9" t="n">
        <v>98.98999999999999</v>
      </c>
      <c r="O248" s="9" t="n">
        <v>2249.85</v>
      </c>
      <c r="P248" s="9" t="n">
        <v>337.48</v>
      </c>
      <c r="Q248" s="9" t="n">
        <v>1912.37</v>
      </c>
      <c r="R248" s="9" t="n">
        <v>1484.85</v>
      </c>
      <c r="S248" s="9" t="n">
        <v>427.52</v>
      </c>
      <c r="T248" s="10" t="n">
        <v>0.2236</v>
      </c>
    </row>
    <row r="249">
      <c r="A249" s="7" t="inlineStr">
        <is>
          <t>ORD-2024-1093</t>
        </is>
      </c>
      <c r="B249" s="7" t="inlineStr">
        <is>
          <t>2024-04-21</t>
        </is>
      </c>
      <c r="C249" s="7" t="inlineStr">
        <is>
          <t>OFF-DSK-008</t>
        </is>
      </c>
      <c r="D249" s="7" t="inlineStr">
        <is>
          <t>Steel Desktop Mesh Organizer Caddy</t>
        </is>
      </c>
      <c r="E249" s="7" t="inlineStr">
        <is>
          <t>Office Supplies</t>
        </is>
      </c>
      <c r="F249" s="7" t="inlineStr">
        <is>
          <t>Desk Supplies</t>
        </is>
      </c>
      <c r="G249" s="7" t="inlineStr">
        <is>
          <t>West</t>
        </is>
      </c>
      <c r="H249" s="7" t="inlineStr">
        <is>
          <t>Colorado</t>
        </is>
      </c>
      <c r="I249" s="7" t="inlineStr">
        <is>
          <t>Online</t>
        </is>
      </c>
      <c r="J249" s="7" t="inlineStr">
        <is>
          <t>Consumer</t>
        </is>
      </c>
      <c r="K249" s="8" t="n">
        <v>3</v>
      </c>
      <c r="L249" s="9" t="n">
        <v>18.99</v>
      </c>
      <c r="M249" s="10" t="n">
        <v>0</v>
      </c>
      <c r="N249" s="9" t="n">
        <v>8.550000000000001</v>
      </c>
      <c r="O249" s="9" t="n">
        <v>56.97</v>
      </c>
      <c r="P249" s="9" t="n">
        <v>0</v>
      </c>
      <c r="Q249" s="9" t="n">
        <v>56.97</v>
      </c>
      <c r="R249" s="9" t="n">
        <v>25.65</v>
      </c>
      <c r="S249" s="9" t="n">
        <v>31.32</v>
      </c>
      <c r="T249" s="10" t="n">
        <v>0.5498</v>
      </c>
    </row>
    <row r="250">
      <c r="A250" s="7" t="inlineStr">
        <is>
          <t>ORD-2024-1442</t>
        </is>
      </c>
      <c r="B250" s="7" t="inlineStr">
        <is>
          <t>2024-04-21</t>
        </is>
      </c>
      <c r="C250" s="7" t="inlineStr">
        <is>
          <t>OFF-STR-002</t>
        </is>
      </c>
      <c r="D250" s="7" t="inlineStr">
        <is>
          <t>Stackable Heavy-Duty Storage Bins (4-Pk)</t>
        </is>
      </c>
      <c r="E250" s="7" t="inlineStr">
        <is>
          <t>Office Supplies</t>
        </is>
      </c>
      <c r="F250" s="7" t="inlineStr">
        <is>
          <t>Storage &amp; Organizers</t>
        </is>
      </c>
      <c r="G250" s="7" t="inlineStr">
        <is>
          <t>Central</t>
        </is>
      </c>
      <c r="H250" s="7" t="inlineStr">
        <is>
          <t>Ohio</t>
        </is>
      </c>
      <c r="I250" s="7" t="inlineStr">
        <is>
          <t>Online</t>
        </is>
      </c>
      <c r="J250" s="7" t="inlineStr">
        <is>
          <t>Consumer</t>
        </is>
      </c>
      <c r="K250" s="8" t="n">
        <v>2</v>
      </c>
      <c r="L250" s="9" t="n">
        <v>44.99</v>
      </c>
      <c r="M250" s="10" t="n">
        <v>0.05</v>
      </c>
      <c r="N250" s="9" t="n">
        <v>24.74</v>
      </c>
      <c r="O250" s="9" t="n">
        <v>89.98</v>
      </c>
      <c r="P250" s="9" t="n">
        <v>4.5</v>
      </c>
      <c r="Q250" s="9" t="n">
        <v>85.48</v>
      </c>
      <c r="R250" s="9" t="n">
        <v>49.48</v>
      </c>
      <c r="S250" s="9" t="n">
        <v>36</v>
      </c>
      <c r="T250" s="10" t="n">
        <v>0.4212</v>
      </c>
    </row>
    <row r="251">
      <c r="A251" s="7" t="inlineStr">
        <is>
          <t>ORD-2024-1442</t>
        </is>
      </c>
      <c r="B251" s="7" t="inlineStr">
        <is>
          <t>2024-04-21</t>
        </is>
      </c>
      <c r="C251" s="7" t="inlineStr">
        <is>
          <t>OFF-DSK-008</t>
        </is>
      </c>
      <c r="D251" s="7" t="inlineStr">
        <is>
          <t>Steel Desktop Mesh Organizer Caddy</t>
        </is>
      </c>
      <c r="E251" s="7" t="inlineStr">
        <is>
          <t>Office Supplies</t>
        </is>
      </c>
      <c r="F251" s="7" t="inlineStr">
        <is>
          <t>Desk Supplies</t>
        </is>
      </c>
      <c r="G251" s="7" t="inlineStr">
        <is>
          <t>Central</t>
        </is>
      </c>
      <c r="H251" s="7" t="inlineStr">
        <is>
          <t>Ohio</t>
        </is>
      </c>
      <c r="I251" s="7" t="inlineStr">
        <is>
          <t>Online</t>
        </is>
      </c>
      <c r="J251" s="7" t="inlineStr">
        <is>
          <t>Consumer</t>
        </is>
      </c>
      <c r="K251" s="8" t="n">
        <v>4</v>
      </c>
      <c r="L251" s="9" t="n">
        <v>18.99</v>
      </c>
      <c r="M251" s="10" t="n">
        <v>0</v>
      </c>
      <c r="N251" s="9" t="n">
        <v>8.550000000000001</v>
      </c>
      <c r="O251" s="9" t="n">
        <v>75.95999999999999</v>
      </c>
      <c r="P251" s="9" t="n">
        <v>0</v>
      </c>
      <c r="Q251" s="9" t="n">
        <v>75.95999999999999</v>
      </c>
      <c r="R251" s="9" t="n">
        <v>34.2</v>
      </c>
      <c r="S251" s="9" t="n">
        <v>41.76</v>
      </c>
      <c r="T251" s="10" t="n">
        <v>0.5498</v>
      </c>
    </row>
    <row r="252">
      <c r="A252" s="7" t="inlineStr">
        <is>
          <t>ORD-2024-1537</t>
        </is>
      </c>
      <c r="B252" s="7" t="inlineStr">
        <is>
          <t>2024-04-22</t>
        </is>
      </c>
      <c r="C252" s="7" t="inlineStr">
        <is>
          <t>OFF-PAP-004</t>
        </is>
      </c>
      <c r="D252" s="7" t="inlineStr">
        <is>
          <t>EcoRecycled Copy Paper (5 Reams)</t>
        </is>
      </c>
      <c r="E252" s="7" t="inlineStr">
        <is>
          <t>Office Supplies</t>
        </is>
      </c>
      <c r="F252" s="7" t="inlineStr">
        <is>
          <t>Paper Products</t>
        </is>
      </c>
      <c r="G252" s="7" t="inlineStr">
        <is>
          <t>West</t>
        </is>
      </c>
      <c r="H252" s="7" t="inlineStr">
        <is>
          <t>Colorado</t>
        </is>
      </c>
      <c r="I252" s="7" t="inlineStr">
        <is>
          <t>Retail Partner</t>
        </is>
      </c>
      <c r="J252" s="7" t="inlineStr">
        <is>
          <t>Corporate</t>
        </is>
      </c>
      <c r="K252" s="8" t="n">
        <v>5</v>
      </c>
      <c r="L252" s="9" t="n">
        <v>32.99</v>
      </c>
      <c r="M252" s="10" t="n">
        <v>0</v>
      </c>
      <c r="N252" s="9" t="n">
        <v>19.79</v>
      </c>
      <c r="O252" s="9" t="n">
        <v>164.95</v>
      </c>
      <c r="P252" s="9" t="n">
        <v>0</v>
      </c>
      <c r="Q252" s="9" t="n">
        <v>164.95</v>
      </c>
      <c r="R252" s="9" t="n">
        <v>98.95</v>
      </c>
      <c r="S252" s="9" t="n">
        <v>66</v>
      </c>
      <c r="T252" s="10" t="n">
        <v>0.4001</v>
      </c>
    </row>
    <row r="253">
      <c r="A253" s="7" t="inlineStr">
        <is>
          <t>ORD-2024-1537</t>
        </is>
      </c>
      <c r="B253" s="7" t="inlineStr">
        <is>
          <t>2024-04-22</t>
        </is>
      </c>
      <c r="C253" s="7" t="inlineStr">
        <is>
          <t>TEC-ACC-008</t>
        </is>
      </c>
      <c r="D253" s="7" t="inlineStr">
        <is>
          <t>Precision Laser Bluetooth Mouse</t>
        </is>
      </c>
      <c r="E253" s="7" t="inlineStr">
        <is>
          <t>Technology</t>
        </is>
      </c>
      <c r="F253" s="7" t="inlineStr">
        <is>
          <t>Audio &amp; Accessories</t>
        </is>
      </c>
      <c r="G253" s="7" t="inlineStr">
        <is>
          <t>West</t>
        </is>
      </c>
      <c r="H253" s="7" t="inlineStr">
        <is>
          <t>Colorado</t>
        </is>
      </c>
      <c r="I253" s="7" t="inlineStr">
        <is>
          <t>Retail Partner</t>
        </is>
      </c>
      <c r="J253" s="7" t="inlineStr">
        <is>
          <t>Corporate</t>
        </is>
      </c>
      <c r="K253" s="8" t="n">
        <v>3</v>
      </c>
      <c r="L253" s="9" t="n">
        <v>49.99</v>
      </c>
      <c r="M253" s="10" t="n">
        <v>0.1</v>
      </c>
      <c r="N253" s="9" t="n">
        <v>27.49</v>
      </c>
      <c r="O253" s="9" t="n">
        <v>149.97</v>
      </c>
      <c r="P253" s="9" t="n">
        <v>15</v>
      </c>
      <c r="Q253" s="9" t="n">
        <v>134.97</v>
      </c>
      <c r="R253" s="9" t="n">
        <v>82.47</v>
      </c>
      <c r="S253" s="9" t="n">
        <v>52.5</v>
      </c>
      <c r="T253" s="10" t="n">
        <v>0.389</v>
      </c>
    </row>
    <row r="254">
      <c r="A254" s="7" t="inlineStr">
        <is>
          <t>ORD-2024-1655</t>
        </is>
      </c>
      <c r="B254" s="7" t="inlineStr">
        <is>
          <t>2024-04-23</t>
        </is>
      </c>
      <c r="C254" s="7" t="inlineStr">
        <is>
          <t>TEC-ACC-007</t>
        </is>
      </c>
      <c r="D254" s="7" t="inlineStr">
        <is>
          <t>ErgoMechanical Wireless Keyboard</t>
        </is>
      </c>
      <c r="E254" s="7" t="inlineStr">
        <is>
          <t>Technology</t>
        </is>
      </c>
      <c r="F254" s="7" t="inlineStr">
        <is>
          <t>Audio &amp; Accessories</t>
        </is>
      </c>
      <c r="G254" s="7" t="inlineStr">
        <is>
          <t>West</t>
        </is>
      </c>
      <c r="H254" s="7" t="inlineStr">
        <is>
          <t>Washington</t>
        </is>
      </c>
      <c r="I254" s="7" t="inlineStr">
        <is>
          <t>Online</t>
        </is>
      </c>
      <c r="J254" s="7" t="inlineStr">
        <is>
          <t>Consumer</t>
        </is>
      </c>
      <c r="K254" s="8" t="n">
        <v>3</v>
      </c>
      <c r="L254" s="9" t="n">
        <v>109.99</v>
      </c>
      <c r="M254" s="10" t="n">
        <v>0.15</v>
      </c>
      <c r="N254" s="9" t="n">
        <v>65.98999999999999</v>
      </c>
      <c r="O254" s="9" t="n">
        <v>329.97</v>
      </c>
      <c r="P254" s="9" t="n">
        <v>49.5</v>
      </c>
      <c r="Q254" s="9" t="n">
        <v>280.47</v>
      </c>
      <c r="R254" s="9" t="n">
        <v>197.97</v>
      </c>
      <c r="S254" s="9" t="n">
        <v>82.5</v>
      </c>
      <c r="T254" s="10" t="n">
        <v>0.2941</v>
      </c>
    </row>
    <row r="255">
      <c r="A255" s="7" t="inlineStr">
        <is>
          <t>ORD-2024-1687</t>
        </is>
      </c>
      <c r="B255" s="7" t="inlineStr">
        <is>
          <t>2024-04-23</t>
        </is>
      </c>
      <c r="C255" s="7" t="inlineStr">
        <is>
          <t>TEC-ACC-008</t>
        </is>
      </c>
      <c r="D255" s="7" t="inlineStr">
        <is>
          <t>Precision Laser Bluetooth Mouse</t>
        </is>
      </c>
      <c r="E255" s="7" t="inlineStr">
        <is>
          <t>Technology</t>
        </is>
      </c>
      <c r="F255" s="7" t="inlineStr">
        <is>
          <t>Audio &amp; Accessories</t>
        </is>
      </c>
      <c r="G255" s="7" t="inlineStr">
        <is>
          <t>West</t>
        </is>
      </c>
      <c r="H255" s="7" t="inlineStr">
        <is>
          <t>Washington</t>
        </is>
      </c>
      <c r="I255" s="7" t="inlineStr">
        <is>
          <t>Online</t>
        </is>
      </c>
      <c r="J255" s="7" t="inlineStr">
        <is>
          <t>Consumer</t>
        </is>
      </c>
      <c r="K255" s="8" t="n">
        <v>2</v>
      </c>
      <c r="L255" s="9" t="n">
        <v>49.99</v>
      </c>
      <c r="M255" s="10" t="n">
        <v>0</v>
      </c>
      <c r="N255" s="9" t="n">
        <v>27.49</v>
      </c>
      <c r="O255" s="9" t="n">
        <v>99.98</v>
      </c>
      <c r="P255" s="9" t="n">
        <v>0</v>
      </c>
      <c r="Q255" s="9" t="n">
        <v>99.98</v>
      </c>
      <c r="R255" s="9" t="n">
        <v>54.98</v>
      </c>
      <c r="S255" s="9" t="n">
        <v>45</v>
      </c>
      <c r="T255" s="10" t="n">
        <v>0.4501</v>
      </c>
    </row>
    <row r="256">
      <c r="A256" s="7" t="inlineStr">
        <is>
          <t>ORD-2024-1171</t>
        </is>
      </c>
      <c r="B256" s="7" t="inlineStr">
        <is>
          <t>2024-04-24</t>
        </is>
      </c>
      <c r="C256" s="7" t="inlineStr">
        <is>
          <t>TEC-ACC-007</t>
        </is>
      </c>
      <c r="D256" s="7" t="inlineStr">
        <is>
          <t>ErgoMechanical Wireless Keyboard</t>
        </is>
      </c>
      <c r="E256" s="7" t="inlineStr">
        <is>
          <t>Technology</t>
        </is>
      </c>
      <c r="F256" s="7" t="inlineStr">
        <is>
          <t>Audio &amp; Accessories</t>
        </is>
      </c>
      <c r="G256" s="7" t="inlineStr">
        <is>
          <t>South</t>
        </is>
      </c>
      <c r="H256" s="7" t="inlineStr">
        <is>
          <t>Georgia</t>
        </is>
      </c>
      <c r="I256" s="7" t="inlineStr">
        <is>
          <t>Direct Sales</t>
        </is>
      </c>
      <c r="J256" s="7" t="inlineStr">
        <is>
          <t>Corporate</t>
        </is>
      </c>
      <c r="K256" s="8" t="n">
        <v>3</v>
      </c>
      <c r="L256" s="9" t="n">
        <v>109.99</v>
      </c>
      <c r="M256" s="10" t="n">
        <v>0</v>
      </c>
      <c r="N256" s="9" t="n">
        <v>65.98999999999999</v>
      </c>
      <c r="O256" s="9" t="n">
        <v>329.97</v>
      </c>
      <c r="P256" s="9" t="n">
        <v>0</v>
      </c>
      <c r="Q256" s="9" t="n">
        <v>329.97</v>
      </c>
      <c r="R256" s="9" t="n">
        <v>197.97</v>
      </c>
      <c r="S256" s="9" t="n">
        <v>132</v>
      </c>
      <c r="T256" s="10" t="n">
        <v>0.4</v>
      </c>
    </row>
    <row r="257">
      <c r="A257" s="7" t="inlineStr">
        <is>
          <t>ORD-2024-1290</t>
        </is>
      </c>
      <c r="B257" s="7" t="inlineStr">
        <is>
          <t>2024-04-24</t>
        </is>
      </c>
      <c r="C257" s="7" t="inlineStr">
        <is>
          <t>OFF-STR-001</t>
        </is>
      </c>
      <c r="D257" s="7" t="inlineStr">
        <is>
          <t>SteelLock 3-Drawer File Cabinet</t>
        </is>
      </c>
      <c r="E257" s="7" t="inlineStr">
        <is>
          <t>Office Supplies</t>
        </is>
      </c>
      <c r="F257" s="7" t="inlineStr">
        <is>
          <t>Storage &amp; Organizers</t>
        </is>
      </c>
      <c r="G257" s="7" t="inlineStr">
        <is>
          <t>South</t>
        </is>
      </c>
      <c r="H257" s="7" t="inlineStr">
        <is>
          <t>North Carolina</t>
        </is>
      </c>
      <c r="I257" s="7" t="inlineStr">
        <is>
          <t>Direct Sales</t>
        </is>
      </c>
      <c r="J257" s="7" t="inlineStr">
        <is>
          <t>Consumer</t>
        </is>
      </c>
      <c r="K257" s="8" t="n">
        <v>1</v>
      </c>
      <c r="L257" s="9" t="n">
        <v>169.99</v>
      </c>
      <c r="M257" s="10" t="n">
        <v>0.1</v>
      </c>
      <c r="N257" s="9" t="n">
        <v>115.59</v>
      </c>
      <c r="O257" s="9" t="n">
        <v>169.99</v>
      </c>
      <c r="P257" s="9" t="n">
        <v>17</v>
      </c>
      <c r="Q257" s="9" t="n">
        <v>152.99</v>
      </c>
      <c r="R257" s="9" t="n">
        <v>115.59</v>
      </c>
      <c r="S257" s="9" t="n">
        <v>37.4</v>
      </c>
      <c r="T257" s="10" t="n">
        <v>0.2445</v>
      </c>
    </row>
    <row r="258">
      <c r="A258" s="7" t="inlineStr">
        <is>
          <t>ORD-2024-1290</t>
        </is>
      </c>
      <c r="B258" s="7" t="inlineStr">
        <is>
          <t>2024-04-24</t>
        </is>
      </c>
      <c r="C258" s="7" t="inlineStr">
        <is>
          <t>TEC-LAP-002</t>
        </is>
      </c>
      <c r="D258" s="7" t="inlineStr">
        <is>
          <t>Apex Gaming Laptop 17"</t>
        </is>
      </c>
      <c r="E258" s="7" t="inlineStr">
        <is>
          <t>Technology</t>
        </is>
      </c>
      <c r="F258" s="7" t="inlineStr">
        <is>
          <t>Laptops</t>
        </is>
      </c>
      <c r="G258" s="7" t="inlineStr">
        <is>
          <t>South</t>
        </is>
      </c>
      <c r="H258" s="7" t="inlineStr">
        <is>
          <t>North Carolina</t>
        </is>
      </c>
      <c r="I258" s="7" t="inlineStr">
        <is>
          <t>Direct Sales</t>
        </is>
      </c>
      <c r="J258" s="7" t="inlineStr">
        <is>
          <t>Consumer</t>
        </is>
      </c>
      <c r="K258" s="8" t="n">
        <v>4</v>
      </c>
      <c r="L258" s="9" t="n">
        <v>1499.99</v>
      </c>
      <c r="M258" s="10" t="n">
        <v>0.25</v>
      </c>
      <c r="N258" s="9" t="n">
        <v>1259.99</v>
      </c>
      <c r="O258" s="9" t="n">
        <v>5999.96</v>
      </c>
      <c r="P258" s="9" t="n">
        <v>1499.99</v>
      </c>
      <c r="Q258" s="9" t="n">
        <v>4499.97</v>
      </c>
      <c r="R258" s="9" t="n">
        <v>5039.96</v>
      </c>
      <c r="S258" s="9" t="n">
        <v>-539.99</v>
      </c>
      <c r="T258" s="10" t="n">
        <v>-0.12</v>
      </c>
    </row>
    <row r="259">
      <c r="A259" s="7" t="inlineStr">
        <is>
          <t>ORD-2024-1719</t>
        </is>
      </c>
      <c r="B259" s="7" t="inlineStr">
        <is>
          <t>2024-04-24</t>
        </is>
      </c>
      <c r="C259" s="7" t="inlineStr">
        <is>
          <t>FUR-CHA-002</t>
        </is>
      </c>
      <c r="D259" s="7" t="inlineStr">
        <is>
          <t>AeroTask Operator Task Chair</t>
        </is>
      </c>
      <c r="E259" s="7" t="inlineStr">
        <is>
          <t>Furniture</t>
        </is>
      </c>
      <c r="F259" s="7" t="inlineStr">
        <is>
          <t>Chairs</t>
        </is>
      </c>
      <c r="G259" s="7" t="inlineStr">
        <is>
          <t>Central</t>
        </is>
      </c>
      <c r="H259" s="7" t="inlineStr">
        <is>
          <t>Michigan</t>
        </is>
      </c>
      <c r="I259" s="7" t="inlineStr">
        <is>
          <t>Retail Partner</t>
        </is>
      </c>
      <c r="J259" s="7" t="inlineStr">
        <is>
          <t>Consumer</t>
        </is>
      </c>
      <c r="K259" s="8" t="n">
        <v>1</v>
      </c>
      <c r="L259" s="9" t="n">
        <v>219.99</v>
      </c>
      <c r="M259" s="10" t="n">
        <v>0</v>
      </c>
      <c r="N259" s="9" t="n">
        <v>171.59</v>
      </c>
      <c r="O259" s="9" t="n">
        <v>219.99</v>
      </c>
      <c r="P259" s="9" t="n">
        <v>0</v>
      </c>
      <c r="Q259" s="9" t="n">
        <v>219.99</v>
      </c>
      <c r="R259" s="9" t="n">
        <v>171.59</v>
      </c>
      <c r="S259" s="9" t="n">
        <v>48.4</v>
      </c>
      <c r="T259" s="10" t="n">
        <v>0.22</v>
      </c>
    </row>
    <row r="260">
      <c r="A260" s="7" t="inlineStr">
        <is>
          <t>ORD-2024-1030</t>
        </is>
      </c>
      <c r="B260" s="7" t="inlineStr">
        <is>
          <t>2024-04-25</t>
        </is>
      </c>
      <c r="C260" s="7" t="inlineStr">
        <is>
          <t>TEC-TAB-004</t>
        </is>
      </c>
      <c r="D260" s="7" t="inlineStr">
        <is>
          <t>VisionPad Lite 8.5"</t>
        </is>
      </c>
      <c r="E260" s="7" t="inlineStr">
        <is>
          <t>Technology</t>
        </is>
      </c>
      <c r="F260" s="7" t="inlineStr">
        <is>
          <t>Phones &amp; Tablets</t>
        </is>
      </c>
      <c r="G260" s="7" t="inlineStr">
        <is>
          <t>West</t>
        </is>
      </c>
      <c r="H260" s="7" t="inlineStr">
        <is>
          <t>Oregon</t>
        </is>
      </c>
      <c r="I260" s="7" t="inlineStr">
        <is>
          <t>Wholesale</t>
        </is>
      </c>
      <c r="J260" s="7" t="inlineStr">
        <is>
          <t>Home Office</t>
        </is>
      </c>
      <c r="K260" s="8" t="n">
        <v>9</v>
      </c>
      <c r="L260" s="9" t="n">
        <v>299.99</v>
      </c>
      <c r="M260" s="10" t="n">
        <v>0.1</v>
      </c>
      <c r="N260" s="9" t="n">
        <v>245.99</v>
      </c>
      <c r="O260" s="9" t="n">
        <v>2699.91</v>
      </c>
      <c r="P260" s="9" t="n">
        <v>269.99</v>
      </c>
      <c r="Q260" s="9" t="n">
        <v>2429.92</v>
      </c>
      <c r="R260" s="9" t="n">
        <v>2213.91</v>
      </c>
      <c r="S260" s="9" t="n">
        <v>216.01</v>
      </c>
      <c r="T260" s="10" t="n">
        <v>0.08890000000000001</v>
      </c>
    </row>
    <row r="261">
      <c r="A261" s="7" t="inlineStr">
        <is>
          <t>ORD-2024-1519</t>
        </is>
      </c>
      <c r="B261" s="7" t="inlineStr">
        <is>
          <t>2024-04-25</t>
        </is>
      </c>
      <c r="C261" s="7" t="inlineStr">
        <is>
          <t>OFF-DSK-008</t>
        </is>
      </c>
      <c r="D261" s="7" t="inlineStr">
        <is>
          <t>Steel Desktop Mesh Organizer Caddy</t>
        </is>
      </c>
      <c r="E261" s="7" t="inlineStr">
        <is>
          <t>Office Supplies</t>
        </is>
      </c>
      <c r="F261" s="7" t="inlineStr">
        <is>
          <t>Desk Supplies</t>
        </is>
      </c>
      <c r="G261" s="7" t="inlineStr">
        <is>
          <t>East</t>
        </is>
      </c>
      <c r="H261" s="7" t="inlineStr">
        <is>
          <t>Pennsylvania</t>
        </is>
      </c>
      <c r="I261" s="7" t="inlineStr">
        <is>
          <t>Online</t>
        </is>
      </c>
      <c r="J261" s="7" t="inlineStr">
        <is>
          <t>Consumer</t>
        </is>
      </c>
      <c r="K261" s="8" t="n">
        <v>1</v>
      </c>
      <c r="L261" s="9" t="n">
        <v>18.99</v>
      </c>
      <c r="M261" s="10" t="n">
        <v>0</v>
      </c>
      <c r="N261" s="9" t="n">
        <v>8.550000000000001</v>
      </c>
      <c r="O261" s="9" t="n">
        <v>18.99</v>
      </c>
      <c r="P261" s="9" t="n">
        <v>0</v>
      </c>
      <c r="Q261" s="9" t="n">
        <v>18.99</v>
      </c>
      <c r="R261" s="9" t="n">
        <v>8.550000000000001</v>
      </c>
      <c r="S261" s="9" t="n">
        <v>10.44</v>
      </c>
      <c r="T261" s="10" t="n">
        <v>0.5498</v>
      </c>
    </row>
    <row r="262">
      <c r="A262" s="7" t="inlineStr">
        <is>
          <t>ORD-2024-1553</t>
        </is>
      </c>
      <c r="B262" s="7" t="inlineStr">
        <is>
          <t>2024-04-25</t>
        </is>
      </c>
      <c r="C262" s="7" t="inlineStr">
        <is>
          <t>TEC-ACC-008</t>
        </is>
      </c>
      <c r="D262" s="7" t="inlineStr">
        <is>
          <t>Precision Laser Bluetooth Mouse</t>
        </is>
      </c>
      <c r="E262" s="7" t="inlineStr">
        <is>
          <t>Technology</t>
        </is>
      </c>
      <c r="F262" s="7" t="inlineStr">
        <is>
          <t>Audio &amp; Accessories</t>
        </is>
      </c>
      <c r="G262" s="7" t="inlineStr">
        <is>
          <t>West</t>
        </is>
      </c>
      <c r="H262" s="7" t="inlineStr">
        <is>
          <t>Colorado</t>
        </is>
      </c>
      <c r="I262" s="7" t="inlineStr">
        <is>
          <t>Direct Sales</t>
        </is>
      </c>
      <c r="J262" s="7" t="inlineStr">
        <is>
          <t>Consumer</t>
        </is>
      </c>
      <c r="K262" s="8" t="n">
        <v>2</v>
      </c>
      <c r="L262" s="9" t="n">
        <v>49.99</v>
      </c>
      <c r="M262" s="10" t="n">
        <v>0</v>
      </c>
      <c r="N262" s="9" t="n">
        <v>27.49</v>
      </c>
      <c r="O262" s="9" t="n">
        <v>99.98</v>
      </c>
      <c r="P262" s="9" t="n">
        <v>0</v>
      </c>
      <c r="Q262" s="9" t="n">
        <v>99.98</v>
      </c>
      <c r="R262" s="9" t="n">
        <v>54.98</v>
      </c>
      <c r="S262" s="9" t="n">
        <v>45</v>
      </c>
      <c r="T262" s="10" t="n">
        <v>0.4501</v>
      </c>
    </row>
    <row r="263">
      <c r="A263" s="7" t="inlineStr">
        <is>
          <t>ORD-2024-1602</t>
        </is>
      </c>
      <c r="B263" s="7" t="inlineStr">
        <is>
          <t>2024-04-25</t>
        </is>
      </c>
      <c r="C263" s="7" t="inlineStr">
        <is>
          <t>FUR-DSK-003</t>
        </is>
      </c>
      <c r="D263" s="7" t="inlineStr">
        <is>
          <t>ApexMotor Dual-Motor Standing Desk</t>
        </is>
      </c>
      <c r="E263" s="7" t="inlineStr">
        <is>
          <t>Furniture</t>
        </is>
      </c>
      <c r="F263" s="7" t="inlineStr">
        <is>
          <t>Desks &amp; Workstations</t>
        </is>
      </c>
      <c r="G263" s="7" t="inlineStr">
        <is>
          <t>East</t>
        </is>
      </c>
      <c r="H263" s="7" t="inlineStr">
        <is>
          <t>New Jersey</t>
        </is>
      </c>
      <c r="I263" s="7" t="inlineStr">
        <is>
          <t>Retail Partner</t>
        </is>
      </c>
      <c r="J263" s="7" t="inlineStr">
        <is>
          <t>Home Office</t>
        </is>
      </c>
      <c r="K263" s="8" t="n">
        <v>1</v>
      </c>
      <c r="L263" s="9" t="n">
        <v>549.99</v>
      </c>
      <c r="M263" s="10" t="n">
        <v>0</v>
      </c>
      <c r="N263" s="9" t="n">
        <v>439.99</v>
      </c>
      <c r="O263" s="9" t="n">
        <v>549.99</v>
      </c>
      <c r="P263" s="9" t="n">
        <v>0</v>
      </c>
      <c r="Q263" s="9" t="n">
        <v>549.99</v>
      </c>
      <c r="R263" s="9" t="n">
        <v>439.99</v>
      </c>
      <c r="S263" s="9" t="n">
        <v>110</v>
      </c>
      <c r="T263" s="10" t="n">
        <v>0.2</v>
      </c>
    </row>
    <row r="264">
      <c r="A264" s="7" t="inlineStr">
        <is>
          <t>ORD-2024-1611</t>
        </is>
      </c>
      <c r="B264" s="7" t="inlineStr">
        <is>
          <t>2024-04-25</t>
        </is>
      </c>
      <c r="C264" s="7" t="inlineStr">
        <is>
          <t>TEC-TAB-004</t>
        </is>
      </c>
      <c r="D264" s="7" t="inlineStr">
        <is>
          <t>VisionPad Lite 8.5"</t>
        </is>
      </c>
      <c r="E264" s="7" t="inlineStr">
        <is>
          <t>Technology</t>
        </is>
      </c>
      <c r="F264" s="7" t="inlineStr">
        <is>
          <t>Phones &amp; Tablets</t>
        </is>
      </c>
      <c r="G264" s="7" t="inlineStr">
        <is>
          <t>South</t>
        </is>
      </c>
      <c r="H264" s="7" t="inlineStr">
        <is>
          <t>North Carolina</t>
        </is>
      </c>
      <c r="I264" s="7" t="inlineStr">
        <is>
          <t>Wholesale</t>
        </is>
      </c>
      <c r="J264" s="7" t="inlineStr">
        <is>
          <t>Home Office</t>
        </is>
      </c>
      <c r="K264" s="8" t="n">
        <v>7</v>
      </c>
      <c r="L264" s="9" t="n">
        <v>299.99</v>
      </c>
      <c r="M264" s="10" t="n">
        <v>0.15</v>
      </c>
      <c r="N264" s="9" t="n">
        <v>245.99</v>
      </c>
      <c r="O264" s="9" t="n">
        <v>2099.93</v>
      </c>
      <c r="P264" s="9" t="n">
        <v>314.99</v>
      </c>
      <c r="Q264" s="9" t="n">
        <v>1784.94</v>
      </c>
      <c r="R264" s="9" t="n">
        <v>1721.93</v>
      </c>
      <c r="S264" s="9" t="n">
        <v>63.01</v>
      </c>
      <c r="T264" s="10" t="n">
        <v>0.0353</v>
      </c>
    </row>
    <row r="265">
      <c r="A265" s="7" t="inlineStr">
        <is>
          <t>ORD-2024-1133</t>
        </is>
      </c>
      <c r="B265" s="7" t="inlineStr">
        <is>
          <t>2024-04-26</t>
        </is>
      </c>
      <c r="C265" s="7" t="inlineStr">
        <is>
          <t>TEC-ACC-006</t>
        </is>
      </c>
      <c r="D265" s="7" t="inlineStr">
        <is>
          <t>MultiPort Thunderbolt 4 Dock</t>
        </is>
      </c>
      <c r="E265" s="7" t="inlineStr">
        <is>
          <t>Technology</t>
        </is>
      </c>
      <c r="F265" s="7" t="inlineStr">
        <is>
          <t>Audio &amp; Accessories</t>
        </is>
      </c>
      <c r="G265" s="7" t="inlineStr">
        <is>
          <t>South</t>
        </is>
      </c>
      <c r="H265" s="7" t="inlineStr">
        <is>
          <t>Virginia</t>
        </is>
      </c>
      <c r="I265" s="7" t="inlineStr">
        <is>
          <t>Online</t>
        </is>
      </c>
      <c r="J265" s="7" t="inlineStr">
        <is>
          <t>Consumer</t>
        </is>
      </c>
      <c r="K265" s="8" t="n">
        <v>4</v>
      </c>
      <c r="L265" s="9" t="n">
        <v>149.99</v>
      </c>
      <c r="M265" s="10" t="n">
        <v>0</v>
      </c>
      <c r="N265" s="9" t="n">
        <v>98.98999999999999</v>
      </c>
      <c r="O265" s="9" t="n">
        <v>599.96</v>
      </c>
      <c r="P265" s="9" t="n">
        <v>0</v>
      </c>
      <c r="Q265" s="9" t="n">
        <v>599.96</v>
      </c>
      <c r="R265" s="9" t="n">
        <v>395.96</v>
      </c>
      <c r="S265" s="9" t="n">
        <v>204</v>
      </c>
      <c r="T265" s="10" t="n">
        <v>0.34</v>
      </c>
    </row>
    <row r="266">
      <c r="A266" s="7" t="inlineStr">
        <is>
          <t>ORD-2024-1567</t>
        </is>
      </c>
      <c r="B266" s="7" t="inlineStr">
        <is>
          <t>2024-04-26</t>
        </is>
      </c>
      <c r="C266" s="7" t="inlineStr">
        <is>
          <t>FUR-DSK-003</t>
        </is>
      </c>
      <c r="D266" s="7" t="inlineStr">
        <is>
          <t>ApexMotor Dual-Motor Standing Desk</t>
        </is>
      </c>
      <c r="E266" s="7" t="inlineStr">
        <is>
          <t>Furniture</t>
        </is>
      </c>
      <c r="F266" s="7" t="inlineStr">
        <is>
          <t>Desks &amp; Workstations</t>
        </is>
      </c>
      <c r="G266" s="7" t="inlineStr">
        <is>
          <t>Central</t>
        </is>
      </c>
      <c r="H266" s="7" t="inlineStr">
        <is>
          <t>Michigan</t>
        </is>
      </c>
      <c r="I266" s="7" t="inlineStr">
        <is>
          <t>Online</t>
        </is>
      </c>
      <c r="J266" s="7" t="inlineStr">
        <is>
          <t>Home Office</t>
        </is>
      </c>
      <c r="K266" s="8" t="n">
        <v>2</v>
      </c>
      <c r="L266" s="9" t="n">
        <v>549.99</v>
      </c>
      <c r="M266" s="10" t="n">
        <v>0.05</v>
      </c>
      <c r="N266" s="9" t="n">
        <v>439.99</v>
      </c>
      <c r="O266" s="9" t="n">
        <v>1099.98</v>
      </c>
      <c r="P266" s="9" t="n">
        <v>55</v>
      </c>
      <c r="Q266" s="9" t="n">
        <v>1044.98</v>
      </c>
      <c r="R266" s="9" t="n">
        <v>879.98</v>
      </c>
      <c r="S266" s="9" t="n">
        <v>165</v>
      </c>
      <c r="T266" s="10" t="n">
        <v>0.1579</v>
      </c>
    </row>
    <row r="267">
      <c r="A267" s="7" t="inlineStr">
        <is>
          <t>ORD-2024-1567</t>
        </is>
      </c>
      <c r="B267" s="7" t="inlineStr">
        <is>
          <t>2024-04-26</t>
        </is>
      </c>
      <c r="C267" s="7" t="inlineStr">
        <is>
          <t>FUR-DSK-004</t>
        </is>
      </c>
      <c r="D267" s="7" t="inlineStr">
        <is>
          <t>Metro Compact Corner Workstation</t>
        </is>
      </c>
      <c r="E267" s="7" t="inlineStr">
        <is>
          <t>Furniture</t>
        </is>
      </c>
      <c r="F267" s="7" t="inlineStr">
        <is>
          <t>Desks &amp; Workstations</t>
        </is>
      </c>
      <c r="G267" s="7" t="inlineStr">
        <is>
          <t>Central</t>
        </is>
      </c>
      <c r="H267" s="7" t="inlineStr">
        <is>
          <t>Michigan</t>
        </is>
      </c>
      <c r="I267" s="7" t="inlineStr">
        <is>
          <t>Online</t>
        </is>
      </c>
      <c r="J267" s="7" t="inlineStr">
        <is>
          <t>Home Office</t>
        </is>
      </c>
      <c r="K267" s="8" t="n">
        <v>3</v>
      </c>
      <c r="L267" s="9" t="n">
        <v>329.99</v>
      </c>
      <c r="M267" s="10" t="n">
        <v>0</v>
      </c>
      <c r="N267" s="9" t="n">
        <v>250.79</v>
      </c>
      <c r="O267" s="9" t="n">
        <v>989.97</v>
      </c>
      <c r="P267" s="9" t="n">
        <v>0</v>
      </c>
      <c r="Q267" s="9" t="n">
        <v>989.97</v>
      </c>
      <c r="R267" s="9" t="n">
        <v>752.37</v>
      </c>
      <c r="S267" s="9" t="n">
        <v>237.6</v>
      </c>
      <c r="T267" s="10" t="n">
        <v>0.24</v>
      </c>
    </row>
    <row r="268">
      <c r="A268" s="7" t="inlineStr">
        <is>
          <t>ORD-2024-1567</t>
        </is>
      </c>
      <c r="B268" s="7" t="inlineStr">
        <is>
          <t>2024-04-26</t>
        </is>
      </c>
      <c r="C268" s="7" t="inlineStr">
        <is>
          <t>FUR-LGT-006</t>
        </is>
      </c>
      <c r="D268" s="7" t="inlineStr">
        <is>
          <t>Architect LED Desk Task Lamp</t>
        </is>
      </c>
      <c r="E268" s="7" t="inlineStr">
        <is>
          <t>Furniture</t>
        </is>
      </c>
      <c r="F268" s="7" t="inlineStr">
        <is>
          <t>Lighting</t>
        </is>
      </c>
      <c r="G268" s="7" t="inlineStr">
        <is>
          <t>Central</t>
        </is>
      </c>
      <c r="H268" s="7" t="inlineStr">
        <is>
          <t>Michigan</t>
        </is>
      </c>
      <c r="I268" s="7" t="inlineStr">
        <is>
          <t>Online</t>
        </is>
      </c>
      <c r="J268" s="7" t="inlineStr">
        <is>
          <t>Home Office</t>
        </is>
      </c>
      <c r="K268" s="8" t="n">
        <v>1</v>
      </c>
      <c r="L268" s="9" t="n">
        <v>69.98999999999999</v>
      </c>
      <c r="M268" s="10" t="n">
        <v>0</v>
      </c>
      <c r="N268" s="9" t="n">
        <v>43.39</v>
      </c>
      <c r="O268" s="9" t="n">
        <v>69.98999999999999</v>
      </c>
      <c r="P268" s="9" t="n">
        <v>0</v>
      </c>
      <c r="Q268" s="9" t="n">
        <v>69.98999999999999</v>
      </c>
      <c r="R268" s="9" t="n">
        <v>43.39</v>
      </c>
      <c r="S268" s="9" t="n">
        <v>26.6</v>
      </c>
      <c r="T268" s="10" t="n">
        <v>0.3801</v>
      </c>
    </row>
    <row r="269">
      <c r="A269" s="7" t="inlineStr">
        <is>
          <t>ORD-2024-1361</t>
        </is>
      </c>
      <c r="B269" s="7" t="inlineStr">
        <is>
          <t>2024-04-27</t>
        </is>
      </c>
      <c r="C269" s="7" t="inlineStr">
        <is>
          <t>OFF-DSK-007</t>
        </is>
      </c>
      <c r="D269" s="7" t="inlineStr">
        <is>
          <t>Gel Ergo Mouse Pad &amp; Wrist Rest Combo</t>
        </is>
      </c>
      <c r="E269" s="7" t="inlineStr">
        <is>
          <t>Office Supplies</t>
        </is>
      </c>
      <c r="F269" s="7" t="inlineStr">
        <is>
          <t>Desk Supplies</t>
        </is>
      </c>
      <c r="G269" s="7" t="inlineStr">
        <is>
          <t>West</t>
        </is>
      </c>
      <c r="H269" s="7" t="inlineStr">
        <is>
          <t>California</t>
        </is>
      </c>
      <c r="I269" s="7" t="inlineStr">
        <is>
          <t>Online</t>
        </is>
      </c>
      <c r="J269" s="7" t="inlineStr">
        <is>
          <t>Consumer</t>
        </is>
      </c>
      <c r="K269" s="8" t="n">
        <v>4</v>
      </c>
      <c r="L269" s="9" t="n">
        <v>21.99</v>
      </c>
      <c r="M269" s="10" t="n">
        <v>0.05</v>
      </c>
      <c r="N269" s="9" t="n">
        <v>10.56</v>
      </c>
      <c r="O269" s="9" t="n">
        <v>87.95999999999999</v>
      </c>
      <c r="P269" s="9" t="n">
        <v>4.4</v>
      </c>
      <c r="Q269" s="9" t="n">
        <v>83.56</v>
      </c>
      <c r="R269" s="9" t="n">
        <v>42.24</v>
      </c>
      <c r="S269" s="9" t="n">
        <v>41.32</v>
      </c>
      <c r="T269" s="10" t="n">
        <v>0.4945</v>
      </c>
    </row>
    <row r="270">
      <c r="A270" s="7" t="inlineStr">
        <is>
          <t>ORD-2024-1361</t>
        </is>
      </c>
      <c r="B270" s="7" t="inlineStr">
        <is>
          <t>2024-04-27</t>
        </is>
      </c>
      <c r="C270" s="7" t="inlineStr">
        <is>
          <t>OFF-PAP-003</t>
        </is>
      </c>
      <c r="D270" s="7" t="inlineStr">
        <is>
          <t>UltraWhite Premium Multipurpose Paper (Case)</t>
        </is>
      </c>
      <c r="E270" s="7" t="inlineStr">
        <is>
          <t>Office Supplies</t>
        </is>
      </c>
      <c r="F270" s="7" t="inlineStr">
        <is>
          <t>Paper Products</t>
        </is>
      </c>
      <c r="G270" s="7" t="inlineStr">
        <is>
          <t>West</t>
        </is>
      </c>
      <c r="H270" s="7" t="inlineStr">
        <is>
          <t>California</t>
        </is>
      </c>
      <c r="I270" s="7" t="inlineStr">
        <is>
          <t>Online</t>
        </is>
      </c>
      <c r="J270" s="7" t="inlineStr">
        <is>
          <t>Consumer</t>
        </is>
      </c>
      <c r="K270" s="8" t="n">
        <v>3</v>
      </c>
      <c r="L270" s="9" t="n">
        <v>54.99</v>
      </c>
      <c r="M270" s="10" t="n">
        <v>0</v>
      </c>
      <c r="N270" s="9" t="n">
        <v>31.89</v>
      </c>
      <c r="O270" s="9" t="n">
        <v>164.97</v>
      </c>
      <c r="P270" s="9" t="n">
        <v>0</v>
      </c>
      <c r="Q270" s="9" t="n">
        <v>164.97</v>
      </c>
      <c r="R270" s="9" t="n">
        <v>95.67</v>
      </c>
      <c r="S270" s="9" t="n">
        <v>69.3</v>
      </c>
      <c r="T270" s="10" t="n">
        <v>0.4201</v>
      </c>
    </row>
    <row r="271">
      <c r="A271" s="7" t="inlineStr">
        <is>
          <t>ORD-2024-1451</t>
        </is>
      </c>
      <c r="B271" s="7" t="inlineStr">
        <is>
          <t>2024-04-28</t>
        </is>
      </c>
      <c r="C271" s="7" t="inlineStr">
        <is>
          <t>TEC-ACC-008</t>
        </is>
      </c>
      <c r="D271" s="7" t="inlineStr">
        <is>
          <t>Precision Laser Bluetooth Mouse</t>
        </is>
      </c>
      <c r="E271" s="7" t="inlineStr">
        <is>
          <t>Technology</t>
        </is>
      </c>
      <c r="F271" s="7" t="inlineStr">
        <is>
          <t>Audio &amp; Accessories</t>
        </is>
      </c>
      <c r="G271" s="7" t="inlineStr">
        <is>
          <t>East</t>
        </is>
      </c>
      <c r="H271" s="7" t="inlineStr">
        <is>
          <t>New Jersey</t>
        </is>
      </c>
      <c r="I271" s="7" t="inlineStr">
        <is>
          <t>Online</t>
        </is>
      </c>
      <c r="J271" s="7" t="inlineStr">
        <is>
          <t>Consumer</t>
        </is>
      </c>
      <c r="K271" s="8" t="n">
        <v>2</v>
      </c>
      <c r="L271" s="9" t="n">
        <v>49.99</v>
      </c>
      <c r="M271" s="10" t="n">
        <v>0</v>
      </c>
      <c r="N271" s="9" t="n">
        <v>27.49</v>
      </c>
      <c r="O271" s="9" t="n">
        <v>99.98</v>
      </c>
      <c r="P271" s="9" t="n">
        <v>0</v>
      </c>
      <c r="Q271" s="9" t="n">
        <v>99.98</v>
      </c>
      <c r="R271" s="9" t="n">
        <v>54.98</v>
      </c>
      <c r="S271" s="9" t="n">
        <v>45</v>
      </c>
      <c r="T271" s="10" t="n">
        <v>0.4501</v>
      </c>
    </row>
    <row r="272">
      <c r="A272" s="7" t="inlineStr">
        <is>
          <t>ORD-2024-1451</t>
        </is>
      </c>
      <c r="B272" s="7" t="inlineStr">
        <is>
          <t>2024-04-28</t>
        </is>
      </c>
      <c r="C272" s="7" t="inlineStr">
        <is>
          <t>FUR-DSK-003</t>
        </is>
      </c>
      <c r="D272" s="7" t="inlineStr">
        <is>
          <t>ApexMotor Dual-Motor Standing Desk</t>
        </is>
      </c>
      <c r="E272" s="7" t="inlineStr">
        <is>
          <t>Furniture</t>
        </is>
      </c>
      <c r="F272" s="7" t="inlineStr">
        <is>
          <t>Desks &amp; Workstations</t>
        </is>
      </c>
      <c r="G272" s="7" t="inlineStr">
        <is>
          <t>East</t>
        </is>
      </c>
      <c r="H272" s="7" t="inlineStr">
        <is>
          <t>New Jersey</t>
        </is>
      </c>
      <c r="I272" s="7" t="inlineStr">
        <is>
          <t>Online</t>
        </is>
      </c>
      <c r="J272" s="7" t="inlineStr">
        <is>
          <t>Consumer</t>
        </is>
      </c>
      <c r="K272" s="8" t="n">
        <v>3</v>
      </c>
      <c r="L272" s="9" t="n">
        <v>549.99</v>
      </c>
      <c r="M272" s="10" t="n">
        <v>0</v>
      </c>
      <c r="N272" s="9" t="n">
        <v>439.99</v>
      </c>
      <c r="O272" s="9" t="n">
        <v>1649.97</v>
      </c>
      <c r="P272" s="9" t="n">
        <v>0</v>
      </c>
      <c r="Q272" s="9" t="n">
        <v>1649.97</v>
      </c>
      <c r="R272" s="9" t="n">
        <v>1319.97</v>
      </c>
      <c r="S272" s="9" t="n">
        <v>330</v>
      </c>
      <c r="T272" s="10" t="n">
        <v>0.2</v>
      </c>
    </row>
    <row r="273">
      <c r="A273" s="7" t="inlineStr">
        <is>
          <t>ORD-2024-1723</t>
        </is>
      </c>
      <c r="B273" s="7" t="inlineStr">
        <is>
          <t>2024-04-28</t>
        </is>
      </c>
      <c r="C273" s="7" t="inlineStr">
        <is>
          <t>FUR-DSK-004</t>
        </is>
      </c>
      <c r="D273" s="7" t="inlineStr">
        <is>
          <t>Metro Compact Corner Workstation</t>
        </is>
      </c>
      <c r="E273" s="7" t="inlineStr">
        <is>
          <t>Furniture</t>
        </is>
      </c>
      <c r="F273" s="7" t="inlineStr">
        <is>
          <t>Desks &amp; Workstations</t>
        </is>
      </c>
      <c r="G273" s="7" t="inlineStr">
        <is>
          <t>East</t>
        </is>
      </c>
      <c r="H273" s="7" t="inlineStr">
        <is>
          <t>New Jersey</t>
        </is>
      </c>
      <c r="I273" s="7" t="inlineStr">
        <is>
          <t>Online</t>
        </is>
      </c>
      <c r="J273" s="7" t="inlineStr">
        <is>
          <t>Consumer</t>
        </is>
      </c>
      <c r="K273" s="8" t="n">
        <v>2</v>
      </c>
      <c r="L273" s="9" t="n">
        <v>329.99</v>
      </c>
      <c r="M273" s="10" t="n">
        <v>0.1</v>
      </c>
      <c r="N273" s="9" t="n">
        <v>250.79</v>
      </c>
      <c r="O273" s="9" t="n">
        <v>659.98</v>
      </c>
      <c r="P273" s="9" t="n">
        <v>66</v>
      </c>
      <c r="Q273" s="9" t="n">
        <v>593.98</v>
      </c>
      <c r="R273" s="9" t="n">
        <v>501.58</v>
      </c>
      <c r="S273" s="9" t="n">
        <v>92.40000000000001</v>
      </c>
      <c r="T273" s="10" t="n">
        <v>0.1556</v>
      </c>
    </row>
    <row r="274">
      <c r="A274" s="7" t="inlineStr">
        <is>
          <t>ORD-2024-1723</t>
        </is>
      </c>
      <c r="B274" s="7" t="inlineStr">
        <is>
          <t>2024-04-28</t>
        </is>
      </c>
      <c r="C274" s="7" t="inlineStr">
        <is>
          <t>OFF-STR-002</t>
        </is>
      </c>
      <c r="D274" s="7" t="inlineStr">
        <is>
          <t>Stackable Heavy-Duty Storage Bins (4-Pk)</t>
        </is>
      </c>
      <c r="E274" s="7" t="inlineStr">
        <is>
          <t>Office Supplies</t>
        </is>
      </c>
      <c r="F274" s="7" t="inlineStr">
        <is>
          <t>Storage &amp; Organizers</t>
        </is>
      </c>
      <c r="G274" s="7" t="inlineStr">
        <is>
          <t>East</t>
        </is>
      </c>
      <c r="H274" s="7" t="inlineStr">
        <is>
          <t>New Jersey</t>
        </is>
      </c>
      <c r="I274" s="7" t="inlineStr">
        <is>
          <t>Online</t>
        </is>
      </c>
      <c r="J274" s="7" t="inlineStr">
        <is>
          <t>Consumer</t>
        </is>
      </c>
      <c r="K274" s="8" t="n">
        <v>1</v>
      </c>
      <c r="L274" s="9" t="n">
        <v>44.99</v>
      </c>
      <c r="M274" s="10" t="n">
        <v>0</v>
      </c>
      <c r="N274" s="9" t="n">
        <v>24.74</v>
      </c>
      <c r="O274" s="9" t="n">
        <v>44.99</v>
      </c>
      <c r="P274" s="9" t="n">
        <v>0</v>
      </c>
      <c r="Q274" s="9" t="n">
        <v>44.99</v>
      </c>
      <c r="R274" s="9" t="n">
        <v>24.74</v>
      </c>
      <c r="S274" s="9" t="n">
        <v>20.25</v>
      </c>
      <c r="T274" s="10" t="n">
        <v>0.4501</v>
      </c>
    </row>
    <row r="275">
      <c r="A275" s="7" t="inlineStr">
        <is>
          <t>ORD-2024-1139</t>
        </is>
      </c>
      <c r="B275" s="7" t="inlineStr">
        <is>
          <t>2024-04-29</t>
        </is>
      </c>
      <c r="C275" s="7" t="inlineStr">
        <is>
          <t>FUR-CHA-001</t>
        </is>
      </c>
      <c r="D275" s="7" t="inlineStr">
        <is>
          <t>ErgoFlex Executive Mesh Chair</t>
        </is>
      </c>
      <c r="E275" s="7" t="inlineStr">
        <is>
          <t>Furniture</t>
        </is>
      </c>
      <c r="F275" s="7" t="inlineStr">
        <is>
          <t>Chairs</t>
        </is>
      </c>
      <c r="G275" s="7" t="inlineStr">
        <is>
          <t>Central</t>
        </is>
      </c>
      <c r="H275" s="7" t="inlineStr">
        <is>
          <t>Michigan</t>
        </is>
      </c>
      <c r="I275" s="7" t="inlineStr">
        <is>
          <t>Retail Partner</t>
        </is>
      </c>
      <c r="J275" s="7" t="inlineStr">
        <is>
          <t>Home Office</t>
        </is>
      </c>
      <c r="K275" s="8" t="n">
        <v>4</v>
      </c>
      <c r="L275" s="9" t="n">
        <v>389.99</v>
      </c>
      <c r="M275" s="10" t="n">
        <v>0.15</v>
      </c>
      <c r="N275" s="9" t="n">
        <v>331.49</v>
      </c>
      <c r="O275" s="9" t="n">
        <v>1559.96</v>
      </c>
      <c r="P275" s="9" t="n">
        <v>233.99</v>
      </c>
      <c r="Q275" s="9" t="n">
        <v>1325.97</v>
      </c>
      <c r="R275" s="9" t="n">
        <v>1325.96</v>
      </c>
      <c r="S275" s="9" t="n">
        <v>0.01</v>
      </c>
      <c r="T275" s="10" t="n">
        <v>0</v>
      </c>
    </row>
    <row r="276">
      <c r="A276" s="7" t="inlineStr">
        <is>
          <t>ORD-2024-1244</t>
        </is>
      </c>
      <c r="B276" s="7" t="inlineStr">
        <is>
          <t>2024-04-29</t>
        </is>
      </c>
      <c r="C276" s="7" t="inlineStr">
        <is>
          <t>FUR-CHA-002</t>
        </is>
      </c>
      <c r="D276" s="7" t="inlineStr">
        <is>
          <t>AeroTask Operator Task Chair</t>
        </is>
      </c>
      <c r="E276" s="7" t="inlineStr">
        <is>
          <t>Furniture</t>
        </is>
      </c>
      <c r="F276" s="7" t="inlineStr">
        <is>
          <t>Chairs</t>
        </is>
      </c>
      <c r="G276" s="7" t="inlineStr">
        <is>
          <t>East</t>
        </is>
      </c>
      <c r="H276" s="7" t="inlineStr">
        <is>
          <t>New Jersey</t>
        </is>
      </c>
      <c r="I276" s="7" t="inlineStr">
        <is>
          <t>Online</t>
        </is>
      </c>
      <c r="J276" s="7" t="inlineStr">
        <is>
          <t>Home Office</t>
        </is>
      </c>
      <c r="K276" s="8" t="n">
        <v>2</v>
      </c>
      <c r="L276" s="9" t="n">
        <v>219.99</v>
      </c>
      <c r="M276" s="10" t="n">
        <v>0</v>
      </c>
      <c r="N276" s="9" t="n">
        <v>171.59</v>
      </c>
      <c r="O276" s="9" t="n">
        <v>439.98</v>
      </c>
      <c r="P276" s="9" t="n">
        <v>0</v>
      </c>
      <c r="Q276" s="9" t="n">
        <v>439.98</v>
      </c>
      <c r="R276" s="9" t="n">
        <v>343.18</v>
      </c>
      <c r="S276" s="9" t="n">
        <v>96.8</v>
      </c>
      <c r="T276" s="10" t="n">
        <v>0.22</v>
      </c>
    </row>
    <row r="277">
      <c r="A277" s="7" t="inlineStr">
        <is>
          <t>ORD-2024-1244</t>
        </is>
      </c>
      <c r="B277" s="7" t="inlineStr">
        <is>
          <t>2024-04-29</t>
        </is>
      </c>
      <c r="C277" s="7" t="inlineStr">
        <is>
          <t>TEC-TAB-003</t>
        </is>
      </c>
      <c r="D277" s="7" t="inlineStr">
        <is>
          <t>VisionPad Pro 11"</t>
        </is>
      </c>
      <c r="E277" s="7" t="inlineStr">
        <is>
          <t>Technology</t>
        </is>
      </c>
      <c r="F277" s="7" t="inlineStr">
        <is>
          <t>Phones &amp; Tablets</t>
        </is>
      </c>
      <c r="G277" s="7" t="inlineStr">
        <is>
          <t>East</t>
        </is>
      </c>
      <c r="H277" s="7" t="inlineStr">
        <is>
          <t>New Jersey</t>
        </is>
      </c>
      <c r="I277" s="7" t="inlineStr">
        <is>
          <t>Online</t>
        </is>
      </c>
      <c r="J277" s="7" t="inlineStr">
        <is>
          <t>Home Office</t>
        </is>
      </c>
      <c r="K277" s="8" t="n">
        <v>4</v>
      </c>
      <c r="L277" s="9" t="n">
        <v>649.99</v>
      </c>
      <c r="M277" s="10" t="n">
        <v>0</v>
      </c>
      <c r="N277" s="9" t="n">
        <v>487.49</v>
      </c>
      <c r="O277" s="9" t="n">
        <v>2599.96</v>
      </c>
      <c r="P277" s="9" t="n">
        <v>0</v>
      </c>
      <c r="Q277" s="9" t="n">
        <v>2599.96</v>
      </c>
      <c r="R277" s="9" t="n">
        <v>1949.96</v>
      </c>
      <c r="S277" s="9" t="n">
        <v>650</v>
      </c>
      <c r="T277" s="10" t="n">
        <v>0.25</v>
      </c>
    </row>
    <row r="278">
      <c r="A278" s="7" t="inlineStr">
        <is>
          <t>ORD-2024-1498</t>
        </is>
      </c>
      <c r="B278" s="7" t="inlineStr">
        <is>
          <t>2024-04-29</t>
        </is>
      </c>
      <c r="C278" s="7" t="inlineStr">
        <is>
          <t>TEC-LAP-002</t>
        </is>
      </c>
      <c r="D278" s="7" t="inlineStr">
        <is>
          <t>Apex Gaming Laptop 17"</t>
        </is>
      </c>
      <c r="E278" s="7" t="inlineStr">
        <is>
          <t>Technology</t>
        </is>
      </c>
      <c r="F278" s="7" t="inlineStr">
        <is>
          <t>Laptops</t>
        </is>
      </c>
      <c r="G278" s="7" t="inlineStr">
        <is>
          <t>Central</t>
        </is>
      </c>
      <c r="H278" s="7" t="inlineStr">
        <is>
          <t>Texas</t>
        </is>
      </c>
      <c r="I278" s="7" t="inlineStr">
        <is>
          <t>Wholesale</t>
        </is>
      </c>
      <c r="J278" s="7" t="inlineStr">
        <is>
          <t>Home Office</t>
        </is>
      </c>
      <c r="K278" s="8" t="n">
        <v>11</v>
      </c>
      <c r="L278" s="9" t="n">
        <v>1499.99</v>
      </c>
      <c r="M278" s="10" t="n">
        <v>0.1</v>
      </c>
      <c r="N278" s="9" t="n">
        <v>1259.99</v>
      </c>
      <c r="O278" s="9" t="n">
        <v>16499.89</v>
      </c>
      <c r="P278" s="9" t="n">
        <v>1649.99</v>
      </c>
      <c r="Q278" s="9" t="n">
        <v>14849.9</v>
      </c>
      <c r="R278" s="9" t="n">
        <v>13859.89</v>
      </c>
      <c r="S278" s="9" t="n">
        <v>990.01</v>
      </c>
      <c r="T278" s="10" t="n">
        <v>0.0667</v>
      </c>
    </row>
    <row r="279">
      <c r="A279" s="7" t="inlineStr">
        <is>
          <t>ORD-2024-1362</t>
        </is>
      </c>
      <c r="B279" s="7" t="inlineStr">
        <is>
          <t>2024-05-01</t>
        </is>
      </c>
      <c r="C279" s="7" t="inlineStr">
        <is>
          <t>FUR-CHA-002</t>
        </is>
      </c>
      <c r="D279" s="7" t="inlineStr">
        <is>
          <t>AeroTask Operator Task Chair</t>
        </is>
      </c>
      <c r="E279" s="7" t="inlineStr">
        <is>
          <t>Furniture</t>
        </is>
      </c>
      <c r="F279" s="7" t="inlineStr">
        <is>
          <t>Chairs</t>
        </is>
      </c>
      <c r="G279" s="7" t="inlineStr">
        <is>
          <t>South</t>
        </is>
      </c>
      <c r="H279" s="7" t="inlineStr">
        <is>
          <t>North Carolina</t>
        </is>
      </c>
      <c r="I279" s="7" t="inlineStr">
        <is>
          <t>Online</t>
        </is>
      </c>
      <c r="J279" s="7" t="inlineStr">
        <is>
          <t>Consumer</t>
        </is>
      </c>
      <c r="K279" s="8" t="n">
        <v>2</v>
      </c>
      <c r="L279" s="9" t="n">
        <v>219.99</v>
      </c>
      <c r="M279" s="10" t="n">
        <v>0</v>
      </c>
      <c r="N279" s="9" t="n">
        <v>171.59</v>
      </c>
      <c r="O279" s="9" t="n">
        <v>439.98</v>
      </c>
      <c r="P279" s="9" t="n">
        <v>0</v>
      </c>
      <c r="Q279" s="9" t="n">
        <v>439.98</v>
      </c>
      <c r="R279" s="9" t="n">
        <v>343.18</v>
      </c>
      <c r="S279" s="9" t="n">
        <v>96.8</v>
      </c>
      <c r="T279" s="10" t="n">
        <v>0.22</v>
      </c>
    </row>
    <row r="280">
      <c r="A280" s="7" t="inlineStr">
        <is>
          <t>ORD-2024-1494</t>
        </is>
      </c>
      <c r="B280" s="7" t="inlineStr">
        <is>
          <t>2024-05-01</t>
        </is>
      </c>
      <c r="C280" s="7" t="inlineStr">
        <is>
          <t>FUR-LGT-006</t>
        </is>
      </c>
      <c r="D280" s="7" t="inlineStr">
        <is>
          <t>Architect LED Desk Task Lamp</t>
        </is>
      </c>
      <c r="E280" s="7" t="inlineStr">
        <is>
          <t>Furniture</t>
        </is>
      </c>
      <c r="F280" s="7" t="inlineStr">
        <is>
          <t>Lighting</t>
        </is>
      </c>
      <c r="G280" s="7" t="inlineStr">
        <is>
          <t>Central</t>
        </is>
      </c>
      <c r="H280" s="7" t="inlineStr">
        <is>
          <t>Texas</t>
        </is>
      </c>
      <c r="I280" s="7" t="inlineStr">
        <is>
          <t>Direct Sales</t>
        </is>
      </c>
      <c r="J280" s="7" t="inlineStr">
        <is>
          <t>Consumer</t>
        </is>
      </c>
      <c r="K280" s="8" t="n">
        <v>4</v>
      </c>
      <c r="L280" s="9" t="n">
        <v>69.98999999999999</v>
      </c>
      <c r="M280" s="10" t="n">
        <v>0.1</v>
      </c>
      <c r="N280" s="9" t="n">
        <v>43.39</v>
      </c>
      <c r="O280" s="9" t="n">
        <v>279.96</v>
      </c>
      <c r="P280" s="9" t="n">
        <v>28</v>
      </c>
      <c r="Q280" s="9" t="n">
        <v>251.96</v>
      </c>
      <c r="R280" s="9" t="n">
        <v>173.56</v>
      </c>
      <c r="S280" s="9" t="n">
        <v>78.40000000000001</v>
      </c>
      <c r="T280" s="10" t="n">
        <v>0.3112</v>
      </c>
    </row>
    <row r="281">
      <c r="A281" s="7" t="inlineStr">
        <is>
          <t>ORD-2024-1151</t>
        </is>
      </c>
      <c r="B281" s="7" t="inlineStr">
        <is>
          <t>2024-05-02</t>
        </is>
      </c>
      <c r="C281" s="7" t="inlineStr">
        <is>
          <t>OFF-PAP-004</t>
        </is>
      </c>
      <c r="D281" s="7" t="inlineStr">
        <is>
          <t>EcoRecycled Copy Paper (5 Reams)</t>
        </is>
      </c>
      <c r="E281" s="7" t="inlineStr">
        <is>
          <t>Office Supplies</t>
        </is>
      </c>
      <c r="F281" s="7" t="inlineStr">
        <is>
          <t>Paper Products</t>
        </is>
      </c>
      <c r="G281" s="7" t="inlineStr">
        <is>
          <t>East</t>
        </is>
      </c>
      <c r="H281" s="7" t="inlineStr">
        <is>
          <t>Massachusetts</t>
        </is>
      </c>
      <c r="I281" s="7" t="inlineStr">
        <is>
          <t>Retail Partner</t>
        </is>
      </c>
      <c r="J281" s="7" t="inlineStr">
        <is>
          <t>Consumer</t>
        </is>
      </c>
      <c r="K281" s="8" t="n">
        <v>4</v>
      </c>
      <c r="L281" s="9" t="n">
        <v>32.99</v>
      </c>
      <c r="M281" s="10" t="n">
        <v>0</v>
      </c>
      <c r="N281" s="9" t="n">
        <v>19.79</v>
      </c>
      <c r="O281" s="9" t="n">
        <v>131.96</v>
      </c>
      <c r="P281" s="9" t="n">
        <v>0</v>
      </c>
      <c r="Q281" s="9" t="n">
        <v>131.96</v>
      </c>
      <c r="R281" s="9" t="n">
        <v>79.16</v>
      </c>
      <c r="S281" s="9" t="n">
        <v>52.8</v>
      </c>
      <c r="T281" s="10" t="n">
        <v>0.4001</v>
      </c>
    </row>
    <row r="282">
      <c r="A282" s="7" t="inlineStr">
        <is>
          <t>ORD-2024-1279</t>
        </is>
      </c>
      <c r="B282" s="7" t="inlineStr">
        <is>
          <t>2024-05-02</t>
        </is>
      </c>
      <c r="C282" s="7" t="inlineStr">
        <is>
          <t>TEC-ACC-008</t>
        </is>
      </c>
      <c r="D282" s="7" t="inlineStr">
        <is>
          <t>Precision Laser Bluetooth Mouse</t>
        </is>
      </c>
      <c r="E282" s="7" t="inlineStr">
        <is>
          <t>Technology</t>
        </is>
      </c>
      <c r="F282" s="7" t="inlineStr">
        <is>
          <t>Audio &amp; Accessories</t>
        </is>
      </c>
      <c r="G282" s="7" t="inlineStr">
        <is>
          <t>Central</t>
        </is>
      </c>
      <c r="H282" s="7" t="inlineStr">
        <is>
          <t>Ohio</t>
        </is>
      </c>
      <c r="I282" s="7" t="inlineStr">
        <is>
          <t>Online</t>
        </is>
      </c>
      <c r="J282" s="7" t="inlineStr">
        <is>
          <t>Home Office</t>
        </is>
      </c>
      <c r="K282" s="8" t="n">
        <v>2</v>
      </c>
      <c r="L282" s="9" t="n">
        <v>49.99</v>
      </c>
      <c r="M282" s="10" t="n">
        <v>0.05</v>
      </c>
      <c r="N282" s="9" t="n">
        <v>27.49</v>
      </c>
      <c r="O282" s="9" t="n">
        <v>99.98</v>
      </c>
      <c r="P282" s="9" t="n">
        <v>5</v>
      </c>
      <c r="Q282" s="9" t="n">
        <v>94.98</v>
      </c>
      <c r="R282" s="9" t="n">
        <v>54.98</v>
      </c>
      <c r="S282" s="9" t="n">
        <v>40</v>
      </c>
      <c r="T282" s="10" t="n">
        <v>0.4211</v>
      </c>
    </row>
    <row r="283">
      <c r="A283" s="7" t="inlineStr">
        <is>
          <t>ORD-2024-1342</t>
        </is>
      </c>
      <c r="B283" s="7" t="inlineStr">
        <is>
          <t>2024-05-02</t>
        </is>
      </c>
      <c r="C283" s="7" t="inlineStr">
        <is>
          <t>OFF-PAP-003</t>
        </is>
      </c>
      <c r="D283" s="7" t="inlineStr">
        <is>
          <t>UltraWhite Premium Multipurpose Paper (Case)</t>
        </is>
      </c>
      <c r="E283" s="7" t="inlineStr">
        <is>
          <t>Office Supplies</t>
        </is>
      </c>
      <c r="F283" s="7" t="inlineStr">
        <is>
          <t>Paper Products</t>
        </is>
      </c>
      <c r="G283" s="7" t="inlineStr">
        <is>
          <t>West</t>
        </is>
      </c>
      <c r="H283" s="7" t="inlineStr">
        <is>
          <t>Oregon</t>
        </is>
      </c>
      <c r="I283" s="7" t="inlineStr">
        <is>
          <t>Online</t>
        </is>
      </c>
      <c r="J283" s="7" t="inlineStr">
        <is>
          <t>Consumer</t>
        </is>
      </c>
      <c r="K283" s="8" t="n">
        <v>1</v>
      </c>
      <c r="L283" s="9" t="n">
        <v>54.99</v>
      </c>
      <c r="M283" s="10" t="n">
        <v>0.1</v>
      </c>
      <c r="N283" s="9" t="n">
        <v>31.89</v>
      </c>
      <c r="O283" s="9" t="n">
        <v>54.99</v>
      </c>
      <c r="P283" s="9" t="n">
        <v>5.5</v>
      </c>
      <c r="Q283" s="9" t="n">
        <v>49.49</v>
      </c>
      <c r="R283" s="9" t="n">
        <v>31.89</v>
      </c>
      <c r="S283" s="9" t="n">
        <v>17.6</v>
      </c>
      <c r="T283" s="10" t="n">
        <v>0.3556</v>
      </c>
    </row>
    <row r="284">
      <c r="A284" s="7" t="inlineStr">
        <is>
          <t>ORD-2024-1299</t>
        </is>
      </c>
      <c r="B284" s="7" t="inlineStr">
        <is>
          <t>2024-05-03</t>
        </is>
      </c>
      <c r="C284" s="7" t="inlineStr">
        <is>
          <t>TEC-TAB-003</t>
        </is>
      </c>
      <c r="D284" s="7" t="inlineStr">
        <is>
          <t>VisionPad Pro 11"</t>
        </is>
      </c>
      <c r="E284" s="7" t="inlineStr">
        <is>
          <t>Technology</t>
        </is>
      </c>
      <c r="F284" s="7" t="inlineStr">
        <is>
          <t>Phones &amp; Tablets</t>
        </is>
      </c>
      <c r="G284" s="7" t="inlineStr">
        <is>
          <t>South</t>
        </is>
      </c>
      <c r="H284" s="7" t="inlineStr">
        <is>
          <t>Florida</t>
        </is>
      </c>
      <c r="I284" s="7" t="inlineStr">
        <is>
          <t>Wholesale</t>
        </is>
      </c>
      <c r="J284" s="7" t="inlineStr">
        <is>
          <t>Consumer</t>
        </is>
      </c>
      <c r="K284" s="8" t="n">
        <v>6</v>
      </c>
      <c r="L284" s="9" t="n">
        <v>649.99</v>
      </c>
      <c r="M284" s="10" t="n">
        <v>0.15</v>
      </c>
      <c r="N284" s="9" t="n">
        <v>487.49</v>
      </c>
      <c r="O284" s="9" t="n">
        <v>3899.94</v>
      </c>
      <c r="P284" s="9" t="n">
        <v>584.99</v>
      </c>
      <c r="Q284" s="9" t="n">
        <v>3314.95</v>
      </c>
      <c r="R284" s="9" t="n">
        <v>2924.94</v>
      </c>
      <c r="S284" s="9" t="n">
        <v>390.01</v>
      </c>
      <c r="T284" s="10" t="n">
        <v>0.1177</v>
      </c>
    </row>
    <row r="285">
      <c r="A285" s="7" t="inlineStr">
        <is>
          <t>ORD-2024-1709</t>
        </is>
      </c>
      <c r="B285" s="7" t="inlineStr">
        <is>
          <t>2024-05-03</t>
        </is>
      </c>
      <c r="C285" s="7" t="inlineStr">
        <is>
          <t>FUR-BOK-005</t>
        </is>
      </c>
      <c r="D285" s="7" t="inlineStr">
        <is>
          <t>Modular 5-Tier Steel Bookcase</t>
        </is>
      </c>
      <c r="E285" s="7" t="inlineStr">
        <is>
          <t>Furniture</t>
        </is>
      </c>
      <c r="F285" s="7" t="inlineStr">
        <is>
          <t>Bookcases</t>
        </is>
      </c>
      <c r="G285" s="7" t="inlineStr">
        <is>
          <t>Central</t>
        </is>
      </c>
      <c r="H285" s="7" t="inlineStr">
        <is>
          <t>Texas</t>
        </is>
      </c>
      <c r="I285" s="7" t="inlineStr">
        <is>
          <t>Online</t>
        </is>
      </c>
      <c r="J285" s="7" t="inlineStr">
        <is>
          <t>Corporate</t>
        </is>
      </c>
      <c r="K285" s="8" t="n">
        <v>2</v>
      </c>
      <c r="L285" s="9" t="n">
        <v>189.99</v>
      </c>
      <c r="M285" s="10" t="n">
        <v>0</v>
      </c>
      <c r="N285" s="9" t="n">
        <v>142.49</v>
      </c>
      <c r="O285" s="9" t="n">
        <v>379.98</v>
      </c>
      <c r="P285" s="9" t="n">
        <v>0</v>
      </c>
      <c r="Q285" s="9" t="n">
        <v>379.98</v>
      </c>
      <c r="R285" s="9" t="n">
        <v>284.98</v>
      </c>
      <c r="S285" s="9" t="n">
        <v>95</v>
      </c>
      <c r="T285" s="10" t="n">
        <v>0.25</v>
      </c>
    </row>
    <row r="286">
      <c r="A286" s="7" t="inlineStr">
        <is>
          <t>ORD-2024-1709</t>
        </is>
      </c>
      <c r="B286" s="7" t="inlineStr">
        <is>
          <t>2024-05-03</t>
        </is>
      </c>
      <c r="C286" s="7" t="inlineStr">
        <is>
          <t>TEC-TAB-004</t>
        </is>
      </c>
      <c r="D286" s="7" t="inlineStr">
        <is>
          <t>VisionPad Lite 8.5"</t>
        </is>
      </c>
      <c r="E286" s="7" t="inlineStr">
        <is>
          <t>Technology</t>
        </is>
      </c>
      <c r="F286" s="7" t="inlineStr">
        <is>
          <t>Phones &amp; Tablets</t>
        </is>
      </c>
      <c r="G286" s="7" t="inlineStr">
        <is>
          <t>Central</t>
        </is>
      </c>
      <c r="H286" s="7" t="inlineStr">
        <is>
          <t>Texas</t>
        </is>
      </c>
      <c r="I286" s="7" t="inlineStr">
        <is>
          <t>Online</t>
        </is>
      </c>
      <c r="J286" s="7" t="inlineStr">
        <is>
          <t>Corporate</t>
        </is>
      </c>
      <c r="K286" s="8" t="n">
        <v>2</v>
      </c>
      <c r="L286" s="9" t="n">
        <v>299.99</v>
      </c>
      <c r="M286" s="10" t="n">
        <v>0</v>
      </c>
      <c r="N286" s="9" t="n">
        <v>245.99</v>
      </c>
      <c r="O286" s="9" t="n">
        <v>599.98</v>
      </c>
      <c r="P286" s="9" t="n">
        <v>0</v>
      </c>
      <c r="Q286" s="9" t="n">
        <v>599.98</v>
      </c>
      <c r="R286" s="9" t="n">
        <v>491.98</v>
      </c>
      <c r="S286" s="9" t="n">
        <v>108</v>
      </c>
      <c r="T286" s="10" t="n">
        <v>0.18</v>
      </c>
    </row>
    <row r="287">
      <c r="A287" s="7" t="inlineStr">
        <is>
          <t>ORD-2024-1709</t>
        </is>
      </c>
      <c r="B287" s="7" t="inlineStr">
        <is>
          <t>2024-05-03</t>
        </is>
      </c>
      <c r="C287" s="7" t="inlineStr">
        <is>
          <t>FUR-DSK-003</t>
        </is>
      </c>
      <c r="D287" s="7" t="inlineStr">
        <is>
          <t>ApexMotor Dual-Motor Standing Desk</t>
        </is>
      </c>
      <c r="E287" s="7" t="inlineStr">
        <is>
          <t>Furniture</t>
        </is>
      </c>
      <c r="F287" s="7" t="inlineStr">
        <is>
          <t>Desks &amp; Workstations</t>
        </is>
      </c>
      <c r="G287" s="7" t="inlineStr">
        <is>
          <t>Central</t>
        </is>
      </c>
      <c r="H287" s="7" t="inlineStr">
        <is>
          <t>Texas</t>
        </is>
      </c>
      <c r="I287" s="7" t="inlineStr">
        <is>
          <t>Online</t>
        </is>
      </c>
      <c r="J287" s="7" t="inlineStr">
        <is>
          <t>Corporate</t>
        </is>
      </c>
      <c r="K287" s="8" t="n">
        <v>4</v>
      </c>
      <c r="L287" s="9" t="n">
        <v>549.99</v>
      </c>
      <c r="M287" s="10" t="n">
        <v>0</v>
      </c>
      <c r="N287" s="9" t="n">
        <v>439.99</v>
      </c>
      <c r="O287" s="9" t="n">
        <v>2199.96</v>
      </c>
      <c r="P287" s="9" t="n">
        <v>0</v>
      </c>
      <c r="Q287" s="9" t="n">
        <v>2199.96</v>
      </c>
      <c r="R287" s="9" t="n">
        <v>1759.96</v>
      </c>
      <c r="S287" s="9" t="n">
        <v>440</v>
      </c>
      <c r="T287" s="10" t="n">
        <v>0.2</v>
      </c>
    </row>
    <row r="288">
      <c r="A288" s="7" t="inlineStr">
        <is>
          <t>ORD-2024-1051</t>
        </is>
      </c>
      <c r="B288" s="7" t="inlineStr">
        <is>
          <t>2024-05-04</t>
        </is>
      </c>
      <c r="C288" s="7" t="inlineStr">
        <is>
          <t>FUR-DSK-004</t>
        </is>
      </c>
      <c r="D288" s="7" t="inlineStr">
        <is>
          <t>Metro Compact Corner Workstation</t>
        </is>
      </c>
      <c r="E288" s="7" t="inlineStr">
        <is>
          <t>Furniture</t>
        </is>
      </c>
      <c r="F288" s="7" t="inlineStr">
        <is>
          <t>Desks &amp; Workstations</t>
        </is>
      </c>
      <c r="G288" s="7" t="inlineStr">
        <is>
          <t>South</t>
        </is>
      </c>
      <c r="H288" s="7" t="inlineStr">
        <is>
          <t>Virginia</t>
        </is>
      </c>
      <c r="I288" s="7" t="inlineStr">
        <is>
          <t>Retail Partner</t>
        </is>
      </c>
      <c r="J288" s="7" t="inlineStr">
        <is>
          <t>Corporate</t>
        </is>
      </c>
      <c r="K288" s="8" t="n">
        <v>5</v>
      </c>
      <c r="L288" s="9" t="n">
        <v>329.99</v>
      </c>
      <c r="M288" s="10" t="n">
        <v>0</v>
      </c>
      <c r="N288" s="9" t="n">
        <v>250.79</v>
      </c>
      <c r="O288" s="9" t="n">
        <v>1649.95</v>
      </c>
      <c r="P288" s="9" t="n">
        <v>0</v>
      </c>
      <c r="Q288" s="9" t="n">
        <v>1649.95</v>
      </c>
      <c r="R288" s="9" t="n">
        <v>1253.95</v>
      </c>
      <c r="S288" s="9" t="n">
        <v>396</v>
      </c>
      <c r="T288" s="10" t="n">
        <v>0.24</v>
      </c>
    </row>
    <row r="289">
      <c r="A289" s="7" t="inlineStr">
        <is>
          <t>ORD-2024-1008</t>
        </is>
      </c>
      <c r="B289" s="7" t="inlineStr">
        <is>
          <t>2024-05-05</t>
        </is>
      </c>
      <c r="C289" s="7" t="inlineStr">
        <is>
          <t>FUR-DSK-003</t>
        </is>
      </c>
      <c r="D289" s="7" t="inlineStr">
        <is>
          <t>ApexMotor Dual-Motor Standing Desk</t>
        </is>
      </c>
      <c r="E289" s="7" t="inlineStr">
        <is>
          <t>Furniture</t>
        </is>
      </c>
      <c r="F289" s="7" t="inlineStr">
        <is>
          <t>Desks &amp; Workstations</t>
        </is>
      </c>
      <c r="G289" s="7" t="inlineStr">
        <is>
          <t>East</t>
        </is>
      </c>
      <c r="H289" s="7" t="inlineStr">
        <is>
          <t>Pennsylvania</t>
        </is>
      </c>
      <c r="I289" s="7" t="inlineStr">
        <is>
          <t>Direct Sales</t>
        </is>
      </c>
      <c r="J289" s="7" t="inlineStr">
        <is>
          <t>Consumer</t>
        </is>
      </c>
      <c r="K289" s="8" t="n">
        <v>1</v>
      </c>
      <c r="L289" s="9" t="n">
        <v>549.99</v>
      </c>
      <c r="M289" s="10" t="n">
        <v>0.05</v>
      </c>
      <c r="N289" s="9" t="n">
        <v>439.99</v>
      </c>
      <c r="O289" s="9" t="n">
        <v>549.99</v>
      </c>
      <c r="P289" s="9" t="n">
        <v>27.5</v>
      </c>
      <c r="Q289" s="9" t="n">
        <v>522.49</v>
      </c>
      <c r="R289" s="9" t="n">
        <v>439.99</v>
      </c>
      <c r="S289" s="9" t="n">
        <v>82.5</v>
      </c>
      <c r="T289" s="10" t="n">
        <v>0.1579</v>
      </c>
    </row>
    <row r="290">
      <c r="A290" s="7" t="inlineStr">
        <is>
          <t>ORD-2024-1008</t>
        </is>
      </c>
      <c r="B290" s="7" t="inlineStr">
        <is>
          <t>2024-05-05</t>
        </is>
      </c>
      <c r="C290" s="7" t="inlineStr">
        <is>
          <t>TEC-TAB-003</t>
        </is>
      </c>
      <c r="D290" s="7" t="inlineStr">
        <is>
          <t>VisionPad Pro 11"</t>
        </is>
      </c>
      <c r="E290" s="7" t="inlineStr">
        <is>
          <t>Technology</t>
        </is>
      </c>
      <c r="F290" s="7" t="inlineStr">
        <is>
          <t>Phones &amp; Tablets</t>
        </is>
      </c>
      <c r="G290" s="7" t="inlineStr">
        <is>
          <t>East</t>
        </is>
      </c>
      <c r="H290" s="7" t="inlineStr">
        <is>
          <t>Pennsylvania</t>
        </is>
      </c>
      <c r="I290" s="7" t="inlineStr">
        <is>
          <t>Direct Sales</t>
        </is>
      </c>
      <c r="J290" s="7" t="inlineStr">
        <is>
          <t>Consumer</t>
        </is>
      </c>
      <c r="K290" s="8" t="n">
        <v>4</v>
      </c>
      <c r="L290" s="9" t="n">
        <v>649.99</v>
      </c>
      <c r="M290" s="10" t="n">
        <v>0.1</v>
      </c>
      <c r="N290" s="9" t="n">
        <v>487.49</v>
      </c>
      <c r="O290" s="9" t="n">
        <v>2599.96</v>
      </c>
      <c r="P290" s="9" t="n">
        <v>260</v>
      </c>
      <c r="Q290" s="9" t="n">
        <v>2339.96</v>
      </c>
      <c r="R290" s="9" t="n">
        <v>1949.96</v>
      </c>
      <c r="S290" s="9" t="n">
        <v>390</v>
      </c>
      <c r="T290" s="10" t="n">
        <v>0.1667</v>
      </c>
    </row>
    <row r="291">
      <c r="A291" s="7" t="inlineStr">
        <is>
          <t>ORD-2024-1008</t>
        </is>
      </c>
      <c r="B291" s="7" t="inlineStr">
        <is>
          <t>2024-05-05</t>
        </is>
      </c>
      <c r="C291" s="7" t="inlineStr">
        <is>
          <t>TEC-TAB-004</t>
        </is>
      </c>
      <c r="D291" s="7" t="inlineStr">
        <is>
          <t>VisionPad Lite 8.5"</t>
        </is>
      </c>
      <c r="E291" s="7" t="inlineStr">
        <is>
          <t>Technology</t>
        </is>
      </c>
      <c r="F291" s="7" t="inlineStr">
        <is>
          <t>Phones &amp; Tablets</t>
        </is>
      </c>
      <c r="G291" s="7" t="inlineStr">
        <is>
          <t>East</t>
        </is>
      </c>
      <c r="H291" s="7" t="inlineStr">
        <is>
          <t>Pennsylvania</t>
        </is>
      </c>
      <c r="I291" s="7" t="inlineStr">
        <is>
          <t>Direct Sales</t>
        </is>
      </c>
      <c r="J291" s="7" t="inlineStr">
        <is>
          <t>Consumer</t>
        </is>
      </c>
      <c r="K291" s="8" t="n">
        <v>3</v>
      </c>
      <c r="L291" s="9" t="n">
        <v>299.99</v>
      </c>
      <c r="M291" s="10" t="n">
        <v>0.1</v>
      </c>
      <c r="N291" s="9" t="n">
        <v>245.99</v>
      </c>
      <c r="O291" s="9" t="n">
        <v>899.97</v>
      </c>
      <c r="P291" s="9" t="n">
        <v>90</v>
      </c>
      <c r="Q291" s="9" t="n">
        <v>809.97</v>
      </c>
      <c r="R291" s="9" t="n">
        <v>737.97</v>
      </c>
      <c r="S291" s="9" t="n">
        <v>72</v>
      </c>
      <c r="T291" s="10" t="n">
        <v>0.08890000000000001</v>
      </c>
    </row>
    <row r="292">
      <c r="A292" s="7" t="inlineStr">
        <is>
          <t>ORD-2024-1136</t>
        </is>
      </c>
      <c r="B292" s="7" t="inlineStr">
        <is>
          <t>2024-05-05</t>
        </is>
      </c>
      <c r="C292" s="7" t="inlineStr">
        <is>
          <t>TEC-ACC-006</t>
        </is>
      </c>
      <c r="D292" s="7" t="inlineStr">
        <is>
          <t>MultiPort Thunderbolt 4 Dock</t>
        </is>
      </c>
      <c r="E292" s="7" t="inlineStr">
        <is>
          <t>Technology</t>
        </is>
      </c>
      <c r="F292" s="7" t="inlineStr">
        <is>
          <t>Audio &amp; Accessories</t>
        </is>
      </c>
      <c r="G292" s="7" t="inlineStr">
        <is>
          <t>Central</t>
        </is>
      </c>
      <c r="H292" s="7" t="inlineStr">
        <is>
          <t>Michigan</t>
        </is>
      </c>
      <c r="I292" s="7" t="inlineStr">
        <is>
          <t>Online</t>
        </is>
      </c>
      <c r="J292" s="7" t="inlineStr">
        <is>
          <t>Consumer</t>
        </is>
      </c>
      <c r="K292" s="8" t="n">
        <v>1</v>
      </c>
      <c r="L292" s="9" t="n">
        <v>149.99</v>
      </c>
      <c r="M292" s="10" t="n">
        <v>0.05</v>
      </c>
      <c r="N292" s="9" t="n">
        <v>98.98999999999999</v>
      </c>
      <c r="O292" s="9" t="n">
        <v>149.99</v>
      </c>
      <c r="P292" s="9" t="n">
        <v>7.5</v>
      </c>
      <c r="Q292" s="9" t="n">
        <v>142.49</v>
      </c>
      <c r="R292" s="9" t="n">
        <v>98.98999999999999</v>
      </c>
      <c r="S292" s="9" t="n">
        <v>43.5</v>
      </c>
      <c r="T292" s="10" t="n">
        <v>0.3053</v>
      </c>
    </row>
    <row r="293">
      <c r="A293" s="7" t="inlineStr">
        <is>
          <t>ORD-2024-1270</t>
        </is>
      </c>
      <c r="B293" s="7" t="inlineStr">
        <is>
          <t>2024-05-05</t>
        </is>
      </c>
      <c r="C293" s="7" t="inlineStr">
        <is>
          <t>OFF-STR-001</t>
        </is>
      </c>
      <c r="D293" s="7" t="inlineStr">
        <is>
          <t>SteelLock 3-Drawer File Cabinet</t>
        </is>
      </c>
      <c r="E293" s="7" t="inlineStr">
        <is>
          <t>Office Supplies</t>
        </is>
      </c>
      <c r="F293" s="7" t="inlineStr">
        <is>
          <t>Storage &amp; Organizers</t>
        </is>
      </c>
      <c r="G293" s="7" t="inlineStr">
        <is>
          <t>West</t>
        </is>
      </c>
      <c r="H293" s="7" t="inlineStr">
        <is>
          <t>Colorado</t>
        </is>
      </c>
      <c r="I293" s="7" t="inlineStr">
        <is>
          <t>Retail Partner</t>
        </is>
      </c>
      <c r="J293" s="7" t="inlineStr">
        <is>
          <t>Consumer</t>
        </is>
      </c>
      <c r="K293" s="8" t="n">
        <v>3</v>
      </c>
      <c r="L293" s="9" t="n">
        <v>169.99</v>
      </c>
      <c r="M293" s="10" t="n">
        <v>0.15</v>
      </c>
      <c r="N293" s="9" t="n">
        <v>115.59</v>
      </c>
      <c r="O293" s="9" t="n">
        <v>509.97</v>
      </c>
      <c r="P293" s="9" t="n">
        <v>76.5</v>
      </c>
      <c r="Q293" s="9" t="n">
        <v>433.47</v>
      </c>
      <c r="R293" s="9" t="n">
        <v>346.77</v>
      </c>
      <c r="S293" s="9" t="n">
        <v>86.7</v>
      </c>
      <c r="T293" s="10" t="n">
        <v>0.2</v>
      </c>
    </row>
    <row r="294">
      <c r="A294" s="7" t="inlineStr">
        <is>
          <t>ORD-2024-1432</t>
        </is>
      </c>
      <c r="B294" s="7" t="inlineStr">
        <is>
          <t>2024-05-05</t>
        </is>
      </c>
      <c r="C294" s="7" t="inlineStr">
        <is>
          <t>TEC-ACC-005</t>
        </is>
      </c>
      <c r="D294" s="7" t="inlineStr">
        <is>
          <t>UltraWireless Noise-Canceling Headset</t>
        </is>
      </c>
      <c r="E294" s="7" t="inlineStr">
        <is>
          <t>Technology</t>
        </is>
      </c>
      <c r="F294" s="7" t="inlineStr">
        <is>
          <t>Audio &amp; Accessories</t>
        </is>
      </c>
      <c r="G294" s="7" t="inlineStr">
        <is>
          <t>East</t>
        </is>
      </c>
      <c r="H294" s="7" t="inlineStr">
        <is>
          <t>Pennsylvania</t>
        </is>
      </c>
      <c r="I294" s="7" t="inlineStr">
        <is>
          <t>Wholesale</t>
        </is>
      </c>
      <c r="J294" s="7" t="inlineStr">
        <is>
          <t>Corporate</t>
        </is>
      </c>
      <c r="K294" s="8" t="n">
        <v>11</v>
      </c>
      <c r="L294" s="9" t="n">
        <v>179.99</v>
      </c>
      <c r="M294" s="10" t="n">
        <v>0.1</v>
      </c>
      <c r="N294" s="9" t="n">
        <v>111.59</v>
      </c>
      <c r="O294" s="9" t="n">
        <v>1979.89</v>
      </c>
      <c r="P294" s="9" t="n">
        <v>197.99</v>
      </c>
      <c r="Q294" s="9" t="n">
        <v>1781.9</v>
      </c>
      <c r="R294" s="9" t="n">
        <v>1227.49</v>
      </c>
      <c r="S294" s="9" t="n">
        <v>554.41</v>
      </c>
      <c r="T294" s="10" t="n">
        <v>0.3111</v>
      </c>
    </row>
    <row r="295">
      <c r="A295" s="7" t="inlineStr">
        <is>
          <t>ORD-2024-1104</t>
        </is>
      </c>
      <c r="B295" s="7" t="inlineStr">
        <is>
          <t>2024-05-07</t>
        </is>
      </c>
      <c r="C295" s="7" t="inlineStr">
        <is>
          <t>OFF-DSK-008</t>
        </is>
      </c>
      <c r="D295" s="7" t="inlineStr">
        <is>
          <t>Steel Desktop Mesh Organizer Caddy</t>
        </is>
      </c>
      <c r="E295" s="7" t="inlineStr">
        <is>
          <t>Office Supplies</t>
        </is>
      </c>
      <c r="F295" s="7" t="inlineStr">
        <is>
          <t>Desk Supplies</t>
        </is>
      </c>
      <c r="G295" s="7" t="inlineStr">
        <is>
          <t>West</t>
        </is>
      </c>
      <c r="H295" s="7" t="inlineStr">
        <is>
          <t>Colorado</t>
        </is>
      </c>
      <c r="I295" s="7" t="inlineStr">
        <is>
          <t>Online</t>
        </is>
      </c>
      <c r="J295" s="7" t="inlineStr">
        <is>
          <t>Consumer</t>
        </is>
      </c>
      <c r="K295" s="8" t="n">
        <v>4</v>
      </c>
      <c r="L295" s="9" t="n">
        <v>18.99</v>
      </c>
      <c r="M295" s="10" t="n">
        <v>0.1</v>
      </c>
      <c r="N295" s="9" t="n">
        <v>8.550000000000001</v>
      </c>
      <c r="O295" s="9" t="n">
        <v>75.95999999999999</v>
      </c>
      <c r="P295" s="9" t="n">
        <v>7.6</v>
      </c>
      <c r="Q295" s="9" t="n">
        <v>68.36</v>
      </c>
      <c r="R295" s="9" t="n">
        <v>34.2</v>
      </c>
      <c r="S295" s="9" t="n">
        <v>34.16</v>
      </c>
      <c r="T295" s="10" t="n">
        <v>0.4997</v>
      </c>
    </row>
    <row r="296">
      <c r="A296" s="7" t="inlineStr">
        <is>
          <t>ORD-2024-1411</t>
        </is>
      </c>
      <c r="B296" s="7" t="inlineStr">
        <is>
          <t>2024-05-09</t>
        </is>
      </c>
      <c r="C296" s="7" t="inlineStr">
        <is>
          <t>TEC-TAB-003</t>
        </is>
      </c>
      <c r="D296" s="7" t="inlineStr">
        <is>
          <t>VisionPad Pro 11"</t>
        </is>
      </c>
      <c r="E296" s="7" t="inlineStr">
        <is>
          <t>Technology</t>
        </is>
      </c>
      <c r="F296" s="7" t="inlineStr">
        <is>
          <t>Phones &amp; Tablets</t>
        </is>
      </c>
      <c r="G296" s="7" t="inlineStr">
        <is>
          <t>Central</t>
        </is>
      </c>
      <c r="H296" s="7" t="inlineStr">
        <is>
          <t>Illinois</t>
        </is>
      </c>
      <c r="I296" s="7" t="inlineStr">
        <is>
          <t>Online</t>
        </is>
      </c>
      <c r="J296" s="7" t="inlineStr">
        <is>
          <t>Corporate</t>
        </is>
      </c>
      <c r="K296" s="8" t="n">
        <v>7</v>
      </c>
      <c r="L296" s="9" t="n">
        <v>649.99</v>
      </c>
      <c r="M296" s="10" t="n">
        <v>0</v>
      </c>
      <c r="N296" s="9" t="n">
        <v>487.49</v>
      </c>
      <c r="O296" s="9" t="n">
        <v>4549.93</v>
      </c>
      <c r="P296" s="9" t="n">
        <v>0</v>
      </c>
      <c r="Q296" s="9" t="n">
        <v>4549.93</v>
      </c>
      <c r="R296" s="9" t="n">
        <v>3412.43</v>
      </c>
      <c r="S296" s="9" t="n">
        <v>1137.5</v>
      </c>
      <c r="T296" s="10" t="n">
        <v>0.25</v>
      </c>
    </row>
    <row r="297">
      <c r="A297" s="7" t="inlineStr">
        <is>
          <t>ORD-2024-1411</t>
        </is>
      </c>
      <c r="B297" s="7" t="inlineStr">
        <is>
          <t>2024-05-09</t>
        </is>
      </c>
      <c r="C297" s="7" t="inlineStr">
        <is>
          <t>OFF-DSK-007</t>
        </is>
      </c>
      <c r="D297" s="7" t="inlineStr">
        <is>
          <t>Gel Ergo Mouse Pad &amp; Wrist Rest Combo</t>
        </is>
      </c>
      <c r="E297" s="7" t="inlineStr">
        <is>
          <t>Office Supplies</t>
        </is>
      </c>
      <c r="F297" s="7" t="inlineStr">
        <is>
          <t>Desk Supplies</t>
        </is>
      </c>
      <c r="G297" s="7" t="inlineStr">
        <is>
          <t>Central</t>
        </is>
      </c>
      <c r="H297" s="7" t="inlineStr">
        <is>
          <t>Illinois</t>
        </is>
      </c>
      <c r="I297" s="7" t="inlineStr">
        <is>
          <t>Online</t>
        </is>
      </c>
      <c r="J297" s="7" t="inlineStr">
        <is>
          <t>Corporate</t>
        </is>
      </c>
      <c r="K297" s="8" t="n">
        <v>5</v>
      </c>
      <c r="L297" s="9" t="n">
        <v>21.99</v>
      </c>
      <c r="M297" s="10" t="n">
        <v>0.1</v>
      </c>
      <c r="N297" s="9" t="n">
        <v>10.56</v>
      </c>
      <c r="O297" s="9" t="n">
        <v>109.95</v>
      </c>
      <c r="P297" s="9" t="n">
        <v>11</v>
      </c>
      <c r="Q297" s="9" t="n">
        <v>98.95</v>
      </c>
      <c r="R297" s="9" t="n">
        <v>52.8</v>
      </c>
      <c r="S297" s="9" t="n">
        <v>46.15</v>
      </c>
      <c r="T297" s="10" t="n">
        <v>0.4664</v>
      </c>
    </row>
    <row r="298">
      <c r="A298" s="7" t="inlineStr">
        <is>
          <t>ORD-2024-1625</t>
        </is>
      </c>
      <c r="B298" s="7" t="inlineStr">
        <is>
          <t>2024-05-10</t>
        </is>
      </c>
      <c r="C298" s="7" t="inlineStr">
        <is>
          <t>OFF-ART-006</t>
        </is>
      </c>
      <c r="D298" s="7" t="inlineStr">
        <is>
          <t>Professional Presentation Dry Erase Board</t>
        </is>
      </c>
      <c r="E298" s="7" t="inlineStr">
        <is>
          <t>Office Supplies</t>
        </is>
      </c>
      <c r="F298" s="7" t="inlineStr">
        <is>
          <t>Presentation &amp; Art</t>
        </is>
      </c>
      <c r="G298" s="7" t="inlineStr">
        <is>
          <t>South</t>
        </is>
      </c>
      <c r="H298" s="7" t="inlineStr">
        <is>
          <t>North Carolina</t>
        </is>
      </c>
      <c r="I298" s="7" t="inlineStr">
        <is>
          <t>Online</t>
        </is>
      </c>
      <c r="J298" s="7" t="inlineStr">
        <is>
          <t>Corporate</t>
        </is>
      </c>
      <c r="K298" s="8" t="n">
        <v>7</v>
      </c>
      <c r="L298" s="9" t="n">
        <v>89.98999999999999</v>
      </c>
      <c r="M298" s="10" t="n">
        <v>0</v>
      </c>
      <c r="N298" s="9" t="n">
        <v>53.99</v>
      </c>
      <c r="O298" s="9" t="n">
        <v>629.9299999999999</v>
      </c>
      <c r="P298" s="9" t="n">
        <v>0</v>
      </c>
      <c r="Q298" s="9" t="n">
        <v>629.9299999999999</v>
      </c>
      <c r="R298" s="9" t="n">
        <v>377.93</v>
      </c>
      <c r="S298" s="9" t="n">
        <v>252</v>
      </c>
      <c r="T298" s="10" t="n">
        <v>0.4</v>
      </c>
    </row>
    <row r="299">
      <c r="A299" s="7" t="inlineStr">
        <is>
          <t>ORD-2024-1119</t>
        </is>
      </c>
      <c r="B299" s="7" t="inlineStr">
        <is>
          <t>2024-05-11</t>
        </is>
      </c>
      <c r="C299" s="7" t="inlineStr">
        <is>
          <t>OFF-ART-006</t>
        </is>
      </c>
      <c r="D299" s="7" t="inlineStr">
        <is>
          <t>Professional Presentation Dry Erase Board</t>
        </is>
      </c>
      <c r="E299" s="7" t="inlineStr">
        <is>
          <t>Office Supplies</t>
        </is>
      </c>
      <c r="F299" s="7" t="inlineStr">
        <is>
          <t>Presentation &amp; Art</t>
        </is>
      </c>
      <c r="G299" s="7" t="inlineStr">
        <is>
          <t>West</t>
        </is>
      </c>
      <c r="H299" s="7" t="inlineStr">
        <is>
          <t>Colorado</t>
        </is>
      </c>
      <c r="I299" s="7" t="inlineStr">
        <is>
          <t>Retail Partner</t>
        </is>
      </c>
      <c r="J299" s="7" t="inlineStr">
        <is>
          <t>Consumer</t>
        </is>
      </c>
      <c r="K299" s="8" t="n">
        <v>4</v>
      </c>
      <c r="L299" s="9" t="n">
        <v>89.98999999999999</v>
      </c>
      <c r="M299" s="10" t="n">
        <v>0.05</v>
      </c>
      <c r="N299" s="9" t="n">
        <v>53.99</v>
      </c>
      <c r="O299" s="9" t="n">
        <v>359.96</v>
      </c>
      <c r="P299" s="9" t="n">
        <v>18</v>
      </c>
      <c r="Q299" s="9" t="n">
        <v>341.96</v>
      </c>
      <c r="R299" s="9" t="n">
        <v>215.96</v>
      </c>
      <c r="S299" s="9" t="n">
        <v>126</v>
      </c>
      <c r="T299" s="10" t="n">
        <v>0.3685</v>
      </c>
    </row>
    <row r="300">
      <c r="A300" s="7" t="inlineStr">
        <is>
          <t>ORD-2024-1446</t>
        </is>
      </c>
      <c r="B300" s="7" t="inlineStr">
        <is>
          <t>2024-05-11</t>
        </is>
      </c>
      <c r="C300" s="7" t="inlineStr">
        <is>
          <t>FUR-DSK-004</t>
        </is>
      </c>
      <c r="D300" s="7" t="inlineStr">
        <is>
          <t>Metro Compact Corner Workstation</t>
        </is>
      </c>
      <c r="E300" s="7" t="inlineStr">
        <is>
          <t>Furniture</t>
        </is>
      </c>
      <c r="F300" s="7" t="inlineStr">
        <is>
          <t>Desks &amp; Workstations</t>
        </is>
      </c>
      <c r="G300" s="7" t="inlineStr">
        <is>
          <t>East</t>
        </is>
      </c>
      <c r="H300" s="7" t="inlineStr">
        <is>
          <t>Massachusetts</t>
        </is>
      </c>
      <c r="I300" s="7" t="inlineStr">
        <is>
          <t>Online</t>
        </is>
      </c>
      <c r="J300" s="7" t="inlineStr">
        <is>
          <t>Corporate</t>
        </is>
      </c>
      <c r="K300" s="8" t="n">
        <v>5</v>
      </c>
      <c r="L300" s="9" t="n">
        <v>329.99</v>
      </c>
      <c r="M300" s="10" t="n">
        <v>0</v>
      </c>
      <c r="N300" s="9" t="n">
        <v>250.79</v>
      </c>
      <c r="O300" s="9" t="n">
        <v>1649.95</v>
      </c>
      <c r="P300" s="9" t="n">
        <v>0</v>
      </c>
      <c r="Q300" s="9" t="n">
        <v>1649.95</v>
      </c>
      <c r="R300" s="9" t="n">
        <v>1253.95</v>
      </c>
      <c r="S300" s="9" t="n">
        <v>396</v>
      </c>
      <c r="T300" s="10" t="n">
        <v>0.24</v>
      </c>
    </row>
    <row r="301">
      <c r="A301" s="7" t="inlineStr">
        <is>
          <t>ORD-2024-1482</t>
        </is>
      </c>
      <c r="B301" s="7" t="inlineStr">
        <is>
          <t>2024-05-11</t>
        </is>
      </c>
      <c r="C301" s="7" t="inlineStr">
        <is>
          <t>OFF-DSK-008</t>
        </is>
      </c>
      <c r="D301" s="7" t="inlineStr">
        <is>
          <t>Steel Desktop Mesh Organizer Caddy</t>
        </is>
      </c>
      <c r="E301" s="7" t="inlineStr">
        <is>
          <t>Office Supplies</t>
        </is>
      </c>
      <c r="F301" s="7" t="inlineStr">
        <is>
          <t>Desk Supplies</t>
        </is>
      </c>
      <c r="G301" s="7" t="inlineStr">
        <is>
          <t>West</t>
        </is>
      </c>
      <c r="H301" s="7" t="inlineStr">
        <is>
          <t>Oregon</t>
        </is>
      </c>
      <c r="I301" s="7" t="inlineStr">
        <is>
          <t>Direct Sales</t>
        </is>
      </c>
      <c r="J301" s="7" t="inlineStr">
        <is>
          <t>Home Office</t>
        </is>
      </c>
      <c r="K301" s="8" t="n">
        <v>3</v>
      </c>
      <c r="L301" s="9" t="n">
        <v>18.99</v>
      </c>
      <c r="M301" s="10" t="n">
        <v>0</v>
      </c>
      <c r="N301" s="9" t="n">
        <v>8.550000000000001</v>
      </c>
      <c r="O301" s="9" t="n">
        <v>56.97</v>
      </c>
      <c r="P301" s="9" t="n">
        <v>0</v>
      </c>
      <c r="Q301" s="9" t="n">
        <v>56.97</v>
      </c>
      <c r="R301" s="9" t="n">
        <v>25.65</v>
      </c>
      <c r="S301" s="9" t="n">
        <v>31.32</v>
      </c>
      <c r="T301" s="10" t="n">
        <v>0.5498</v>
      </c>
    </row>
    <row r="302">
      <c r="A302" s="7" t="inlineStr">
        <is>
          <t>ORD-2024-1482</t>
        </is>
      </c>
      <c r="B302" s="7" t="inlineStr">
        <is>
          <t>2024-05-11</t>
        </is>
      </c>
      <c r="C302" s="7" t="inlineStr">
        <is>
          <t>OFF-ART-006</t>
        </is>
      </c>
      <c r="D302" s="7" t="inlineStr">
        <is>
          <t>Professional Presentation Dry Erase Board</t>
        </is>
      </c>
      <c r="E302" s="7" t="inlineStr">
        <is>
          <t>Office Supplies</t>
        </is>
      </c>
      <c r="F302" s="7" t="inlineStr">
        <is>
          <t>Presentation &amp; Art</t>
        </is>
      </c>
      <c r="G302" s="7" t="inlineStr">
        <is>
          <t>West</t>
        </is>
      </c>
      <c r="H302" s="7" t="inlineStr">
        <is>
          <t>Oregon</t>
        </is>
      </c>
      <c r="I302" s="7" t="inlineStr">
        <is>
          <t>Direct Sales</t>
        </is>
      </c>
      <c r="J302" s="7" t="inlineStr">
        <is>
          <t>Home Office</t>
        </is>
      </c>
      <c r="K302" s="8" t="n">
        <v>4</v>
      </c>
      <c r="L302" s="9" t="n">
        <v>89.98999999999999</v>
      </c>
      <c r="M302" s="10" t="n">
        <v>0</v>
      </c>
      <c r="N302" s="9" t="n">
        <v>53.99</v>
      </c>
      <c r="O302" s="9" t="n">
        <v>359.96</v>
      </c>
      <c r="P302" s="9" t="n">
        <v>0</v>
      </c>
      <c r="Q302" s="9" t="n">
        <v>359.96</v>
      </c>
      <c r="R302" s="9" t="n">
        <v>215.96</v>
      </c>
      <c r="S302" s="9" t="n">
        <v>144</v>
      </c>
      <c r="T302" s="10" t="n">
        <v>0.4</v>
      </c>
    </row>
    <row r="303">
      <c r="A303" s="7" t="inlineStr">
        <is>
          <t>ORD-2024-1482</t>
        </is>
      </c>
      <c r="B303" s="7" t="inlineStr">
        <is>
          <t>2024-05-11</t>
        </is>
      </c>
      <c r="C303" s="7" t="inlineStr">
        <is>
          <t>TEC-ACC-007</t>
        </is>
      </c>
      <c r="D303" s="7" t="inlineStr">
        <is>
          <t>ErgoMechanical Wireless Keyboard</t>
        </is>
      </c>
      <c r="E303" s="7" t="inlineStr">
        <is>
          <t>Technology</t>
        </is>
      </c>
      <c r="F303" s="7" t="inlineStr">
        <is>
          <t>Audio &amp; Accessories</t>
        </is>
      </c>
      <c r="G303" s="7" t="inlineStr">
        <is>
          <t>West</t>
        </is>
      </c>
      <c r="H303" s="7" t="inlineStr">
        <is>
          <t>Oregon</t>
        </is>
      </c>
      <c r="I303" s="7" t="inlineStr">
        <is>
          <t>Direct Sales</t>
        </is>
      </c>
      <c r="J303" s="7" t="inlineStr">
        <is>
          <t>Home Office</t>
        </is>
      </c>
      <c r="K303" s="8" t="n">
        <v>2</v>
      </c>
      <c r="L303" s="9" t="n">
        <v>109.99</v>
      </c>
      <c r="M303" s="10" t="n">
        <v>0.1</v>
      </c>
      <c r="N303" s="9" t="n">
        <v>65.98999999999999</v>
      </c>
      <c r="O303" s="9" t="n">
        <v>219.98</v>
      </c>
      <c r="P303" s="9" t="n">
        <v>22</v>
      </c>
      <c r="Q303" s="9" t="n">
        <v>197.98</v>
      </c>
      <c r="R303" s="9" t="n">
        <v>131.98</v>
      </c>
      <c r="S303" s="9" t="n">
        <v>66</v>
      </c>
      <c r="T303" s="10" t="n">
        <v>0.3334</v>
      </c>
    </row>
    <row r="304">
      <c r="A304" s="7" t="inlineStr">
        <is>
          <t>ORD-2024-1649</t>
        </is>
      </c>
      <c r="B304" s="7" t="inlineStr">
        <is>
          <t>2024-05-11</t>
        </is>
      </c>
      <c r="C304" s="7" t="inlineStr">
        <is>
          <t>OFF-DSK-008</t>
        </is>
      </c>
      <c r="D304" s="7" t="inlineStr">
        <is>
          <t>Steel Desktop Mesh Organizer Caddy</t>
        </is>
      </c>
      <c r="E304" s="7" t="inlineStr">
        <is>
          <t>Office Supplies</t>
        </is>
      </c>
      <c r="F304" s="7" t="inlineStr">
        <is>
          <t>Desk Supplies</t>
        </is>
      </c>
      <c r="G304" s="7" t="inlineStr">
        <is>
          <t>West</t>
        </is>
      </c>
      <c r="H304" s="7" t="inlineStr">
        <is>
          <t>California</t>
        </is>
      </c>
      <c r="I304" s="7" t="inlineStr">
        <is>
          <t>Online</t>
        </is>
      </c>
      <c r="J304" s="7" t="inlineStr">
        <is>
          <t>Consumer</t>
        </is>
      </c>
      <c r="K304" s="8" t="n">
        <v>2</v>
      </c>
      <c r="L304" s="9" t="n">
        <v>18.99</v>
      </c>
      <c r="M304" s="10" t="n">
        <v>0.05</v>
      </c>
      <c r="N304" s="9" t="n">
        <v>8.550000000000001</v>
      </c>
      <c r="O304" s="9" t="n">
        <v>37.98</v>
      </c>
      <c r="P304" s="9" t="n">
        <v>1.9</v>
      </c>
      <c r="Q304" s="9" t="n">
        <v>36.08</v>
      </c>
      <c r="R304" s="9" t="n">
        <v>17.1</v>
      </c>
      <c r="S304" s="9" t="n">
        <v>18.98</v>
      </c>
      <c r="T304" s="10" t="n">
        <v>0.5261</v>
      </c>
    </row>
    <row r="305">
      <c r="A305" s="7" t="inlineStr">
        <is>
          <t>ORD-2024-1096</t>
        </is>
      </c>
      <c r="B305" s="7" t="inlineStr">
        <is>
          <t>2024-05-12</t>
        </is>
      </c>
      <c r="C305" s="7" t="inlineStr">
        <is>
          <t>FUR-LGT-006</t>
        </is>
      </c>
      <c r="D305" s="7" t="inlineStr">
        <is>
          <t>Architect LED Desk Task Lamp</t>
        </is>
      </c>
      <c r="E305" s="7" t="inlineStr">
        <is>
          <t>Furniture</t>
        </is>
      </c>
      <c r="F305" s="7" t="inlineStr">
        <is>
          <t>Lighting</t>
        </is>
      </c>
      <c r="G305" s="7" t="inlineStr">
        <is>
          <t>Central</t>
        </is>
      </c>
      <c r="H305" s="7" t="inlineStr">
        <is>
          <t>Ohio</t>
        </is>
      </c>
      <c r="I305" s="7" t="inlineStr">
        <is>
          <t>Retail Partner</t>
        </is>
      </c>
      <c r="J305" s="7" t="inlineStr">
        <is>
          <t>Consumer</t>
        </is>
      </c>
      <c r="K305" s="8" t="n">
        <v>1</v>
      </c>
      <c r="L305" s="9" t="n">
        <v>69.98999999999999</v>
      </c>
      <c r="M305" s="10" t="n">
        <v>0</v>
      </c>
      <c r="N305" s="9" t="n">
        <v>43.39</v>
      </c>
      <c r="O305" s="9" t="n">
        <v>69.98999999999999</v>
      </c>
      <c r="P305" s="9" t="n">
        <v>0</v>
      </c>
      <c r="Q305" s="9" t="n">
        <v>69.98999999999999</v>
      </c>
      <c r="R305" s="9" t="n">
        <v>43.39</v>
      </c>
      <c r="S305" s="9" t="n">
        <v>26.6</v>
      </c>
      <c r="T305" s="10" t="n">
        <v>0.3801</v>
      </c>
    </row>
    <row r="306">
      <c r="A306" s="7" t="inlineStr">
        <is>
          <t>ORD-2024-1285</t>
        </is>
      </c>
      <c r="B306" s="7" t="inlineStr">
        <is>
          <t>2024-05-12</t>
        </is>
      </c>
      <c r="C306" s="7" t="inlineStr">
        <is>
          <t>OFF-BIN-005</t>
        </is>
      </c>
      <c r="D306" s="7" t="inlineStr">
        <is>
          <t>Heavy-Duty D-Ring Presentation Binder (6-Pk)</t>
        </is>
      </c>
      <c r="E306" s="7" t="inlineStr">
        <is>
          <t>Office Supplies</t>
        </is>
      </c>
      <c r="F306" s="7" t="inlineStr">
        <is>
          <t>Binders &amp; Fasteners</t>
        </is>
      </c>
      <c r="G306" s="7" t="inlineStr">
        <is>
          <t>Central</t>
        </is>
      </c>
      <c r="H306" s="7" t="inlineStr">
        <is>
          <t>Texas</t>
        </is>
      </c>
      <c r="I306" s="7" t="inlineStr">
        <is>
          <t>Direct Sales</t>
        </is>
      </c>
      <c r="J306" s="7" t="inlineStr">
        <is>
          <t>Consumer</t>
        </is>
      </c>
      <c r="K306" s="8" t="n">
        <v>3</v>
      </c>
      <c r="L306" s="9" t="n">
        <v>27.99</v>
      </c>
      <c r="M306" s="10" t="n">
        <v>0</v>
      </c>
      <c r="N306" s="9" t="n">
        <v>13.99</v>
      </c>
      <c r="O306" s="9" t="n">
        <v>83.97</v>
      </c>
      <c r="P306" s="9" t="n">
        <v>0</v>
      </c>
      <c r="Q306" s="9" t="n">
        <v>83.97</v>
      </c>
      <c r="R306" s="9" t="n">
        <v>41.97</v>
      </c>
      <c r="S306" s="9" t="n">
        <v>42</v>
      </c>
      <c r="T306" s="10" t="n">
        <v>0.5002</v>
      </c>
    </row>
    <row r="307">
      <c r="A307" s="7" t="inlineStr">
        <is>
          <t>ORD-2024-1328</t>
        </is>
      </c>
      <c r="B307" s="7" t="inlineStr">
        <is>
          <t>2024-05-13</t>
        </is>
      </c>
      <c r="C307" s="7" t="inlineStr">
        <is>
          <t>FUR-DSK-003</t>
        </is>
      </c>
      <c r="D307" s="7" t="inlineStr">
        <is>
          <t>ApexMotor Dual-Motor Standing Desk</t>
        </is>
      </c>
      <c r="E307" s="7" t="inlineStr">
        <is>
          <t>Furniture</t>
        </is>
      </c>
      <c r="F307" s="7" t="inlineStr">
        <is>
          <t>Desks &amp; Workstations</t>
        </is>
      </c>
      <c r="G307" s="7" t="inlineStr">
        <is>
          <t>Central</t>
        </is>
      </c>
      <c r="H307" s="7" t="inlineStr">
        <is>
          <t>Illinois</t>
        </is>
      </c>
      <c r="I307" s="7" t="inlineStr">
        <is>
          <t>Direct Sales</t>
        </is>
      </c>
      <c r="J307" s="7" t="inlineStr">
        <is>
          <t>Corporate</t>
        </is>
      </c>
      <c r="K307" s="8" t="n">
        <v>3</v>
      </c>
      <c r="L307" s="9" t="n">
        <v>549.99</v>
      </c>
      <c r="M307" s="10" t="n">
        <v>0</v>
      </c>
      <c r="N307" s="9" t="n">
        <v>439.99</v>
      </c>
      <c r="O307" s="9" t="n">
        <v>1649.97</v>
      </c>
      <c r="P307" s="9" t="n">
        <v>0</v>
      </c>
      <c r="Q307" s="9" t="n">
        <v>1649.97</v>
      </c>
      <c r="R307" s="9" t="n">
        <v>1319.97</v>
      </c>
      <c r="S307" s="9" t="n">
        <v>330</v>
      </c>
      <c r="T307" s="10" t="n">
        <v>0.2</v>
      </c>
    </row>
    <row r="308">
      <c r="A308" s="7" t="inlineStr">
        <is>
          <t>ORD-2024-1328</t>
        </is>
      </c>
      <c r="B308" s="7" t="inlineStr">
        <is>
          <t>2024-05-13</t>
        </is>
      </c>
      <c r="C308" s="7" t="inlineStr">
        <is>
          <t>OFF-ART-006</t>
        </is>
      </c>
      <c r="D308" s="7" t="inlineStr">
        <is>
          <t>Professional Presentation Dry Erase Board</t>
        </is>
      </c>
      <c r="E308" s="7" t="inlineStr">
        <is>
          <t>Office Supplies</t>
        </is>
      </c>
      <c r="F308" s="7" t="inlineStr">
        <is>
          <t>Presentation &amp; Art</t>
        </is>
      </c>
      <c r="G308" s="7" t="inlineStr">
        <is>
          <t>Central</t>
        </is>
      </c>
      <c r="H308" s="7" t="inlineStr">
        <is>
          <t>Illinois</t>
        </is>
      </c>
      <c r="I308" s="7" t="inlineStr">
        <is>
          <t>Direct Sales</t>
        </is>
      </c>
      <c r="J308" s="7" t="inlineStr">
        <is>
          <t>Corporate</t>
        </is>
      </c>
      <c r="K308" s="8" t="n">
        <v>5</v>
      </c>
      <c r="L308" s="9" t="n">
        <v>89.98999999999999</v>
      </c>
      <c r="M308" s="10" t="n">
        <v>0.1</v>
      </c>
      <c r="N308" s="9" t="n">
        <v>53.99</v>
      </c>
      <c r="O308" s="9" t="n">
        <v>449.95</v>
      </c>
      <c r="P308" s="9" t="n">
        <v>45</v>
      </c>
      <c r="Q308" s="9" t="n">
        <v>404.95</v>
      </c>
      <c r="R308" s="9" t="n">
        <v>269.95</v>
      </c>
      <c r="S308" s="9" t="n">
        <v>135</v>
      </c>
      <c r="T308" s="10" t="n">
        <v>0.3334</v>
      </c>
    </row>
    <row r="309">
      <c r="A309" s="7" t="inlineStr">
        <is>
          <t>ORD-2024-1559</t>
        </is>
      </c>
      <c r="B309" s="7" t="inlineStr">
        <is>
          <t>2024-05-13</t>
        </is>
      </c>
      <c r="C309" s="7" t="inlineStr">
        <is>
          <t>TEC-TAB-003</t>
        </is>
      </c>
      <c r="D309" s="7" t="inlineStr">
        <is>
          <t>VisionPad Pro 11"</t>
        </is>
      </c>
      <c r="E309" s="7" t="inlineStr">
        <is>
          <t>Technology</t>
        </is>
      </c>
      <c r="F309" s="7" t="inlineStr">
        <is>
          <t>Phones &amp; Tablets</t>
        </is>
      </c>
      <c r="G309" s="7" t="inlineStr">
        <is>
          <t>East</t>
        </is>
      </c>
      <c r="H309" s="7" t="inlineStr">
        <is>
          <t>New York</t>
        </is>
      </c>
      <c r="I309" s="7" t="inlineStr">
        <is>
          <t>Online</t>
        </is>
      </c>
      <c r="J309" s="7" t="inlineStr">
        <is>
          <t>Corporate</t>
        </is>
      </c>
      <c r="K309" s="8" t="n">
        <v>3</v>
      </c>
      <c r="L309" s="9" t="n">
        <v>649.99</v>
      </c>
      <c r="M309" s="10" t="n">
        <v>0.1</v>
      </c>
      <c r="N309" s="9" t="n">
        <v>487.49</v>
      </c>
      <c r="O309" s="9" t="n">
        <v>1949.97</v>
      </c>
      <c r="P309" s="9" t="n">
        <v>195</v>
      </c>
      <c r="Q309" s="9" t="n">
        <v>1754.97</v>
      </c>
      <c r="R309" s="9" t="n">
        <v>1462.47</v>
      </c>
      <c r="S309" s="9" t="n">
        <v>292.5</v>
      </c>
      <c r="T309" s="10" t="n">
        <v>0.1667</v>
      </c>
    </row>
    <row r="310">
      <c r="A310" s="7" t="inlineStr">
        <is>
          <t>ORD-2024-1052</t>
        </is>
      </c>
      <c r="B310" s="7" t="inlineStr">
        <is>
          <t>2024-05-14</t>
        </is>
      </c>
      <c r="C310" s="7" t="inlineStr">
        <is>
          <t>TEC-LAP-002</t>
        </is>
      </c>
      <c r="D310" s="7" t="inlineStr">
        <is>
          <t>Apex Gaming Laptop 17"</t>
        </is>
      </c>
      <c r="E310" s="7" t="inlineStr">
        <is>
          <t>Technology</t>
        </is>
      </c>
      <c r="F310" s="7" t="inlineStr">
        <is>
          <t>Laptops</t>
        </is>
      </c>
      <c r="G310" s="7" t="inlineStr">
        <is>
          <t>East</t>
        </is>
      </c>
      <c r="H310" s="7" t="inlineStr">
        <is>
          <t>New Jersey</t>
        </is>
      </c>
      <c r="I310" s="7" t="inlineStr">
        <is>
          <t>Retail Partner</t>
        </is>
      </c>
      <c r="J310" s="7" t="inlineStr">
        <is>
          <t>Consumer</t>
        </is>
      </c>
      <c r="K310" s="8" t="n">
        <v>1</v>
      </c>
      <c r="L310" s="9" t="n">
        <v>1499.99</v>
      </c>
      <c r="M310" s="10" t="n">
        <v>0.1</v>
      </c>
      <c r="N310" s="9" t="n">
        <v>1259.99</v>
      </c>
      <c r="O310" s="9" t="n">
        <v>1499.99</v>
      </c>
      <c r="P310" s="9" t="n">
        <v>150</v>
      </c>
      <c r="Q310" s="9" t="n">
        <v>1349.99</v>
      </c>
      <c r="R310" s="9" t="n">
        <v>1259.99</v>
      </c>
      <c r="S310" s="9" t="n">
        <v>90</v>
      </c>
      <c r="T310" s="10" t="n">
        <v>0.0667</v>
      </c>
    </row>
    <row r="311">
      <c r="A311" s="7" t="inlineStr">
        <is>
          <t>ORD-2024-1493</t>
        </is>
      </c>
      <c r="B311" s="7" t="inlineStr">
        <is>
          <t>2024-05-14</t>
        </is>
      </c>
      <c r="C311" s="7" t="inlineStr">
        <is>
          <t>OFF-STR-002</t>
        </is>
      </c>
      <c r="D311" s="7" t="inlineStr">
        <is>
          <t>Stackable Heavy-Duty Storage Bins (4-Pk)</t>
        </is>
      </c>
      <c r="E311" s="7" t="inlineStr">
        <is>
          <t>Office Supplies</t>
        </is>
      </c>
      <c r="F311" s="7" t="inlineStr">
        <is>
          <t>Storage &amp; Organizers</t>
        </is>
      </c>
      <c r="G311" s="7" t="inlineStr">
        <is>
          <t>East</t>
        </is>
      </c>
      <c r="H311" s="7" t="inlineStr">
        <is>
          <t>Massachusetts</t>
        </is>
      </c>
      <c r="I311" s="7" t="inlineStr">
        <is>
          <t>Wholesale</t>
        </is>
      </c>
      <c r="J311" s="7" t="inlineStr">
        <is>
          <t>Corporate</t>
        </is>
      </c>
      <c r="K311" s="8" t="n">
        <v>6</v>
      </c>
      <c r="L311" s="9" t="n">
        <v>44.99</v>
      </c>
      <c r="M311" s="10" t="n">
        <v>0.15</v>
      </c>
      <c r="N311" s="9" t="n">
        <v>24.74</v>
      </c>
      <c r="O311" s="9" t="n">
        <v>269.94</v>
      </c>
      <c r="P311" s="9" t="n">
        <v>40.49</v>
      </c>
      <c r="Q311" s="9" t="n">
        <v>229.45</v>
      </c>
      <c r="R311" s="9" t="n">
        <v>148.44</v>
      </c>
      <c r="S311" s="9" t="n">
        <v>81.01000000000001</v>
      </c>
      <c r="T311" s="10" t="n">
        <v>0.3531</v>
      </c>
    </row>
    <row r="312">
      <c r="A312" s="7" t="inlineStr">
        <is>
          <t>ORD-2024-1493</t>
        </is>
      </c>
      <c r="B312" s="7" t="inlineStr">
        <is>
          <t>2024-05-14</t>
        </is>
      </c>
      <c r="C312" s="7" t="inlineStr">
        <is>
          <t>OFF-DSK-008</t>
        </is>
      </c>
      <c r="D312" s="7" t="inlineStr">
        <is>
          <t>Steel Desktop Mesh Organizer Caddy</t>
        </is>
      </c>
      <c r="E312" s="7" t="inlineStr">
        <is>
          <t>Office Supplies</t>
        </is>
      </c>
      <c r="F312" s="7" t="inlineStr">
        <is>
          <t>Desk Supplies</t>
        </is>
      </c>
      <c r="G312" s="7" t="inlineStr">
        <is>
          <t>East</t>
        </is>
      </c>
      <c r="H312" s="7" t="inlineStr">
        <is>
          <t>Massachusetts</t>
        </is>
      </c>
      <c r="I312" s="7" t="inlineStr">
        <is>
          <t>Wholesale</t>
        </is>
      </c>
      <c r="J312" s="7" t="inlineStr">
        <is>
          <t>Corporate</t>
        </is>
      </c>
      <c r="K312" s="8" t="n">
        <v>7</v>
      </c>
      <c r="L312" s="9" t="n">
        <v>18.99</v>
      </c>
      <c r="M312" s="10" t="n">
        <v>0.15</v>
      </c>
      <c r="N312" s="9" t="n">
        <v>8.550000000000001</v>
      </c>
      <c r="O312" s="9" t="n">
        <v>132.93</v>
      </c>
      <c r="P312" s="9" t="n">
        <v>19.94</v>
      </c>
      <c r="Q312" s="9" t="n">
        <v>112.99</v>
      </c>
      <c r="R312" s="9" t="n">
        <v>59.85</v>
      </c>
      <c r="S312" s="9" t="n">
        <v>53.14</v>
      </c>
      <c r="T312" s="10" t="n">
        <v>0.4703</v>
      </c>
    </row>
    <row r="313">
      <c r="A313" s="7" t="inlineStr">
        <is>
          <t>ORD-2024-1155</t>
        </is>
      </c>
      <c r="B313" s="7" t="inlineStr">
        <is>
          <t>2024-05-15</t>
        </is>
      </c>
      <c r="C313" s="7" t="inlineStr">
        <is>
          <t>FUR-LGT-006</t>
        </is>
      </c>
      <c r="D313" s="7" t="inlineStr">
        <is>
          <t>Architect LED Desk Task Lamp</t>
        </is>
      </c>
      <c r="E313" s="7" t="inlineStr">
        <is>
          <t>Furniture</t>
        </is>
      </c>
      <c r="F313" s="7" t="inlineStr">
        <is>
          <t>Lighting</t>
        </is>
      </c>
      <c r="G313" s="7" t="inlineStr">
        <is>
          <t>Central</t>
        </is>
      </c>
      <c r="H313" s="7" t="inlineStr">
        <is>
          <t>Texas</t>
        </is>
      </c>
      <c r="I313" s="7" t="inlineStr">
        <is>
          <t>Retail Partner</t>
        </is>
      </c>
      <c r="J313" s="7" t="inlineStr">
        <is>
          <t>Corporate</t>
        </is>
      </c>
      <c r="K313" s="8" t="n">
        <v>3</v>
      </c>
      <c r="L313" s="9" t="n">
        <v>69.98999999999999</v>
      </c>
      <c r="M313" s="10" t="n">
        <v>0.05</v>
      </c>
      <c r="N313" s="9" t="n">
        <v>43.39</v>
      </c>
      <c r="O313" s="9" t="n">
        <v>209.97</v>
      </c>
      <c r="P313" s="9" t="n">
        <v>10.5</v>
      </c>
      <c r="Q313" s="9" t="n">
        <v>199.47</v>
      </c>
      <c r="R313" s="9" t="n">
        <v>130.17</v>
      </c>
      <c r="S313" s="9" t="n">
        <v>69.3</v>
      </c>
      <c r="T313" s="10" t="n">
        <v>0.3474</v>
      </c>
    </row>
    <row r="314">
      <c r="A314" s="7" t="inlineStr">
        <is>
          <t>ORD-2024-1314</t>
        </is>
      </c>
      <c r="B314" s="7" t="inlineStr">
        <is>
          <t>2024-05-15</t>
        </is>
      </c>
      <c r="C314" s="7" t="inlineStr">
        <is>
          <t>TEC-ACC-006</t>
        </is>
      </c>
      <c r="D314" s="7" t="inlineStr">
        <is>
          <t>MultiPort Thunderbolt 4 Dock</t>
        </is>
      </c>
      <c r="E314" s="7" t="inlineStr">
        <is>
          <t>Technology</t>
        </is>
      </c>
      <c r="F314" s="7" t="inlineStr">
        <is>
          <t>Audio &amp; Accessories</t>
        </is>
      </c>
      <c r="G314" s="7" t="inlineStr">
        <is>
          <t>West</t>
        </is>
      </c>
      <c r="H314" s="7" t="inlineStr">
        <is>
          <t>Oregon</t>
        </is>
      </c>
      <c r="I314" s="7" t="inlineStr">
        <is>
          <t>Retail Partner</t>
        </is>
      </c>
      <c r="J314" s="7" t="n">
        <v/>
      </c>
      <c r="K314" s="8" t="n">
        <v>3</v>
      </c>
      <c r="L314" s="9" t="n">
        <v>149.99</v>
      </c>
      <c r="M314" s="10" t="n">
        <v>0</v>
      </c>
      <c r="N314" s="9" t="n">
        <v>98.98999999999999</v>
      </c>
      <c r="O314" s="9" t="n">
        <v>449.97</v>
      </c>
      <c r="P314" s="9" t="n">
        <v>0</v>
      </c>
      <c r="Q314" s="9" t="n">
        <v>449.97</v>
      </c>
      <c r="R314" s="9" t="n">
        <v>296.97</v>
      </c>
      <c r="S314" s="9" t="n">
        <v>153</v>
      </c>
      <c r="T314" s="10" t="n">
        <v>0.34</v>
      </c>
    </row>
    <row r="315">
      <c r="A315" s="7" t="inlineStr">
        <is>
          <t>ORD-2024-1314</t>
        </is>
      </c>
      <c r="B315" s="7" t="inlineStr">
        <is>
          <t>2024-05-15</t>
        </is>
      </c>
      <c r="C315" s="7" t="inlineStr">
        <is>
          <t>FUR-CHA-002</t>
        </is>
      </c>
      <c r="D315" s="7" t="inlineStr">
        <is>
          <t>AeroTask Operator Task Chair</t>
        </is>
      </c>
      <c r="E315" s="7" t="inlineStr">
        <is>
          <t>Furniture</t>
        </is>
      </c>
      <c r="F315" s="7" t="inlineStr">
        <is>
          <t>Chairs</t>
        </is>
      </c>
      <c r="G315" s="7" t="inlineStr">
        <is>
          <t>West</t>
        </is>
      </c>
      <c r="H315" s="7" t="inlineStr">
        <is>
          <t>Oregon</t>
        </is>
      </c>
      <c r="I315" s="7" t="inlineStr">
        <is>
          <t>Retail Partner</t>
        </is>
      </c>
      <c r="J315" s="7" t="inlineStr">
        <is>
          <t>Consumer</t>
        </is>
      </c>
      <c r="K315" s="8" t="n">
        <v>3</v>
      </c>
      <c r="L315" s="9" t="n">
        <v>219.99</v>
      </c>
      <c r="M315" s="10" t="n">
        <v>0</v>
      </c>
      <c r="N315" s="9" t="n">
        <v>171.59</v>
      </c>
      <c r="O315" s="9" t="n">
        <v>659.97</v>
      </c>
      <c r="P315" s="9" t="n">
        <v>0</v>
      </c>
      <c r="Q315" s="9" t="n">
        <v>659.97</v>
      </c>
      <c r="R315" s="9" t="n">
        <v>514.77</v>
      </c>
      <c r="S315" s="9" t="n">
        <v>145.2</v>
      </c>
      <c r="T315" s="10" t="n">
        <v>0.22</v>
      </c>
    </row>
    <row r="316">
      <c r="A316" s="7" t="inlineStr">
        <is>
          <t>ORD-2024-1470</t>
        </is>
      </c>
      <c r="B316" s="7" t="inlineStr">
        <is>
          <t>2024-05-16</t>
        </is>
      </c>
      <c r="C316" s="7" t="inlineStr">
        <is>
          <t>FUR-DSK-004</t>
        </is>
      </c>
      <c r="D316" s="7" t="inlineStr">
        <is>
          <t>Metro Compact Corner Workstation</t>
        </is>
      </c>
      <c r="E316" s="7" t="inlineStr">
        <is>
          <t>Furniture</t>
        </is>
      </c>
      <c r="F316" s="7" t="inlineStr">
        <is>
          <t>Desks &amp; Workstations</t>
        </is>
      </c>
      <c r="G316" s="7" t="inlineStr">
        <is>
          <t>South</t>
        </is>
      </c>
      <c r="H316" s="7" t="inlineStr">
        <is>
          <t>Florida</t>
        </is>
      </c>
      <c r="I316" s="7" t="inlineStr">
        <is>
          <t>Retail Partner</t>
        </is>
      </c>
      <c r="J316" s="7" t="inlineStr">
        <is>
          <t>Corporate</t>
        </is>
      </c>
      <c r="K316" s="8" t="n">
        <v>4</v>
      </c>
      <c r="L316" s="9" t="n">
        <v>329.99</v>
      </c>
      <c r="M316" s="10" t="n">
        <v>0.05</v>
      </c>
      <c r="N316" s="9" t="n">
        <v>250.79</v>
      </c>
      <c r="O316" s="9" t="n">
        <v>1319.96</v>
      </c>
      <c r="P316" s="9" t="n">
        <v>66</v>
      </c>
      <c r="Q316" s="9" t="n">
        <v>1253.96</v>
      </c>
      <c r="R316" s="9" t="n">
        <v>1003.16</v>
      </c>
      <c r="S316" s="9" t="n">
        <v>250.8</v>
      </c>
      <c r="T316" s="10" t="n">
        <v>0.2</v>
      </c>
    </row>
    <row r="317">
      <c r="A317" s="7" t="inlineStr">
        <is>
          <t>ORD-2024-1668</t>
        </is>
      </c>
      <c r="B317" s="7" t="inlineStr">
        <is>
          <t>2024-05-16</t>
        </is>
      </c>
      <c r="C317" s="7" t="inlineStr">
        <is>
          <t>TEC-ACC-005</t>
        </is>
      </c>
      <c r="D317" s="7" t="inlineStr">
        <is>
          <t>UltraWireless Noise-Canceling Headset</t>
        </is>
      </c>
      <c r="E317" s="7" t="inlineStr">
        <is>
          <t>Technology</t>
        </is>
      </c>
      <c r="F317" s="7" t="inlineStr">
        <is>
          <t>Audio &amp; Accessories</t>
        </is>
      </c>
      <c r="G317" s="7" t="inlineStr">
        <is>
          <t>West</t>
        </is>
      </c>
      <c r="H317" s="7" t="inlineStr">
        <is>
          <t>Oregon</t>
        </is>
      </c>
      <c r="I317" s="7" t="inlineStr">
        <is>
          <t>Direct Sales</t>
        </is>
      </c>
      <c r="J317" s="7" t="inlineStr">
        <is>
          <t>Home Office</t>
        </is>
      </c>
      <c r="K317" s="8" t="n">
        <v>2</v>
      </c>
      <c r="L317" s="9" t="n">
        <v>179.99</v>
      </c>
      <c r="M317" s="10" t="n">
        <v>0</v>
      </c>
      <c r="N317" s="9" t="n">
        <v>111.59</v>
      </c>
      <c r="O317" s="9" t="n">
        <v>359.98</v>
      </c>
      <c r="P317" s="9" t="n">
        <v>0</v>
      </c>
      <c r="Q317" s="9" t="n">
        <v>359.98</v>
      </c>
      <c r="R317" s="9" t="n">
        <v>223.18</v>
      </c>
      <c r="S317" s="9" t="n">
        <v>136.8</v>
      </c>
      <c r="T317" s="10" t="n">
        <v>0.38</v>
      </c>
    </row>
    <row r="318">
      <c r="A318" s="7" t="inlineStr">
        <is>
          <t>ORD-2024-1018</t>
        </is>
      </c>
      <c r="B318" s="7" t="inlineStr">
        <is>
          <t>2024-05-18</t>
        </is>
      </c>
      <c r="C318" s="7" t="inlineStr">
        <is>
          <t>TEC-ACC-006</t>
        </is>
      </c>
      <c r="D318" s="7" t="inlineStr">
        <is>
          <t>MultiPort Thunderbolt 4 Dock</t>
        </is>
      </c>
      <c r="E318" s="7" t="inlineStr">
        <is>
          <t>Technology</t>
        </is>
      </c>
      <c r="F318" s="7" t="inlineStr">
        <is>
          <t>Audio &amp; Accessories</t>
        </is>
      </c>
      <c r="G318" s="7" t="inlineStr">
        <is>
          <t>West</t>
        </is>
      </c>
      <c r="H318" s="7" t="inlineStr">
        <is>
          <t>Washington</t>
        </is>
      </c>
      <c r="I318" s="7" t="inlineStr">
        <is>
          <t>Wholesale</t>
        </is>
      </c>
      <c r="J318" s="7" t="inlineStr">
        <is>
          <t>Home Office</t>
        </is>
      </c>
      <c r="K318" s="8" t="n">
        <v>12</v>
      </c>
      <c r="L318" s="9" t="n">
        <v>149.99</v>
      </c>
      <c r="M318" s="10" t="n">
        <v>0.2</v>
      </c>
      <c r="N318" s="9" t="n">
        <v>98.98999999999999</v>
      </c>
      <c r="O318" s="9" t="n">
        <v>1799.88</v>
      </c>
      <c r="P318" s="9" t="n">
        <v>359.98</v>
      </c>
      <c r="Q318" s="9" t="n">
        <v>1439.9</v>
      </c>
      <c r="R318" s="9" t="n">
        <v>1187.88</v>
      </c>
      <c r="S318" s="9" t="n">
        <v>252.02</v>
      </c>
      <c r="T318" s="10" t="n">
        <v>0.175</v>
      </c>
    </row>
    <row r="319">
      <c r="A319" s="7" t="inlineStr">
        <is>
          <t>ORD-2024-1590</t>
        </is>
      </c>
      <c r="B319" s="7" t="inlineStr">
        <is>
          <t>2024-05-18</t>
        </is>
      </c>
      <c r="C319" s="7" t="inlineStr">
        <is>
          <t>TEC-LAP-002</t>
        </is>
      </c>
      <c r="D319" s="7" t="inlineStr">
        <is>
          <t>Apex Gaming Laptop 17"</t>
        </is>
      </c>
      <c r="E319" s="7" t="inlineStr">
        <is>
          <t>Technology</t>
        </is>
      </c>
      <c r="F319" s="7" t="inlineStr">
        <is>
          <t>Laptops</t>
        </is>
      </c>
      <c r="G319" s="7" t="inlineStr">
        <is>
          <t>West</t>
        </is>
      </c>
      <c r="H319" s="7" t="inlineStr">
        <is>
          <t>Colorado</t>
        </is>
      </c>
      <c r="I319" s="7" t="inlineStr">
        <is>
          <t>Online</t>
        </is>
      </c>
      <c r="J319" s="7" t="inlineStr">
        <is>
          <t>Consumer</t>
        </is>
      </c>
      <c r="K319" s="8" t="n">
        <v>1</v>
      </c>
      <c r="L319" s="9" t="n">
        <v>1499.99</v>
      </c>
      <c r="M319" s="10" t="n">
        <v>0.25</v>
      </c>
      <c r="N319" s="9" t="n">
        <v>1259.99</v>
      </c>
      <c r="O319" s="9" t="n">
        <v>1499.99</v>
      </c>
      <c r="P319" s="9" t="n">
        <v>375</v>
      </c>
      <c r="Q319" s="9" t="n">
        <v>1124.99</v>
      </c>
      <c r="R319" s="9" t="n">
        <v>1259.99</v>
      </c>
      <c r="S319" s="9" t="n">
        <v>-135</v>
      </c>
      <c r="T319" s="10" t="n">
        <v>-0.12</v>
      </c>
    </row>
    <row r="320">
      <c r="A320" s="7" t="inlineStr">
        <is>
          <t>ORD-2024-1147</t>
        </is>
      </c>
      <c r="B320" s="7" t="inlineStr">
        <is>
          <t>2024-05-19</t>
        </is>
      </c>
      <c r="C320" s="7" t="inlineStr">
        <is>
          <t>FUR-CHA-002</t>
        </is>
      </c>
      <c r="D320" s="7" t="inlineStr">
        <is>
          <t>AeroTask Operator Task Chair</t>
        </is>
      </c>
      <c r="E320" s="7" t="inlineStr">
        <is>
          <t>Furniture</t>
        </is>
      </c>
      <c r="F320" s="7" t="inlineStr">
        <is>
          <t>Chairs</t>
        </is>
      </c>
      <c r="G320" s="7" t="inlineStr">
        <is>
          <t>East</t>
        </is>
      </c>
      <c r="H320" s="7" t="inlineStr">
        <is>
          <t>New York</t>
        </is>
      </c>
      <c r="I320" s="7" t="inlineStr">
        <is>
          <t>Direct Sales</t>
        </is>
      </c>
      <c r="J320" s="7" t="inlineStr">
        <is>
          <t>Home Office</t>
        </is>
      </c>
      <c r="K320" s="8" t="n">
        <v>4</v>
      </c>
      <c r="L320" s="9" t="n">
        <v>219.99</v>
      </c>
      <c r="M320" s="10" t="n">
        <v>0</v>
      </c>
      <c r="N320" s="9" t="n">
        <v>171.59</v>
      </c>
      <c r="O320" s="9" t="n">
        <v>879.96</v>
      </c>
      <c r="P320" s="9" t="n">
        <v>0</v>
      </c>
      <c r="Q320" s="9" t="n">
        <v>879.96</v>
      </c>
      <c r="R320" s="9" t="n">
        <v>686.36</v>
      </c>
      <c r="S320" s="9" t="n">
        <v>193.6</v>
      </c>
      <c r="T320" s="10" t="n">
        <v>0.22</v>
      </c>
    </row>
    <row r="321">
      <c r="A321" s="7" t="inlineStr">
        <is>
          <t>ORD-2024-1630</t>
        </is>
      </c>
      <c r="B321" s="7" t="inlineStr">
        <is>
          <t>2024-05-19</t>
        </is>
      </c>
      <c r="C321" s="7" t="inlineStr">
        <is>
          <t>OFF-DSK-008</t>
        </is>
      </c>
      <c r="D321" s="7" t="inlineStr">
        <is>
          <t>Steel Desktop Mesh Organizer Caddy</t>
        </is>
      </c>
      <c r="E321" s="7" t="inlineStr">
        <is>
          <t>Office Supplies</t>
        </is>
      </c>
      <c r="F321" s="7" t="inlineStr">
        <is>
          <t>Desk Supplies</t>
        </is>
      </c>
      <c r="G321" s="7" t="inlineStr">
        <is>
          <t>East</t>
        </is>
      </c>
      <c r="H321" s="7" t="inlineStr">
        <is>
          <t>Pennsylvania</t>
        </is>
      </c>
      <c r="I321" s="7" t="inlineStr">
        <is>
          <t>Online</t>
        </is>
      </c>
      <c r="J321" s="7" t="inlineStr">
        <is>
          <t>Corporate</t>
        </is>
      </c>
      <c r="K321" s="8" t="n">
        <v>8</v>
      </c>
      <c r="L321" s="9" t="n">
        <v>18.99</v>
      </c>
      <c r="M321" s="10" t="n">
        <v>0</v>
      </c>
      <c r="N321" s="9" t="n">
        <v>8.550000000000001</v>
      </c>
      <c r="O321" s="9" t="n">
        <v>151.92</v>
      </c>
      <c r="P321" s="9" t="n">
        <v>0</v>
      </c>
      <c r="Q321" s="9" t="n">
        <v>151.92</v>
      </c>
      <c r="R321" s="9" t="n">
        <v>68.40000000000001</v>
      </c>
      <c r="S321" s="9" t="n">
        <v>83.52</v>
      </c>
      <c r="T321" s="10" t="n">
        <v>0.5498</v>
      </c>
    </row>
    <row r="322">
      <c r="A322" s="7" t="inlineStr">
        <is>
          <t>ORD-2024-1624</t>
        </is>
      </c>
      <c r="B322" s="7" t="inlineStr">
        <is>
          <t>2024-05-20</t>
        </is>
      </c>
      <c r="C322" s="7" t="inlineStr">
        <is>
          <t>FUR-DSK-003</t>
        </is>
      </c>
      <c r="D322" s="7" t="inlineStr">
        <is>
          <t>ApexMotor Dual-Motor Standing Desk</t>
        </is>
      </c>
      <c r="E322" s="7" t="inlineStr">
        <is>
          <t>Furniture</t>
        </is>
      </c>
      <c r="F322" s="7" t="inlineStr">
        <is>
          <t>Desks &amp; Workstations</t>
        </is>
      </c>
      <c r="G322" s="7" t="inlineStr">
        <is>
          <t>West</t>
        </is>
      </c>
      <c r="H322" s="7" t="inlineStr">
        <is>
          <t>Colorado</t>
        </is>
      </c>
      <c r="I322" s="7" t="inlineStr">
        <is>
          <t>Direct Sales</t>
        </is>
      </c>
      <c r="J322" s="7" t="inlineStr">
        <is>
          <t>Consumer</t>
        </is>
      </c>
      <c r="K322" s="8" t="n">
        <v>4</v>
      </c>
      <c r="L322" s="9" t="n">
        <v>549.99</v>
      </c>
      <c r="M322" s="10" t="n">
        <v>0</v>
      </c>
      <c r="N322" s="9" t="n">
        <v>439.99</v>
      </c>
      <c r="O322" s="9" t="n">
        <v>2199.96</v>
      </c>
      <c r="P322" s="9" t="n">
        <v>0</v>
      </c>
      <c r="Q322" s="9" t="n">
        <v>2199.96</v>
      </c>
      <c r="R322" s="9" t="n">
        <v>1759.96</v>
      </c>
      <c r="S322" s="9" t="n">
        <v>440</v>
      </c>
      <c r="T322" s="10" t="n">
        <v>0.2</v>
      </c>
    </row>
    <row r="323">
      <c r="A323" s="7" t="inlineStr">
        <is>
          <t>ORD-2024-1624</t>
        </is>
      </c>
      <c r="B323" s="7" t="inlineStr">
        <is>
          <t>2024-05-20</t>
        </is>
      </c>
      <c r="C323" s="7" t="inlineStr">
        <is>
          <t>FUR-DSK-003</t>
        </is>
      </c>
      <c r="D323" s="7" t="inlineStr">
        <is>
          <t>ApexMotor Dual-Motor Standing Desk</t>
        </is>
      </c>
      <c r="E323" s="7" t="inlineStr">
        <is>
          <t>Furniture</t>
        </is>
      </c>
      <c r="F323" s="7" t="inlineStr">
        <is>
          <t>Desks &amp; Workstations</t>
        </is>
      </c>
      <c r="G323" s="7" t="inlineStr">
        <is>
          <t>West</t>
        </is>
      </c>
      <c r="H323" s="7" t="inlineStr">
        <is>
          <t>Colorado</t>
        </is>
      </c>
      <c r="I323" s="7" t="inlineStr">
        <is>
          <t>Direct Sales</t>
        </is>
      </c>
      <c r="J323" s="7" t="inlineStr">
        <is>
          <t>Consumer</t>
        </is>
      </c>
      <c r="K323" s="8" t="n">
        <v>4</v>
      </c>
      <c r="L323" s="9" t="n">
        <v>549.99</v>
      </c>
      <c r="M323" s="10" t="n">
        <v>0</v>
      </c>
      <c r="N323" s="9" t="n">
        <v>439.99</v>
      </c>
      <c r="O323" s="9" t="n">
        <v>2199.96</v>
      </c>
      <c r="P323" s="9" t="n">
        <v>0</v>
      </c>
      <c r="Q323" s="9" t="n">
        <v>2199.96</v>
      </c>
      <c r="R323" s="9" t="n">
        <v>1759.96</v>
      </c>
      <c r="S323" s="9" t="n">
        <v>440</v>
      </c>
      <c r="T323" s="10" t="n">
        <v>0.2</v>
      </c>
    </row>
    <row r="324">
      <c r="A324" s="7" t="inlineStr">
        <is>
          <t>ORD-2024-1624</t>
        </is>
      </c>
      <c r="B324" s="7" t="inlineStr">
        <is>
          <t>2024-05-20</t>
        </is>
      </c>
      <c r="C324" s="7" t="inlineStr">
        <is>
          <t>OFF-DSK-007</t>
        </is>
      </c>
      <c r="D324" s="7" t="inlineStr">
        <is>
          <t>Gel Ergo Mouse Pad &amp; Wrist Rest Combo</t>
        </is>
      </c>
      <c r="E324" s="7" t="inlineStr">
        <is>
          <t>Office Supplies</t>
        </is>
      </c>
      <c r="F324" s="7" t="inlineStr">
        <is>
          <t>Desk Supplies</t>
        </is>
      </c>
      <c r="G324" s="7" t="inlineStr">
        <is>
          <t>West</t>
        </is>
      </c>
      <c r="H324" s="7" t="inlineStr">
        <is>
          <t>Colorado</t>
        </is>
      </c>
      <c r="I324" s="7" t="inlineStr">
        <is>
          <t>Direct Sales</t>
        </is>
      </c>
      <c r="J324" s="7" t="inlineStr">
        <is>
          <t>Consumer</t>
        </is>
      </c>
      <c r="K324" s="8" t="n">
        <v>2</v>
      </c>
      <c r="L324" s="9" t="n">
        <v>21.99</v>
      </c>
      <c r="M324" s="10" t="n">
        <v>0.05</v>
      </c>
      <c r="N324" s="9" t="n">
        <v>10.56</v>
      </c>
      <c r="O324" s="9" t="n">
        <v>43.98</v>
      </c>
      <c r="P324" s="9" t="n">
        <v>2.2</v>
      </c>
      <c r="Q324" s="9" t="n">
        <v>41.78</v>
      </c>
      <c r="R324" s="9" t="n">
        <v>21.12</v>
      </c>
      <c r="S324" s="9" t="n">
        <v>20.66</v>
      </c>
      <c r="T324" s="10" t="n">
        <v>0.4945</v>
      </c>
    </row>
    <row r="325">
      <c r="A325" s="7" t="inlineStr">
        <is>
          <t>ORD-2024-1639</t>
        </is>
      </c>
      <c r="B325" s="7" t="inlineStr">
        <is>
          <t>2024-05-20</t>
        </is>
      </c>
      <c r="C325" s="7" t="inlineStr">
        <is>
          <t>OFF-BIN-005</t>
        </is>
      </c>
      <c r="D325" s="7" t="inlineStr">
        <is>
          <t>Heavy-Duty D-Ring Presentation Binder (6-Pk)</t>
        </is>
      </c>
      <c r="E325" s="7" t="inlineStr">
        <is>
          <t>Office Supplies</t>
        </is>
      </c>
      <c r="F325" s="7" t="inlineStr">
        <is>
          <t>Binders &amp; Fasteners</t>
        </is>
      </c>
      <c r="G325" s="7" t="inlineStr">
        <is>
          <t>South</t>
        </is>
      </c>
      <c r="H325" s="7" t="inlineStr">
        <is>
          <t>Florida</t>
        </is>
      </c>
      <c r="I325" s="7" t="inlineStr">
        <is>
          <t>Online</t>
        </is>
      </c>
      <c r="J325" s="7" t="inlineStr">
        <is>
          <t>Consumer</t>
        </is>
      </c>
      <c r="K325" s="8" t="n">
        <v>4</v>
      </c>
      <c r="L325" s="9" t="n">
        <v>27.99</v>
      </c>
      <c r="M325" s="10" t="n">
        <v>0.05</v>
      </c>
      <c r="N325" s="9" t="n">
        <v>13.99</v>
      </c>
      <c r="O325" s="9" t="n">
        <v>111.96</v>
      </c>
      <c r="P325" s="9" t="n">
        <v>5.6</v>
      </c>
      <c r="Q325" s="9" t="n">
        <v>106.36</v>
      </c>
      <c r="R325" s="9" t="n">
        <v>55.96</v>
      </c>
      <c r="S325" s="9" t="n">
        <v>50.4</v>
      </c>
      <c r="T325" s="10" t="n">
        <v>0.4739</v>
      </c>
    </row>
    <row r="326">
      <c r="A326" s="7" t="inlineStr">
        <is>
          <t>ORD-2024-1639</t>
        </is>
      </c>
      <c r="B326" s="7" t="inlineStr">
        <is>
          <t>2024-05-20</t>
        </is>
      </c>
      <c r="C326" s="7" t="inlineStr">
        <is>
          <t>FUR-DSK-003</t>
        </is>
      </c>
      <c r="D326" s="7" t="inlineStr">
        <is>
          <t>ApexMotor Dual-Motor Standing Desk</t>
        </is>
      </c>
      <c r="E326" s="7" t="inlineStr">
        <is>
          <t>Furniture</t>
        </is>
      </c>
      <c r="F326" s="7" t="inlineStr">
        <is>
          <t>Desks &amp; Workstations</t>
        </is>
      </c>
      <c r="G326" s="7" t="inlineStr">
        <is>
          <t>South</t>
        </is>
      </c>
      <c r="H326" s="7" t="inlineStr">
        <is>
          <t>Florida</t>
        </is>
      </c>
      <c r="I326" s="7" t="inlineStr">
        <is>
          <t>Online</t>
        </is>
      </c>
      <c r="J326" s="7" t="inlineStr">
        <is>
          <t>Consumer</t>
        </is>
      </c>
      <c r="K326" s="8" t="n">
        <v>4</v>
      </c>
      <c r="L326" s="9" t="n">
        <v>549.99</v>
      </c>
      <c r="M326" s="10" t="n">
        <v>0.1</v>
      </c>
      <c r="N326" s="9" t="n">
        <v>439.99</v>
      </c>
      <c r="O326" s="9" t="n">
        <v>2199.96</v>
      </c>
      <c r="P326" s="9" t="n">
        <v>220</v>
      </c>
      <c r="Q326" s="9" t="n">
        <v>1979.96</v>
      </c>
      <c r="R326" s="9" t="n">
        <v>1759.96</v>
      </c>
      <c r="S326" s="9" t="n">
        <v>220</v>
      </c>
      <c r="T326" s="10" t="n">
        <v>0.1111</v>
      </c>
    </row>
    <row r="327">
      <c r="A327" s="7" t="inlineStr">
        <is>
          <t>ORD-2024-1639</t>
        </is>
      </c>
      <c r="B327" s="7" t="inlineStr">
        <is>
          <t>2024-05-20</t>
        </is>
      </c>
      <c r="C327" s="7" t="inlineStr">
        <is>
          <t>TEC-TAB-004</t>
        </is>
      </c>
      <c r="D327" s="7" t="inlineStr">
        <is>
          <t>VisionPad Lite 8.5"</t>
        </is>
      </c>
      <c r="E327" s="7" t="inlineStr">
        <is>
          <t>Technology</t>
        </is>
      </c>
      <c r="F327" s="7" t="inlineStr">
        <is>
          <t>Phones &amp; Tablets</t>
        </is>
      </c>
      <c r="G327" s="7" t="inlineStr">
        <is>
          <t>South</t>
        </is>
      </c>
      <c r="H327" s="7" t="inlineStr">
        <is>
          <t>Florida</t>
        </is>
      </c>
      <c r="I327" s="7" t="inlineStr">
        <is>
          <t>Online</t>
        </is>
      </c>
      <c r="J327" s="7" t="inlineStr">
        <is>
          <t>Consumer</t>
        </is>
      </c>
      <c r="K327" s="8" t="n">
        <v>1</v>
      </c>
      <c r="L327" s="9" t="n">
        <v>299.99</v>
      </c>
      <c r="M327" s="10" t="n">
        <v>0</v>
      </c>
      <c r="N327" s="9" t="n">
        <v>245.99</v>
      </c>
      <c r="O327" s="9" t="n">
        <v>299.99</v>
      </c>
      <c r="P327" s="9" t="n">
        <v>0</v>
      </c>
      <c r="Q327" s="9" t="n">
        <v>299.99</v>
      </c>
      <c r="R327" s="9" t="n">
        <v>245.99</v>
      </c>
      <c r="S327" s="9" t="n">
        <v>54</v>
      </c>
      <c r="T327" s="10" t="n">
        <v>0.18</v>
      </c>
    </row>
    <row r="328">
      <c r="A328" s="7" t="inlineStr">
        <is>
          <t>ORD-2024-1350</t>
        </is>
      </c>
      <c r="B328" s="7" t="inlineStr">
        <is>
          <t>2024-05-21</t>
        </is>
      </c>
      <c r="C328" s="7" t="inlineStr">
        <is>
          <t>TEC-LAP-002</t>
        </is>
      </c>
      <c r="D328" s="7" t="inlineStr">
        <is>
          <t>Apex Gaming Laptop 17"</t>
        </is>
      </c>
      <c r="E328" s="7" t="inlineStr">
        <is>
          <t>Technology</t>
        </is>
      </c>
      <c r="F328" s="7" t="inlineStr">
        <is>
          <t>Laptops</t>
        </is>
      </c>
      <c r="G328" s="7" t="inlineStr">
        <is>
          <t>West</t>
        </is>
      </c>
      <c r="H328" s="7" t="inlineStr">
        <is>
          <t>Washington</t>
        </is>
      </c>
      <c r="I328" s="7" t="inlineStr">
        <is>
          <t>Retail Partner</t>
        </is>
      </c>
      <c r="J328" s="7" t="inlineStr">
        <is>
          <t>Consumer</t>
        </is>
      </c>
      <c r="K328" s="8" t="n">
        <v>2</v>
      </c>
      <c r="L328" s="9" t="n">
        <v>1499.99</v>
      </c>
      <c r="M328" s="10" t="n">
        <v>0.25</v>
      </c>
      <c r="N328" s="9" t="n">
        <v>1259.99</v>
      </c>
      <c r="O328" s="9" t="n">
        <v>2999.98</v>
      </c>
      <c r="P328" s="9" t="n">
        <v>750</v>
      </c>
      <c r="Q328" s="9" t="n">
        <v>2249.98</v>
      </c>
      <c r="R328" s="9" t="n">
        <v>2519.98</v>
      </c>
      <c r="S328" s="9" t="n">
        <v>-270</v>
      </c>
      <c r="T328" s="10" t="n">
        <v>-0.12</v>
      </c>
    </row>
    <row r="329">
      <c r="A329" s="7" t="inlineStr">
        <is>
          <t>ORD-2024-1350</t>
        </is>
      </c>
      <c r="B329" s="7" t="inlineStr">
        <is>
          <t>2024-05-21</t>
        </is>
      </c>
      <c r="C329" s="7" t="inlineStr">
        <is>
          <t>OFF-STR-001</t>
        </is>
      </c>
      <c r="D329" s="7" t="inlineStr">
        <is>
          <t>SteelLock 3-Drawer File Cabinet</t>
        </is>
      </c>
      <c r="E329" s="7" t="inlineStr">
        <is>
          <t>Office Supplies</t>
        </is>
      </c>
      <c r="F329" s="7" t="inlineStr">
        <is>
          <t>Storage &amp; Organizers</t>
        </is>
      </c>
      <c r="G329" s="7" t="inlineStr">
        <is>
          <t>West</t>
        </is>
      </c>
      <c r="H329" s="7" t="inlineStr">
        <is>
          <t>Washington</t>
        </is>
      </c>
      <c r="I329" s="7" t="inlineStr">
        <is>
          <t>Retail Partner</t>
        </is>
      </c>
      <c r="J329" s="7" t="inlineStr">
        <is>
          <t>Consumer</t>
        </is>
      </c>
      <c r="K329" s="8" t="n">
        <v>4</v>
      </c>
      <c r="L329" s="9" t="n">
        <v>169.99</v>
      </c>
      <c r="M329" s="10" t="n">
        <v>0.05</v>
      </c>
      <c r="N329" s="9" t="n">
        <v>115.59</v>
      </c>
      <c r="O329" s="9" t="n">
        <v>679.96</v>
      </c>
      <c r="P329" s="9" t="n">
        <v>34</v>
      </c>
      <c r="Q329" s="9" t="n">
        <v>645.96</v>
      </c>
      <c r="R329" s="9" t="n">
        <v>462.36</v>
      </c>
      <c r="S329" s="9" t="n">
        <v>183.6</v>
      </c>
      <c r="T329" s="10" t="n">
        <v>0.2842</v>
      </c>
    </row>
    <row r="330">
      <c r="A330" s="7" t="inlineStr">
        <is>
          <t>ORD-2024-1489</t>
        </is>
      </c>
      <c r="B330" s="7" t="inlineStr">
        <is>
          <t>2024-05-21</t>
        </is>
      </c>
      <c r="C330" s="7" t="inlineStr">
        <is>
          <t>OFF-STR-002</t>
        </is>
      </c>
      <c r="D330" s="7" t="inlineStr">
        <is>
          <t>Stackable Heavy-Duty Storage Bins (4-Pk)</t>
        </is>
      </c>
      <c r="E330" s="7" t="inlineStr">
        <is>
          <t>Office Supplies</t>
        </is>
      </c>
      <c r="F330" s="7" t="inlineStr">
        <is>
          <t>Storage &amp; Organizers</t>
        </is>
      </c>
      <c r="G330" s="7" t="inlineStr">
        <is>
          <t>West</t>
        </is>
      </c>
      <c r="H330" s="7" t="inlineStr">
        <is>
          <t>Oregon</t>
        </is>
      </c>
      <c r="I330" s="7" t="inlineStr">
        <is>
          <t>Online</t>
        </is>
      </c>
      <c r="J330" s="7" t="inlineStr">
        <is>
          <t>Consumer</t>
        </is>
      </c>
      <c r="K330" s="8" t="n">
        <v>2</v>
      </c>
      <c r="L330" s="9" t="n">
        <v>44.99</v>
      </c>
      <c r="M330" s="10" t="n">
        <v>0</v>
      </c>
      <c r="N330" s="9" t="n">
        <v>24.74</v>
      </c>
      <c r="O330" s="9" t="n">
        <v>89.98</v>
      </c>
      <c r="P330" s="9" t="n">
        <v>0</v>
      </c>
      <c r="Q330" s="9" t="n">
        <v>89.98</v>
      </c>
      <c r="R330" s="9" t="n">
        <v>49.48</v>
      </c>
      <c r="S330" s="9" t="n">
        <v>40.5</v>
      </c>
      <c r="T330" s="10" t="n">
        <v>0.4501</v>
      </c>
    </row>
    <row r="331">
      <c r="A331" s="7" t="inlineStr">
        <is>
          <t>ORD-2024-1603</t>
        </is>
      </c>
      <c r="B331" s="7" t="inlineStr">
        <is>
          <t>2024-05-21</t>
        </is>
      </c>
      <c r="C331" s="7" t="inlineStr">
        <is>
          <t>OFF-STR-001</t>
        </is>
      </c>
      <c r="D331" s="7" t="inlineStr">
        <is>
          <t>SteelLock 3-Drawer File Cabinet</t>
        </is>
      </c>
      <c r="E331" s="7" t="inlineStr">
        <is>
          <t>Office Supplies</t>
        </is>
      </c>
      <c r="F331" s="7" t="inlineStr">
        <is>
          <t>Storage &amp; Organizers</t>
        </is>
      </c>
      <c r="G331" s="7" t="inlineStr">
        <is>
          <t>South</t>
        </is>
      </c>
      <c r="H331" s="7" t="inlineStr">
        <is>
          <t>North Carolina</t>
        </is>
      </c>
      <c r="I331" s="7" t="inlineStr">
        <is>
          <t>Online</t>
        </is>
      </c>
      <c r="J331" s="7" t="inlineStr">
        <is>
          <t>Home Office</t>
        </is>
      </c>
      <c r="K331" s="8" t="n">
        <v>4</v>
      </c>
      <c r="L331" s="9" t="n">
        <v>169.99</v>
      </c>
      <c r="M331" s="10" t="n">
        <v>0</v>
      </c>
      <c r="N331" s="9" t="n">
        <v>115.59</v>
      </c>
      <c r="O331" s="9" t="n">
        <v>679.96</v>
      </c>
      <c r="P331" s="9" t="n">
        <v>0</v>
      </c>
      <c r="Q331" s="9" t="n">
        <v>679.96</v>
      </c>
      <c r="R331" s="9" t="n">
        <v>462.36</v>
      </c>
      <c r="S331" s="9" t="n">
        <v>217.6</v>
      </c>
      <c r="T331" s="10" t="n">
        <v>0.32</v>
      </c>
    </row>
    <row r="332">
      <c r="A332" s="7" t="inlineStr">
        <is>
          <t>ORD-2024-1480</t>
        </is>
      </c>
      <c r="B332" s="7" t="inlineStr">
        <is>
          <t>2024-05-22</t>
        </is>
      </c>
      <c r="C332" s="7" t="inlineStr">
        <is>
          <t>OFF-PAP-003</t>
        </is>
      </c>
      <c r="D332" s="7" t="inlineStr">
        <is>
          <t>UltraWhite Premium Multipurpose Paper (Case)</t>
        </is>
      </c>
      <c r="E332" s="7" t="inlineStr">
        <is>
          <t>Office Supplies</t>
        </is>
      </c>
      <c r="F332" s="7" t="inlineStr">
        <is>
          <t>Paper Products</t>
        </is>
      </c>
      <c r="G332" s="7" t="inlineStr">
        <is>
          <t>West</t>
        </is>
      </c>
      <c r="H332" s="7" t="inlineStr">
        <is>
          <t>Colorado</t>
        </is>
      </c>
      <c r="I332" s="7" t="inlineStr">
        <is>
          <t>Direct Sales</t>
        </is>
      </c>
      <c r="J332" s="7" t="inlineStr">
        <is>
          <t>Corporate</t>
        </is>
      </c>
      <c r="K332" s="8" t="n">
        <v>5</v>
      </c>
      <c r="L332" s="9" t="n">
        <v>54.99</v>
      </c>
      <c r="M332" s="10" t="n">
        <v>0</v>
      </c>
      <c r="N332" s="9" t="n">
        <v>31.89</v>
      </c>
      <c r="O332" s="9" t="n">
        <v>274.95</v>
      </c>
      <c r="P332" s="9" t="n">
        <v>0</v>
      </c>
      <c r="Q332" s="9" t="n">
        <v>274.95</v>
      </c>
      <c r="R332" s="9" t="n">
        <v>159.45</v>
      </c>
      <c r="S332" s="9" t="n">
        <v>115.5</v>
      </c>
      <c r="T332" s="10" t="n">
        <v>0.4201</v>
      </c>
    </row>
    <row r="333">
      <c r="A333" s="7" t="inlineStr">
        <is>
          <t>ORD-2024-1098</t>
        </is>
      </c>
      <c r="B333" s="7" t="inlineStr">
        <is>
          <t>2024-05-23</t>
        </is>
      </c>
      <c r="C333" s="7" t="inlineStr">
        <is>
          <t>TEC-LAP-001</t>
        </is>
      </c>
      <c r="D333" s="7" t="inlineStr">
        <is>
          <t>ProBook Elite 15.6"</t>
        </is>
      </c>
      <c r="E333" s="7" t="inlineStr">
        <is>
          <t>Technology</t>
        </is>
      </c>
      <c r="F333" s="7" t="inlineStr">
        <is>
          <t>Laptops</t>
        </is>
      </c>
      <c r="G333" s="7" t="inlineStr">
        <is>
          <t>Central</t>
        </is>
      </c>
      <c r="H333" s="7" t="inlineStr">
        <is>
          <t>Michigan</t>
        </is>
      </c>
      <c r="I333" s="7" t="inlineStr">
        <is>
          <t>Wholesale</t>
        </is>
      </c>
      <c r="J333" s="7" t="inlineStr">
        <is>
          <t>Corporate</t>
        </is>
      </c>
      <c r="K333" s="8" t="n">
        <v>13</v>
      </c>
      <c r="L333" s="9" t="n">
        <v>1199.99</v>
      </c>
      <c r="M333" s="10" t="n">
        <v>0.1</v>
      </c>
      <c r="N333" s="9" t="n">
        <v>863.99</v>
      </c>
      <c r="O333" s="9" t="n">
        <v>15599.87</v>
      </c>
      <c r="P333" s="9" t="n">
        <v>1559.99</v>
      </c>
      <c r="Q333" s="9" t="n">
        <v>14039.88</v>
      </c>
      <c r="R333" s="9" t="n">
        <v>11231.87</v>
      </c>
      <c r="S333" s="9" t="n">
        <v>2808.01</v>
      </c>
      <c r="T333" s="10" t="n">
        <v>0.2</v>
      </c>
    </row>
    <row r="334">
      <c r="A334" s="7" t="inlineStr">
        <is>
          <t>ORD-2024-1023</t>
        </is>
      </c>
      <c r="B334" s="7" t="inlineStr">
        <is>
          <t>2024-05-24</t>
        </is>
      </c>
      <c r="C334" s="7" t="inlineStr">
        <is>
          <t>OFF-BIN-005</t>
        </is>
      </c>
      <c r="D334" s="7" t="inlineStr">
        <is>
          <t>Heavy-Duty D-Ring Presentation Binder (6-Pk)</t>
        </is>
      </c>
      <c r="E334" s="7" t="inlineStr">
        <is>
          <t>Office Supplies</t>
        </is>
      </c>
      <c r="F334" s="7" t="inlineStr">
        <is>
          <t>Binders &amp; Fasteners</t>
        </is>
      </c>
      <c r="G334" s="7" t="inlineStr">
        <is>
          <t>West</t>
        </is>
      </c>
      <c r="H334" s="7" t="inlineStr">
        <is>
          <t>Oregon</t>
        </is>
      </c>
      <c r="I334" s="7" t="inlineStr">
        <is>
          <t>Direct Sales</t>
        </is>
      </c>
      <c r="J334" s="7" t="inlineStr">
        <is>
          <t>Corporate</t>
        </is>
      </c>
      <c r="K334" s="8" t="n">
        <v>5</v>
      </c>
      <c r="L334" s="9" t="n">
        <v>27.99</v>
      </c>
      <c r="M334" s="10" t="n">
        <v>0</v>
      </c>
      <c r="N334" s="9" t="n">
        <v>13.99</v>
      </c>
      <c r="O334" s="9" t="n">
        <v>139.95</v>
      </c>
      <c r="P334" s="9" t="n">
        <v>0</v>
      </c>
      <c r="Q334" s="9" t="n">
        <v>139.95</v>
      </c>
      <c r="R334" s="9" t="n">
        <v>69.95</v>
      </c>
      <c r="S334" s="9" t="n">
        <v>70</v>
      </c>
      <c r="T334" s="10" t="n">
        <v>0.5002</v>
      </c>
    </row>
    <row r="335">
      <c r="A335" s="7" t="inlineStr">
        <is>
          <t>ORD-2024-1641</t>
        </is>
      </c>
      <c r="B335" s="7" t="inlineStr">
        <is>
          <t>2024-05-24</t>
        </is>
      </c>
      <c r="C335" s="7" t="inlineStr">
        <is>
          <t>OFF-STR-001</t>
        </is>
      </c>
      <c r="D335" s="7" t="inlineStr">
        <is>
          <t>SteelLock 3-Drawer File Cabinet</t>
        </is>
      </c>
      <c r="E335" s="7" t="inlineStr">
        <is>
          <t>Office Supplies</t>
        </is>
      </c>
      <c r="F335" s="7" t="inlineStr">
        <is>
          <t>Storage &amp; Organizers</t>
        </is>
      </c>
      <c r="G335" s="7" t="inlineStr">
        <is>
          <t>Central</t>
        </is>
      </c>
      <c r="H335" s="7" t="inlineStr">
        <is>
          <t>Texas</t>
        </is>
      </c>
      <c r="I335" s="7" t="inlineStr">
        <is>
          <t>Online</t>
        </is>
      </c>
      <c r="J335" s="7" t="inlineStr">
        <is>
          <t>Corporate</t>
        </is>
      </c>
      <c r="K335" s="8" t="n">
        <v>4</v>
      </c>
      <c r="L335" s="9" t="n">
        <v>169.99</v>
      </c>
      <c r="M335" s="10" t="n">
        <v>0.05</v>
      </c>
      <c r="N335" s="9" t="n">
        <v>115.59</v>
      </c>
      <c r="O335" s="9" t="n">
        <v>679.96</v>
      </c>
      <c r="P335" s="9" t="n">
        <v>34</v>
      </c>
      <c r="Q335" s="9" t="n">
        <v>645.96</v>
      </c>
      <c r="R335" s="9" t="n">
        <v>462.36</v>
      </c>
      <c r="S335" s="9" t="n">
        <v>183.6</v>
      </c>
      <c r="T335" s="10" t="n">
        <v>0.2842</v>
      </c>
    </row>
    <row r="336">
      <c r="A336" s="7" t="inlineStr">
        <is>
          <t>ORD-2024-1713</t>
        </is>
      </c>
      <c r="B336" s="7" t="inlineStr">
        <is>
          <t>2024-05-24</t>
        </is>
      </c>
      <c r="C336" s="7" t="inlineStr">
        <is>
          <t>OFF-DSK-007</t>
        </is>
      </c>
      <c r="D336" s="7" t="inlineStr">
        <is>
          <t>Gel Ergo Mouse Pad &amp; Wrist Rest Combo</t>
        </is>
      </c>
      <c r="E336" s="7" t="inlineStr">
        <is>
          <t>Office Supplies</t>
        </is>
      </c>
      <c r="F336" s="7" t="inlineStr">
        <is>
          <t>Desk Supplies</t>
        </is>
      </c>
      <c r="G336" s="7" t="inlineStr">
        <is>
          <t>East</t>
        </is>
      </c>
      <c r="H336" s="7" t="inlineStr">
        <is>
          <t>Pennsylvania</t>
        </is>
      </c>
      <c r="I336" s="7" t="inlineStr">
        <is>
          <t>Direct Sales</t>
        </is>
      </c>
      <c r="J336" s="7" t="inlineStr">
        <is>
          <t>Consumer</t>
        </is>
      </c>
      <c r="K336" s="8" t="n">
        <v>2</v>
      </c>
      <c r="L336" s="9" t="n">
        <v>21.99</v>
      </c>
      <c r="M336" s="10" t="n">
        <v>0</v>
      </c>
      <c r="N336" s="9" t="n">
        <v>10.56</v>
      </c>
      <c r="O336" s="9" t="n">
        <v>43.98</v>
      </c>
      <c r="P336" s="9" t="n">
        <v>0</v>
      </c>
      <c r="Q336" s="9" t="n">
        <v>43.98</v>
      </c>
      <c r="R336" s="9" t="n">
        <v>21.12</v>
      </c>
      <c r="S336" s="9" t="n">
        <v>22.86</v>
      </c>
      <c r="T336" s="10" t="n">
        <v>0.5198</v>
      </c>
    </row>
    <row r="337">
      <c r="A337" s="7" t="inlineStr">
        <is>
          <t>ORD-2024-1142</t>
        </is>
      </c>
      <c r="B337" s="7" t="inlineStr">
        <is>
          <t>2024-05-25</t>
        </is>
      </c>
      <c r="C337" s="7" t="inlineStr">
        <is>
          <t>TEC-LAP-001</t>
        </is>
      </c>
      <c r="D337" s="7" t="inlineStr">
        <is>
          <t>ProBook Elite 15.6"</t>
        </is>
      </c>
      <c r="E337" s="7" t="inlineStr">
        <is>
          <t>Technology</t>
        </is>
      </c>
      <c r="F337" s="7" t="inlineStr">
        <is>
          <t>Laptops</t>
        </is>
      </c>
      <c r="G337" s="7" t="inlineStr">
        <is>
          <t>East</t>
        </is>
      </c>
      <c r="H337" s="7" t="inlineStr">
        <is>
          <t>New York</t>
        </is>
      </c>
      <c r="I337" s="7" t="inlineStr">
        <is>
          <t>Direct Sales</t>
        </is>
      </c>
      <c r="J337" s="7" t="inlineStr">
        <is>
          <t>Consumer</t>
        </is>
      </c>
      <c r="K337" s="8" t="n">
        <v>2</v>
      </c>
      <c r="L337" s="9" t="n">
        <v>1199.99</v>
      </c>
      <c r="M337" s="10" t="n">
        <v>0</v>
      </c>
      <c r="N337" s="9" t="n">
        <v>863.99</v>
      </c>
      <c r="O337" s="9" t="n">
        <v>2399.98</v>
      </c>
      <c r="P337" s="9" t="n">
        <v>0</v>
      </c>
      <c r="Q337" s="9" t="n">
        <v>2399.98</v>
      </c>
      <c r="R337" s="9" t="n">
        <v>1727.98</v>
      </c>
      <c r="S337" s="9" t="n">
        <v>672</v>
      </c>
      <c r="T337" s="10" t="n">
        <v>0.28</v>
      </c>
    </row>
    <row r="338">
      <c r="A338" s="7" t="inlineStr">
        <is>
          <t>ORD-2024-1207</t>
        </is>
      </c>
      <c r="B338" s="7" t="inlineStr">
        <is>
          <t>2024-05-25</t>
        </is>
      </c>
      <c r="C338" s="7" t="inlineStr">
        <is>
          <t>OFF-PAP-003</t>
        </is>
      </c>
      <c r="D338" s="7" t="inlineStr">
        <is>
          <t>UltraWhite Premium Multipurpose Paper (Case)</t>
        </is>
      </c>
      <c r="E338" s="7" t="inlineStr">
        <is>
          <t>Office Supplies</t>
        </is>
      </c>
      <c r="F338" s="7" t="inlineStr">
        <is>
          <t>Paper Products</t>
        </is>
      </c>
      <c r="G338" s="7" t="inlineStr">
        <is>
          <t>West</t>
        </is>
      </c>
      <c r="H338" s="7" t="inlineStr">
        <is>
          <t>Colorado</t>
        </is>
      </c>
      <c r="I338" s="7" t="inlineStr">
        <is>
          <t>Wholesale</t>
        </is>
      </c>
      <c r="J338" s="7" t="inlineStr">
        <is>
          <t>Consumer</t>
        </is>
      </c>
      <c r="K338" s="8" t="n">
        <v>5</v>
      </c>
      <c r="L338" s="9" t="n">
        <v>54.99</v>
      </c>
      <c r="M338" s="10" t="n">
        <v>0.1</v>
      </c>
      <c r="N338" s="9" t="n">
        <v>31.89</v>
      </c>
      <c r="O338" s="9" t="n">
        <v>274.95</v>
      </c>
      <c r="P338" s="9" t="n">
        <v>27.5</v>
      </c>
      <c r="Q338" s="9" t="n">
        <v>247.45</v>
      </c>
      <c r="R338" s="9" t="n">
        <v>159.45</v>
      </c>
      <c r="S338" s="9" t="n">
        <v>88</v>
      </c>
      <c r="T338" s="10" t="n">
        <v>0.3556</v>
      </c>
    </row>
    <row r="339">
      <c r="A339" s="7" t="inlineStr">
        <is>
          <t>ORD-2024-1207</t>
        </is>
      </c>
      <c r="B339" s="7" t="inlineStr">
        <is>
          <t>2024-05-25</t>
        </is>
      </c>
      <c r="C339" s="7" t="inlineStr">
        <is>
          <t>OFF-DSK-008</t>
        </is>
      </c>
      <c r="D339" s="7" t="inlineStr">
        <is>
          <t>Steel Desktop Mesh Organizer Caddy</t>
        </is>
      </c>
      <c r="E339" s="7" t="inlineStr">
        <is>
          <t>Office Supplies</t>
        </is>
      </c>
      <c r="F339" s="7" t="inlineStr">
        <is>
          <t>Desk Supplies</t>
        </is>
      </c>
      <c r="G339" s="7" t="inlineStr">
        <is>
          <t>West</t>
        </is>
      </c>
      <c r="H339" s="7" t="inlineStr">
        <is>
          <t>Colorado</t>
        </is>
      </c>
      <c r="I339" s="7" t="inlineStr">
        <is>
          <t>Wholesale</t>
        </is>
      </c>
      <c r="J339" s="7" t="inlineStr">
        <is>
          <t>Consumer</t>
        </is>
      </c>
      <c r="K339" s="8" t="n">
        <v>13</v>
      </c>
      <c r="L339" s="9" t="n">
        <v>18.99</v>
      </c>
      <c r="M339" s="10" t="n">
        <v>0.1</v>
      </c>
      <c r="N339" s="9" t="n">
        <v>8.550000000000001</v>
      </c>
      <c r="O339" s="9" t="n">
        <v>246.87</v>
      </c>
      <c r="P339" s="9" t="n">
        <v>24.69</v>
      </c>
      <c r="Q339" s="9" t="n">
        <v>222.18</v>
      </c>
      <c r="R339" s="9" t="n">
        <v>111.15</v>
      </c>
      <c r="S339" s="9" t="n">
        <v>111.03</v>
      </c>
      <c r="T339" s="10" t="n">
        <v>0.4997</v>
      </c>
    </row>
    <row r="340">
      <c r="A340" s="7" t="inlineStr">
        <is>
          <t>ORD-2024-1207</t>
        </is>
      </c>
      <c r="B340" s="7" t="inlineStr">
        <is>
          <t>2024-05-25</t>
        </is>
      </c>
      <c r="C340" s="7" t="inlineStr">
        <is>
          <t>OFF-STR-001</t>
        </is>
      </c>
      <c r="D340" s="7" t="inlineStr">
        <is>
          <t>SteelLock 3-Drawer File Cabinet</t>
        </is>
      </c>
      <c r="E340" s="7" t="inlineStr">
        <is>
          <t>Office Supplies</t>
        </is>
      </c>
      <c r="F340" s="7" t="inlineStr">
        <is>
          <t>Storage &amp; Organizers</t>
        </is>
      </c>
      <c r="G340" s="7" t="inlineStr">
        <is>
          <t>West</t>
        </is>
      </c>
      <c r="H340" s="7" t="inlineStr">
        <is>
          <t>Colorado</t>
        </is>
      </c>
      <c r="I340" s="7" t="inlineStr">
        <is>
          <t>Wholesale</t>
        </is>
      </c>
      <c r="J340" s="7" t="inlineStr">
        <is>
          <t>Consumer</t>
        </is>
      </c>
      <c r="K340" s="8" t="n">
        <v>11</v>
      </c>
      <c r="L340" s="9" t="n">
        <v>169.99</v>
      </c>
      <c r="M340" s="10" t="n">
        <v>0.15</v>
      </c>
      <c r="N340" s="9" t="n">
        <v>115.59</v>
      </c>
      <c r="O340" s="9" t="n">
        <v>1869.89</v>
      </c>
      <c r="P340" s="9" t="n">
        <v>280.48</v>
      </c>
      <c r="Q340" s="9" t="n">
        <v>1589.41</v>
      </c>
      <c r="R340" s="9" t="n">
        <v>1271.49</v>
      </c>
      <c r="S340" s="9" t="n">
        <v>317.92</v>
      </c>
      <c r="T340" s="10" t="n">
        <v>0.2</v>
      </c>
    </row>
    <row r="341">
      <c r="A341" s="7" t="inlineStr">
        <is>
          <t>ORD-2024-1210</t>
        </is>
      </c>
      <c r="B341" s="7" t="inlineStr">
        <is>
          <t>2024-05-25</t>
        </is>
      </c>
      <c r="C341" s="7" t="inlineStr">
        <is>
          <t>TEC-ACC-007</t>
        </is>
      </c>
      <c r="D341" s="7" t="inlineStr">
        <is>
          <t>ErgoMechanical Wireless Keyboard</t>
        </is>
      </c>
      <c r="E341" s="7" t="inlineStr">
        <is>
          <t>Technology</t>
        </is>
      </c>
      <c r="F341" s="7" t="inlineStr">
        <is>
          <t>Audio &amp; Accessories</t>
        </is>
      </c>
      <c r="G341" s="7" t="inlineStr">
        <is>
          <t>East</t>
        </is>
      </c>
      <c r="H341" s="7" t="inlineStr">
        <is>
          <t>New York</t>
        </is>
      </c>
      <c r="I341" s="7" t="inlineStr">
        <is>
          <t>Retail Partner</t>
        </is>
      </c>
      <c r="J341" s="7" t="inlineStr">
        <is>
          <t>Corporate</t>
        </is>
      </c>
      <c r="K341" s="8" t="n">
        <v>4</v>
      </c>
      <c r="L341" s="9" t="n">
        <v>109.99</v>
      </c>
      <c r="M341" s="10" t="n">
        <v>0</v>
      </c>
      <c r="N341" s="9" t="n">
        <v>65.98999999999999</v>
      </c>
      <c r="O341" s="9" t="n">
        <v>439.96</v>
      </c>
      <c r="P341" s="9" t="n">
        <v>0</v>
      </c>
      <c r="Q341" s="9" t="n">
        <v>439.96</v>
      </c>
      <c r="R341" s="9" t="n">
        <v>263.96</v>
      </c>
      <c r="S341" s="9" t="n">
        <v>176</v>
      </c>
      <c r="T341" s="10" t="n">
        <v>0.4</v>
      </c>
    </row>
    <row r="342">
      <c r="A342" s="7" t="inlineStr">
        <is>
          <t>ORD-2024-1681</t>
        </is>
      </c>
      <c r="B342" s="7" t="inlineStr">
        <is>
          <t>2024-05-25</t>
        </is>
      </c>
      <c r="C342" s="7" t="inlineStr">
        <is>
          <t>TEC-ACC-007</t>
        </is>
      </c>
      <c r="D342" s="7" t="inlineStr">
        <is>
          <t>ErgoMechanical Wireless Keyboard</t>
        </is>
      </c>
      <c r="E342" s="7" t="inlineStr">
        <is>
          <t>Technology</t>
        </is>
      </c>
      <c r="F342" s="7" t="inlineStr">
        <is>
          <t>Audio &amp; Accessories</t>
        </is>
      </c>
      <c r="G342" s="7" t="inlineStr">
        <is>
          <t>West</t>
        </is>
      </c>
      <c r="H342" s="7" t="inlineStr">
        <is>
          <t>Washington</t>
        </is>
      </c>
      <c r="I342" s="7" t="inlineStr">
        <is>
          <t>Direct Sales</t>
        </is>
      </c>
      <c r="J342" s="7" t="inlineStr">
        <is>
          <t>Corporate</t>
        </is>
      </c>
      <c r="K342" s="8" t="n">
        <v>8</v>
      </c>
      <c r="L342" s="9" t="n">
        <v>109.99</v>
      </c>
      <c r="M342" s="10" t="n">
        <v>0</v>
      </c>
      <c r="N342" s="9" t="n">
        <v>65.98999999999999</v>
      </c>
      <c r="O342" s="9" t="n">
        <v>879.92</v>
      </c>
      <c r="P342" s="9" t="n">
        <v>0</v>
      </c>
      <c r="Q342" s="9" t="n">
        <v>879.92</v>
      </c>
      <c r="R342" s="9" t="n">
        <v>527.92</v>
      </c>
      <c r="S342" s="9" t="n">
        <v>352</v>
      </c>
      <c r="T342" s="10" t="n">
        <v>0.4</v>
      </c>
    </row>
    <row r="343">
      <c r="A343" s="7" t="inlineStr">
        <is>
          <t>ORD-2024-1499</t>
        </is>
      </c>
      <c r="B343" s="7" t="inlineStr">
        <is>
          <t>2024-05-26</t>
        </is>
      </c>
      <c r="C343" s="7" t="inlineStr">
        <is>
          <t>TEC-ACC-006</t>
        </is>
      </c>
      <c r="D343" s="7" t="inlineStr">
        <is>
          <t>MultiPort Thunderbolt 4 Dock</t>
        </is>
      </c>
      <c r="E343" s="7" t="inlineStr">
        <is>
          <t>Technology</t>
        </is>
      </c>
      <c r="F343" s="7" t="inlineStr">
        <is>
          <t>Audio &amp; Accessories</t>
        </is>
      </c>
      <c r="G343" s="7" t="inlineStr">
        <is>
          <t>West</t>
        </is>
      </c>
      <c r="H343" s="7" t="inlineStr">
        <is>
          <t>Colorado</t>
        </is>
      </c>
      <c r="I343" s="7" t="inlineStr">
        <is>
          <t>Online</t>
        </is>
      </c>
      <c r="J343" s="7" t="inlineStr">
        <is>
          <t>Corporate</t>
        </is>
      </c>
      <c r="K343" s="8" t="n">
        <v>7</v>
      </c>
      <c r="L343" s="9" t="n">
        <v>149.99</v>
      </c>
      <c r="M343" s="10" t="n">
        <v>0</v>
      </c>
      <c r="N343" s="9" t="n">
        <v>98.98999999999999</v>
      </c>
      <c r="O343" s="9" t="n">
        <v>1049.93</v>
      </c>
      <c r="P343" s="9" t="n">
        <v>0</v>
      </c>
      <c r="Q343" s="9" t="n">
        <v>1049.93</v>
      </c>
      <c r="R343" s="9" t="n">
        <v>692.9299999999999</v>
      </c>
      <c r="S343" s="9" t="n">
        <v>357</v>
      </c>
      <c r="T343" s="10" t="n">
        <v>0.34</v>
      </c>
    </row>
    <row r="344">
      <c r="A344" s="7" t="inlineStr">
        <is>
          <t>ORD-2024-1728</t>
        </is>
      </c>
      <c r="B344" s="7" t="inlineStr">
        <is>
          <t>2024-05-26</t>
        </is>
      </c>
      <c r="C344" s="7" t="inlineStr">
        <is>
          <t>OFF-PAP-004</t>
        </is>
      </c>
      <c r="D344" s="7" t="inlineStr">
        <is>
          <t>EcoRecycled Copy Paper (5 Reams)</t>
        </is>
      </c>
      <c r="E344" s="7" t="inlineStr">
        <is>
          <t>Office Supplies</t>
        </is>
      </c>
      <c r="F344" s="7" t="inlineStr">
        <is>
          <t>Paper Products</t>
        </is>
      </c>
      <c r="G344" s="7" t="inlineStr">
        <is>
          <t>Central</t>
        </is>
      </c>
      <c r="H344" s="7" t="inlineStr">
        <is>
          <t>Texas</t>
        </is>
      </c>
      <c r="I344" s="7" t="inlineStr">
        <is>
          <t>Retail Partner</t>
        </is>
      </c>
      <c r="J344" s="7" t="inlineStr">
        <is>
          <t>Consumer</t>
        </is>
      </c>
      <c r="K344" s="8" t="n">
        <v>3</v>
      </c>
      <c r="L344" s="9" t="n">
        <v>32.99</v>
      </c>
      <c r="M344" s="10" t="n">
        <v>0</v>
      </c>
      <c r="N344" s="9" t="n">
        <v>19.79</v>
      </c>
      <c r="O344" s="9" t="n">
        <v>98.97</v>
      </c>
      <c r="P344" s="9" t="n">
        <v>0</v>
      </c>
      <c r="Q344" s="9" t="n">
        <v>98.97</v>
      </c>
      <c r="R344" s="9" t="n">
        <v>59.37</v>
      </c>
      <c r="S344" s="9" t="n">
        <v>39.6</v>
      </c>
      <c r="T344" s="10" t="n">
        <v>0.4001</v>
      </c>
    </row>
    <row r="345">
      <c r="A345" s="7" t="inlineStr">
        <is>
          <t>ORD-2024-1728</t>
        </is>
      </c>
      <c r="B345" s="7" t="inlineStr">
        <is>
          <t>2024-05-26</t>
        </is>
      </c>
      <c r="C345" s="7" t="inlineStr">
        <is>
          <t>FUR-BOK-005</t>
        </is>
      </c>
      <c r="D345" s="7" t="inlineStr">
        <is>
          <t>Modular 5-Tier Steel Bookcase</t>
        </is>
      </c>
      <c r="E345" s="7" t="inlineStr">
        <is>
          <t>Furniture</t>
        </is>
      </c>
      <c r="F345" s="7" t="inlineStr">
        <is>
          <t>Bookcases</t>
        </is>
      </c>
      <c r="G345" s="7" t="inlineStr">
        <is>
          <t>Central</t>
        </is>
      </c>
      <c r="H345" s="7" t="inlineStr">
        <is>
          <t>Texas</t>
        </is>
      </c>
      <c r="I345" s="7" t="inlineStr">
        <is>
          <t>Retail Partner</t>
        </is>
      </c>
      <c r="J345" s="7" t="inlineStr">
        <is>
          <t>Consumer</t>
        </is>
      </c>
      <c r="K345" s="8" t="n">
        <v>1</v>
      </c>
      <c r="L345" s="9" t="n">
        <v>189.99</v>
      </c>
      <c r="M345" s="10" t="n">
        <v>0.05</v>
      </c>
      <c r="N345" s="9" t="n">
        <v>142.49</v>
      </c>
      <c r="O345" s="9" t="n">
        <v>189.99</v>
      </c>
      <c r="P345" s="9" t="n">
        <v>9.5</v>
      </c>
      <c r="Q345" s="9" t="n">
        <v>180.49</v>
      </c>
      <c r="R345" s="9" t="n">
        <v>142.49</v>
      </c>
      <c r="S345" s="9" t="n">
        <v>38</v>
      </c>
      <c r="T345" s="10" t="n">
        <v>0.2105</v>
      </c>
    </row>
    <row r="346">
      <c r="A346" s="7" t="inlineStr">
        <is>
          <t>ORD-2024-1728</t>
        </is>
      </c>
      <c r="B346" s="7" t="inlineStr">
        <is>
          <t>2024-05-26</t>
        </is>
      </c>
      <c r="C346" s="7" t="inlineStr">
        <is>
          <t>FUR-CHA-002</t>
        </is>
      </c>
      <c r="D346" s="7" t="inlineStr">
        <is>
          <t>AeroTask Operator Task Chair</t>
        </is>
      </c>
      <c r="E346" s="7" t="inlineStr">
        <is>
          <t>Furniture</t>
        </is>
      </c>
      <c r="F346" s="7" t="inlineStr">
        <is>
          <t>Chairs</t>
        </is>
      </c>
      <c r="G346" s="7" t="inlineStr">
        <is>
          <t>Central</t>
        </is>
      </c>
      <c r="H346" s="7" t="inlineStr">
        <is>
          <t>Texas</t>
        </is>
      </c>
      <c r="I346" s="7" t="inlineStr">
        <is>
          <t>Retail Partner</t>
        </is>
      </c>
      <c r="J346" s="7" t="inlineStr">
        <is>
          <t>Consumer</t>
        </is>
      </c>
      <c r="K346" s="8" t="n">
        <v>4</v>
      </c>
      <c r="L346" s="9" t="n">
        <v>219.99</v>
      </c>
      <c r="M346" s="10" t="n">
        <v>0.05</v>
      </c>
      <c r="N346" s="9" t="n">
        <v>171.59</v>
      </c>
      <c r="O346" s="9" t="n">
        <v>879.96</v>
      </c>
      <c r="P346" s="9" t="n">
        <v>44</v>
      </c>
      <c r="Q346" s="9" t="n">
        <v>835.96</v>
      </c>
      <c r="R346" s="9" t="n">
        <v>686.36</v>
      </c>
      <c r="S346" s="9" t="n">
        <v>149.6</v>
      </c>
      <c r="T346" s="10" t="n">
        <v>0.179</v>
      </c>
    </row>
    <row r="347">
      <c r="A347" s="7" t="inlineStr">
        <is>
          <t>ORD-2024-1078</t>
        </is>
      </c>
      <c r="B347" s="7" t="inlineStr">
        <is>
          <t>2024-05-27</t>
        </is>
      </c>
      <c r="C347" s="7" t="inlineStr">
        <is>
          <t>TEC-LAP-002</t>
        </is>
      </c>
      <c r="D347" s="7" t="inlineStr">
        <is>
          <t>Apex Gaming Laptop 17"</t>
        </is>
      </c>
      <c r="E347" s="7" t="inlineStr">
        <is>
          <t>Technology</t>
        </is>
      </c>
      <c r="F347" s="7" t="inlineStr">
        <is>
          <t>Laptops</t>
        </is>
      </c>
      <c r="G347" s="7" t="inlineStr">
        <is>
          <t>Central</t>
        </is>
      </c>
      <c r="H347" s="7" t="inlineStr">
        <is>
          <t>Ohio</t>
        </is>
      </c>
      <c r="I347" s="7" t="inlineStr">
        <is>
          <t>Retail Partner</t>
        </is>
      </c>
      <c r="J347" s="7" t="inlineStr">
        <is>
          <t>Consumer</t>
        </is>
      </c>
      <c r="K347" s="8" t="n">
        <v>1</v>
      </c>
      <c r="L347" s="9" t="n">
        <v>1499.99</v>
      </c>
      <c r="M347" s="10" t="n">
        <v>0.25</v>
      </c>
      <c r="N347" s="9" t="n">
        <v>1259.99</v>
      </c>
      <c r="O347" s="9" t="n">
        <v>1499.99</v>
      </c>
      <c r="P347" s="9" t="n">
        <v>375</v>
      </c>
      <c r="Q347" s="9" t="n">
        <v>1124.99</v>
      </c>
      <c r="R347" s="9" t="n">
        <v>1259.99</v>
      </c>
      <c r="S347" s="9" t="n">
        <v>-135</v>
      </c>
      <c r="T347" s="10" t="n">
        <v>-0.12</v>
      </c>
    </row>
    <row r="348">
      <c r="A348" s="7" t="inlineStr">
        <is>
          <t>ORD-2024-1078</t>
        </is>
      </c>
      <c r="B348" s="7" t="inlineStr">
        <is>
          <t>2024-05-27</t>
        </is>
      </c>
      <c r="C348" s="7" t="inlineStr">
        <is>
          <t>FUR-DSK-003</t>
        </is>
      </c>
      <c r="D348" s="7" t="inlineStr">
        <is>
          <t>ApexMotor Dual-Motor Standing Desk</t>
        </is>
      </c>
      <c r="E348" s="7" t="inlineStr">
        <is>
          <t>Furniture</t>
        </is>
      </c>
      <c r="F348" s="7" t="inlineStr">
        <is>
          <t>Desks &amp; Workstations</t>
        </is>
      </c>
      <c r="G348" s="7" t="inlineStr">
        <is>
          <t>Central</t>
        </is>
      </c>
      <c r="H348" s="7" t="inlineStr">
        <is>
          <t>Ohio</t>
        </is>
      </c>
      <c r="I348" s="7" t="inlineStr">
        <is>
          <t>Retail Partner</t>
        </is>
      </c>
      <c r="J348" s="7" t="inlineStr">
        <is>
          <t>Consumer</t>
        </is>
      </c>
      <c r="K348" s="8" t="n">
        <v>2</v>
      </c>
      <c r="L348" s="9" t="n">
        <v>549.99</v>
      </c>
      <c r="M348" s="10" t="n">
        <v>0.1</v>
      </c>
      <c r="N348" s="9" t="n">
        <v>439.99</v>
      </c>
      <c r="O348" s="9" t="n">
        <v>1099.98</v>
      </c>
      <c r="P348" s="9" t="n">
        <v>110</v>
      </c>
      <c r="Q348" s="9" t="n">
        <v>989.98</v>
      </c>
      <c r="R348" s="9" t="n">
        <v>879.98</v>
      </c>
      <c r="S348" s="9" t="n">
        <v>110</v>
      </c>
      <c r="T348" s="10" t="n">
        <v>0.1111</v>
      </c>
    </row>
    <row r="349">
      <c r="A349" s="7" t="inlineStr">
        <is>
          <t>ORD-2024-1382</t>
        </is>
      </c>
      <c r="B349" s="7" t="inlineStr">
        <is>
          <t>2024-05-27</t>
        </is>
      </c>
      <c r="C349" s="7" t="inlineStr">
        <is>
          <t>TEC-ACC-005</t>
        </is>
      </c>
      <c r="D349" s="7" t="inlineStr">
        <is>
          <t>UltraWireless Noise-Canceling Headset</t>
        </is>
      </c>
      <c r="E349" s="7" t="inlineStr">
        <is>
          <t>Technology</t>
        </is>
      </c>
      <c r="F349" s="7" t="inlineStr">
        <is>
          <t>Audio &amp; Accessories</t>
        </is>
      </c>
      <c r="G349" s="7" t="inlineStr">
        <is>
          <t>South</t>
        </is>
      </c>
      <c r="H349" s="7" t="inlineStr">
        <is>
          <t>North Carolina</t>
        </is>
      </c>
      <c r="I349" s="7" t="inlineStr">
        <is>
          <t>Direct Sales</t>
        </is>
      </c>
      <c r="J349" s="7" t="inlineStr">
        <is>
          <t>Home Office</t>
        </is>
      </c>
      <c r="K349" s="8" t="n">
        <v>2</v>
      </c>
      <c r="L349" s="9" t="n">
        <v>179.99</v>
      </c>
      <c r="M349" s="10" t="n">
        <v>0</v>
      </c>
      <c r="N349" s="9" t="n">
        <v>111.59</v>
      </c>
      <c r="O349" s="9" t="n">
        <v>359.98</v>
      </c>
      <c r="P349" s="9" t="n">
        <v>0</v>
      </c>
      <c r="Q349" s="9" t="n">
        <v>359.98</v>
      </c>
      <c r="R349" s="9" t="n">
        <v>223.18</v>
      </c>
      <c r="S349" s="9" t="n">
        <v>136.8</v>
      </c>
      <c r="T349" s="10" t="n">
        <v>0.38</v>
      </c>
    </row>
    <row r="350">
      <c r="A350" s="7" t="inlineStr">
        <is>
          <t>ORD-2024-1382</t>
        </is>
      </c>
      <c r="B350" s="7" t="inlineStr">
        <is>
          <t>2024-05-27</t>
        </is>
      </c>
      <c r="C350" s="7" t="inlineStr">
        <is>
          <t>TEC-LAP-002</t>
        </is>
      </c>
      <c r="D350" s="7" t="inlineStr">
        <is>
          <t>Apex Gaming Laptop 17"</t>
        </is>
      </c>
      <c r="E350" s="7" t="inlineStr">
        <is>
          <t>Technology</t>
        </is>
      </c>
      <c r="F350" s="7" t="inlineStr">
        <is>
          <t>Laptops</t>
        </is>
      </c>
      <c r="G350" s="7" t="inlineStr">
        <is>
          <t>South</t>
        </is>
      </c>
      <c r="H350" s="7" t="inlineStr">
        <is>
          <t>North Carolina</t>
        </is>
      </c>
      <c r="I350" s="7" t="inlineStr">
        <is>
          <t>Direct Sales</t>
        </is>
      </c>
      <c r="J350" s="7" t="inlineStr">
        <is>
          <t>Home Office</t>
        </is>
      </c>
      <c r="K350" s="8" t="n">
        <v>3</v>
      </c>
      <c r="L350" s="9" t="n">
        <v>1499.99</v>
      </c>
      <c r="M350" s="10" t="n">
        <v>0.25</v>
      </c>
      <c r="N350" s="9" t="n">
        <v>1259.99</v>
      </c>
      <c r="O350" s="9" t="n">
        <v>4499.97</v>
      </c>
      <c r="P350" s="9" t="n">
        <v>1124.99</v>
      </c>
      <c r="Q350" s="9" t="n">
        <v>3374.98</v>
      </c>
      <c r="R350" s="9" t="n">
        <v>3779.97</v>
      </c>
      <c r="S350" s="9" t="n">
        <v>-404.99</v>
      </c>
      <c r="T350" s="10" t="n">
        <v>-0.12</v>
      </c>
    </row>
    <row r="351">
      <c r="A351" s="7" t="inlineStr">
        <is>
          <t>ORD-2024-1382</t>
        </is>
      </c>
      <c r="B351" s="7" t="inlineStr">
        <is>
          <t>2024-05-27</t>
        </is>
      </c>
      <c r="C351" s="7" t="inlineStr">
        <is>
          <t>OFF-STR-002</t>
        </is>
      </c>
      <c r="D351" s="7" t="inlineStr">
        <is>
          <t>Stackable Heavy-Duty Storage Bins (4-Pk)</t>
        </is>
      </c>
      <c r="E351" s="7" t="inlineStr">
        <is>
          <t>Office Supplies</t>
        </is>
      </c>
      <c r="F351" s="7" t="inlineStr">
        <is>
          <t>Storage &amp; Organizers</t>
        </is>
      </c>
      <c r="G351" s="7" t="inlineStr">
        <is>
          <t>South</t>
        </is>
      </c>
      <c r="H351" s="7" t="inlineStr">
        <is>
          <t>North Carolina</t>
        </is>
      </c>
      <c r="I351" s="7" t="inlineStr">
        <is>
          <t>Direct Sales</t>
        </is>
      </c>
      <c r="J351" s="7" t="inlineStr">
        <is>
          <t>Home Office</t>
        </is>
      </c>
      <c r="K351" s="8" t="n">
        <v>2</v>
      </c>
      <c r="L351" s="9" t="n">
        <v>44.99</v>
      </c>
      <c r="M351" s="10" t="n">
        <v>0</v>
      </c>
      <c r="N351" s="9" t="n">
        <v>24.74</v>
      </c>
      <c r="O351" s="9" t="n">
        <v>89.98</v>
      </c>
      <c r="P351" s="9" t="n">
        <v>0</v>
      </c>
      <c r="Q351" s="9" t="n">
        <v>89.98</v>
      </c>
      <c r="R351" s="9" t="n">
        <v>49.48</v>
      </c>
      <c r="S351" s="9" t="n">
        <v>40.5</v>
      </c>
      <c r="T351" s="10" t="n">
        <v>0.4501</v>
      </c>
    </row>
    <row r="352">
      <c r="A352" s="7" t="inlineStr">
        <is>
          <t>ORD-2024-1382</t>
        </is>
      </c>
      <c r="B352" s="7" t="inlineStr">
        <is>
          <t>2024-05-27</t>
        </is>
      </c>
      <c r="C352" s="7" t="inlineStr">
        <is>
          <t>OFF-STR-002</t>
        </is>
      </c>
      <c r="D352" s="7" t="inlineStr">
        <is>
          <t>Stackable Heavy-Duty Storage Bins (4-Pk)</t>
        </is>
      </c>
      <c r="E352" s="7" t="inlineStr">
        <is>
          <t>Office Supplies</t>
        </is>
      </c>
      <c r="F352" s="7" t="inlineStr">
        <is>
          <t>Storage &amp; Organizers</t>
        </is>
      </c>
      <c r="G352" s="7" t="inlineStr">
        <is>
          <t>South</t>
        </is>
      </c>
      <c r="H352" s="7" t="inlineStr">
        <is>
          <t>North Carolina</t>
        </is>
      </c>
      <c r="I352" s="7" t="inlineStr">
        <is>
          <t>Direct Sales</t>
        </is>
      </c>
      <c r="J352" s="7" t="inlineStr">
        <is>
          <t>Home Office</t>
        </is>
      </c>
      <c r="K352" s="8" t="n">
        <v>4</v>
      </c>
      <c r="L352" s="9" t="n">
        <v>44.99</v>
      </c>
      <c r="M352" s="10" t="n">
        <v>0</v>
      </c>
      <c r="N352" s="9" t="n">
        <v>24.74</v>
      </c>
      <c r="O352" s="9" t="n">
        <v>179.96</v>
      </c>
      <c r="P352" s="9" t="n">
        <v>0</v>
      </c>
      <c r="Q352" s="9" t="n">
        <v>179.96</v>
      </c>
      <c r="R352" s="9" t="n">
        <v>98.95999999999999</v>
      </c>
      <c r="S352" s="9" t="n">
        <v>81</v>
      </c>
      <c r="T352" s="10" t="n">
        <v>0.4501</v>
      </c>
    </row>
    <row r="353">
      <c r="A353" s="7" t="inlineStr">
        <is>
          <t>ORD-2024-1083</t>
        </is>
      </c>
      <c r="B353" s="7" t="inlineStr">
        <is>
          <t>2024-05-29</t>
        </is>
      </c>
      <c r="C353" s="7" t="inlineStr">
        <is>
          <t>TEC-ACC-007</t>
        </is>
      </c>
      <c r="D353" s="7" t="inlineStr">
        <is>
          <t>ErgoMechanical Wireless Keyboard</t>
        </is>
      </c>
      <c r="E353" s="7" t="inlineStr">
        <is>
          <t>Technology</t>
        </is>
      </c>
      <c r="F353" s="7" t="inlineStr">
        <is>
          <t>Audio &amp; Accessories</t>
        </is>
      </c>
      <c r="G353" s="7" t="inlineStr">
        <is>
          <t>East</t>
        </is>
      </c>
      <c r="H353" s="7" t="inlineStr">
        <is>
          <t>Massachusetts</t>
        </is>
      </c>
      <c r="I353" s="7" t="inlineStr">
        <is>
          <t>Online</t>
        </is>
      </c>
      <c r="J353" s="7" t="inlineStr">
        <is>
          <t>Home Office</t>
        </is>
      </c>
      <c r="K353" s="8" t="n">
        <v>2</v>
      </c>
      <c r="L353" s="9" t="n">
        <v>109.99</v>
      </c>
      <c r="M353" s="10" t="n">
        <v>0</v>
      </c>
      <c r="N353" s="9" t="n">
        <v>65.98999999999999</v>
      </c>
      <c r="O353" s="9" t="n">
        <v>219.98</v>
      </c>
      <c r="P353" s="9" t="n">
        <v>0</v>
      </c>
      <c r="Q353" s="9" t="n">
        <v>219.98</v>
      </c>
      <c r="R353" s="9" t="n">
        <v>131.98</v>
      </c>
      <c r="S353" s="9" t="n">
        <v>88</v>
      </c>
      <c r="T353" s="10" t="n">
        <v>0.4</v>
      </c>
    </row>
    <row r="354">
      <c r="A354" s="7" t="inlineStr">
        <is>
          <t>ORD-2024-1403</t>
        </is>
      </c>
      <c r="B354" s="7" t="inlineStr">
        <is>
          <t>2024-05-29</t>
        </is>
      </c>
      <c r="C354" s="7" t="inlineStr">
        <is>
          <t>OFF-STR-001</t>
        </is>
      </c>
      <c r="D354" s="7" t="inlineStr">
        <is>
          <t>SteelLock 3-Drawer File Cabinet</t>
        </is>
      </c>
      <c r="E354" s="7" t="inlineStr">
        <is>
          <t>Office Supplies</t>
        </is>
      </c>
      <c r="F354" s="7" t="inlineStr">
        <is>
          <t>Storage &amp; Organizers</t>
        </is>
      </c>
      <c r="G354" s="7" t="inlineStr">
        <is>
          <t>West</t>
        </is>
      </c>
      <c r="H354" s="7" t="inlineStr">
        <is>
          <t>Colorado</t>
        </is>
      </c>
      <c r="I354" s="7" t="inlineStr">
        <is>
          <t>Online</t>
        </is>
      </c>
      <c r="J354" s="7" t="inlineStr">
        <is>
          <t>Home Office</t>
        </is>
      </c>
      <c r="K354" s="8" t="n">
        <v>4</v>
      </c>
      <c r="L354" s="9" t="n">
        <v>169.99</v>
      </c>
      <c r="M354" s="10" t="n">
        <v>0</v>
      </c>
      <c r="N354" s="9" t="n">
        <v>115.59</v>
      </c>
      <c r="O354" s="9" t="n">
        <v>679.96</v>
      </c>
      <c r="P354" s="9" t="n">
        <v>0</v>
      </c>
      <c r="Q354" s="9" t="n">
        <v>679.96</v>
      </c>
      <c r="R354" s="9" t="n">
        <v>462.36</v>
      </c>
      <c r="S354" s="9" t="n">
        <v>217.6</v>
      </c>
      <c r="T354" s="10" t="n">
        <v>0.32</v>
      </c>
    </row>
    <row r="355">
      <c r="A355" s="7" t="inlineStr">
        <is>
          <t>ORD-2024-1403</t>
        </is>
      </c>
      <c r="B355" s="7" t="inlineStr">
        <is>
          <t>2024-05-29</t>
        </is>
      </c>
      <c r="C355" s="7" t="inlineStr">
        <is>
          <t>FUR-DSK-003</t>
        </is>
      </c>
      <c r="D355" s="7" t="inlineStr">
        <is>
          <t>ApexMotor Dual-Motor Standing Desk</t>
        </is>
      </c>
      <c r="E355" s="7" t="inlineStr">
        <is>
          <t>Furniture</t>
        </is>
      </c>
      <c r="F355" s="7" t="inlineStr">
        <is>
          <t>Desks &amp; Workstations</t>
        </is>
      </c>
      <c r="G355" s="7" t="inlineStr">
        <is>
          <t>West</t>
        </is>
      </c>
      <c r="H355" s="7" t="inlineStr">
        <is>
          <t>Colorado</t>
        </is>
      </c>
      <c r="I355" s="7" t="inlineStr">
        <is>
          <t>Online</t>
        </is>
      </c>
      <c r="J355" s="7" t="inlineStr">
        <is>
          <t>Home Office</t>
        </is>
      </c>
      <c r="K355" s="8" t="n">
        <v>2</v>
      </c>
      <c r="L355" s="9" t="n">
        <v>549.99</v>
      </c>
      <c r="M355" s="10" t="n">
        <v>0.1</v>
      </c>
      <c r="N355" s="9" t="n">
        <v>439.99</v>
      </c>
      <c r="O355" s="9" t="n">
        <v>1099.98</v>
      </c>
      <c r="P355" s="9" t="n">
        <v>110</v>
      </c>
      <c r="Q355" s="9" t="n">
        <v>989.98</v>
      </c>
      <c r="R355" s="9" t="n">
        <v>879.98</v>
      </c>
      <c r="S355" s="9" t="n">
        <v>110</v>
      </c>
      <c r="T355" s="10" t="n">
        <v>0.1111</v>
      </c>
    </row>
    <row r="356">
      <c r="A356" s="7" t="inlineStr">
        <is>
          <t>ORD-2024-1158</t>
        </is>
      </c>
      <c r="B356" s="7" t="inlineStr">
        <is>
          <t>2024-05-30</t>
        </is>
      </c>
      <c r="C356" s="7" t="inlineStr">
        <is>
          <t>FUR-CHA-001</t>
        </is>
      </c>
      <c r="D356" s="7" t="inlineStr">
        <is>
          <t>ErgoFlex Executive Mesh Chair</t>
        </is>
      </c>
      <c r="E356" s="7" t="inlineStr">
        <is>
          <t>Furniture</t>
        </is>
      </c>
      <c r="F356" s="7" t="inlineStr">
        <is>
          <t>Chairs</t>
        </is>
      </c>
      <c r="G356" s="7" t="inlineStr">
        <is>
          <t>East</t>
        </is>
      </c>
      <c r="H356" s="7" t="inlineStr">
        <is>
          <t>New York</t>
        </is>
      </c>
      <c r="I356" s="7" t="inlineStr">
        <is>
          <t>Online</t>
        </is>
      </c>
      <c r="J356" s="7" t="inlineStr">
        <is>
          <t>Home Office</t>
        </is>
      </c>
      <c r="K356" s="8" t="n">
        <v>4</v>
      </c>
      <c r="L356" s="9" t="n">
        <v>389.99</v>
      </c>
      <c r="M356" s="10" t="n">
        <v>0.05</v>
      </c>
      <c r="N356" s="9" t="n">
        <v>331.49</v>
      </c>
      <c r="O356" s="9" t="n">
        <v>1559.96</v>
      </c>
      <c r="P356" s="9" t="n">
        <v>78</v>
      </c>
      <c r="Q356" s="9" t="n">
        <v>1481.96</v>
      </c>
      <c r="R356" s="9" t="n">
        <v>1325.96</v>
      </c>
      <c r="S356" s="9" t="n">
        <v>156</v>
      </c>
      <c r="T356" s="10" t="n">
        <v>0.1053</v>
      </c>
    </row>
    <row r="357">
      <c r="A357" s="7" t="inlineStr">
        <is>
          <t>ORD-2024-1158</t>
        </is>
      </c>
      <c r="B357" s="7" t="inlineStr">
        <is>
          <t>2024-05-30</t>
        </is>
      </c>
      <c r="C357" s="7" t="inlineStr">
        <is>
          <t>TEC-ACC-008</t>
        </is>
      </c>
      <c r="D357" s="7" t="inlineStr">
        <is>
          <t>Precision Laser Bluetooth Mouse</t>
        </is>
      </c>
      <c r="E357" s="7" t="inlineStr">
        <is>
          <t>Technology</t>
        </is>
      </c>
      <c r="F357" s="7" t="inlineStr">
        <is>
          <t>Audio &amp; Accessories</t>
        </is>
      </c>
      <c r="G357" s="7" t="inlineStr">
        <is>
          <t>East</t>
        </is>
      </c>
      <c r="H357" s="7" t="inlineStr">
        <is>
          <t>New York</t>
        </is>
      </c>
      <c r="I357" s="7" t="inlineStr">
        <is>
          <t>Online</t>
        </is>
      </c>
      <c r="J357" s="7" t="inlineStr">
        <is>
          <t>Home Office</t>
        </is>
      </c>
      <c r="K357" s="8" t="n">
        <v>4</v>
      </c>
      <c r="L357" s="9" t="n">
        <v>49.99</v>
      </c>
      <c r="M357" s="10" t="n">
        <v>0.05</v>
      </c>
      <c r="N357" s="9" t="n">
        <v>27.49</v>
      </c>
      <c r="O357" s="9" t="n">
        <v>199.96</v>
      </c>
      <c r="P357" s="9" t="n">
        <v>10</v>
      </c>
      <c r="Q357" s="9" t="n">
        <v>189.96</v>
      </c>
      <c r="R357" s="9" t="n">
        <v>109.96</v>
      </c>
      <c r="S357" s="9" t="n">
        <v>80</v>
      </c>
      <c r="T357" s="10" t="n">
        <v>0.4211</v>
      </c>
    </row>
    <row r="358">
      <c r="A358" s="7" t="inlineStr">
        <is>
          <t>ORD-2024-1158</t>
        </is>
      </c>
      <c r="B358" s="7" t="inlineStr">
        <is>
          <t>2024-05-30</t>
        </is>
      </c>
      <c r="C358" s="7" t="inlineStr">
        <is>
          <t>OFF-BIN-005</t>
        </is>
      </c>
      <c r="D358" s="7" t="inlineStr">
        <is>
          <t>Heavy-Duty D-Ring Presentation Binder (6-Pk)</t>
        </is>
      </c>
      <c r="E358" s="7" t="inlineStr">
        <is>
          <t>Office Supplies</t>
        </is>
      </c>
      <c r="F358" s="7" t="inlineStr">
        <is>
          <t>Binders &amp; Fasteners</t>
        </is>
      </c>
      <c r="G358" s="7" t="inlineStr">
        <is>
          <t>East</t>
        </is>
      </c>
      <c r="H358" s="7" t="inlineStr">
        <is>
          <t>New York</t>
        </is>
      </c>
      <c r="I358" s="7" t="inlineStr">
        <is>
          <t>Online</t>
        </is>
      </c>
      <c r="J358" s="7" t="inlineStr">
        <is>
          <t>Home Office</t>
        </is>
      </c>
      <c r="K358" s="8" t="n">
        <v>4</v>
      </c>
      <c r="L358" s="9" t="n">
        <v>27.99</v>
      </c>
      <c r="M358" s="10" t="n">
        <v>0.1</v>
      </c>
      <c r="N358" s="9" t="n">
        <v>13.99</v>
      </c>
      <c r="O358" s="9" t="n">
        <v>111.96</v>
      </c>
      <c r="P358" s="9" t="n">
        <v>11.2</v>
      </c>
      <c r="Q358" s="9" t="n">
        <v>100.76</v>
      </c>
      <c r="R358" s="9" t="n">
        <v>55.96</v>
      </c>
      <c r="S358" s="9" t="n">
        <v>44.8</v>
      </c>
      <c r="T358" s="10" t="n">
        <v>0.4446</v>
      </c>
    </row>
    <row r="359">
      <c r="A359" s="7" t="inlineStr">
        <is>
          <t>ORD-2024-1259</t>
        </is>
      </c>
      <c r="B359" s="7" t="inlineStr">
        <is>
          <t>2024-05-30</t>
        </is>
      </c>
      <c r="C359" s="7" t="inlineStr">
        <is>
          <t>FUR-CHA-002</t>
        </is>
      </c>
      <c r="D359" s="7" t="inlineStr">
        <is>
          <t>AeroTask Operator Task Chair</t>
        </is>
      </c>
      <c r="E359" s="7" t="inlineStr">
        <is>
          <t>Furniture</t>
        </is>
      </c>
      <c r="F359" s="7" t="inlineStr">
        <is>
          <t>Chairs</t>
        </is>
      </c>
      <c r="G359" s="7" t="inlineStr">
        <is>
          <t>West</t>
        </is>
      </c>
      <c r="H359" s="7" t="inlineStr">
        <is>
          <t>Colorado</t>
        </is>
      </c>
      <c r="I359" s="7" t="inlineStr">
        <is>
          <t>Online</t>
        </is>
      </c>
      <c r="J359" s="7" t="inlineStr">
        <is>
          <t>Consumer</t>
        </is>
      </c>
      <c r="K359" s="8" t="n">
        <v>3</v>
      </c>
      <c r="L359" s="9" t="n">
        <v>219.99</v>
      </c>
      <c r="M359" s="10" t="n">
        <v>0.05</v>
      </c>
      <c r="N359" s="9" t="n">
        <v>171.59</v>
      </c>
      <c r="O359" s="9" t="n">
        <v>659.97</v>
      </c>
      <c r="P359" s="9" t="n">
        <v>33</v>
      </c>
      <c r="Q359" s="9" t="n">
        <v>626.97</v>
      </c>
      <c r="R359" s="9" t="n">
        <v>514.77</v>
      </c>
      <c r="S359" s="9" t="n">
        <v>112.2</v>
      </c>
      <c r="T359" s="10" t="n">
        <v>0.179</v>
      </c>
    </row>
    <row r="360">
      <c r="A360" s="7" t="inlineStr">
        <is>
          <t>ORD-2024-1259</t>
        </is>
      </c>
      <c r="B360" s="7" t="inlineStr">
        <is>
          <t>2024-05-30</t>
        </is>
      </c>
      <c r="C360" s="7" t="inlineStr">
        <is>
          <t>TEC-TAB-004</t>
        </is>
      </c>
      <c r="D360" s="7" t="inlineStr">
        <is>
          <t>VisionPad Lite 8.5"</t>
        </is>
      </c>
      <c r="E360" s="7" t="inlineStr">
        <is>
          <t>Technology</t>
        </is>
      </c>
      <c r="F360" s="7" t="inlineStr">
        <is>
          <t>Phones &amp; Tablets</t>
        </is>
      </c>
      <c r="G360" s="7" t="inlineStr">
        <is>
          <t>West</t>
        </is>
      </c>
      <c r="H360" s="7" t="inlineStr">
        <is>
          <t>Colorado</t>
        </is>
      </c>
      <c r="I360" s="7" t="inlineStr">
        <is>
          <t>Online</t>
        </is>
      </c>
      <c r="J360" s="7" t="inlineStr">
        <is>
          <t>Consumer</t>
        </is>
      </c>
      <c r="K360" s="8" t="n">
        <v>4</v>
      </c>
      <c r="L360" s="9" t="n">
        <v>299.99</v>
      </c>
      <c r="M360" s="10" t="n">
        <v>0</v>
      </c>
      <c r="N360" s="9" t="n">
        <v>245.99</v>
      </c>
      <c r="O360" s="9" t="n">
        <v>1199.96</v>
      </c>
      <c r="P360" s="9" t="n">
        <v>0</v>
      </c>
      <c r="Q360" s="9" t="n">
        <v>1199.96</v>
      </c>
      <c r="R360" s="9" t="n">
        <v>983.96</v>
      </c>
      <c r="S360" s="9" t="n">
        <v>216</v>
      </c>
      <c r="T360" s="10" t="n">
        <v>0.18</v>
      </c>
    </row>
    <row r="361">
      <c r="A361" s="7" t="inlineStr">
        <is>
          <t>ORD-2024-1259</t>
        </is>
      </c>
      <c r="B361" s="7" t="inlineStr">
        <is>
          <t>2024-05-30</t>
        </is>
      </c>
      <c r="C361" s="7" t="inlineStr">
        <is>
          <t>TEC-TAB-003</t>
        </is>
      </c>
      <c r="D361" s="7" t="inlineStr">
        <is>
          <t>VisionPad Pro 11"</t>
        </is>
      </c>
      <c r="E361" s="7" t="inlineStr">
        <is>
          <t>Technology</t>
        </is>
      </c>
      <c r="F361" s="7" t="inlineStr">
        <is>
          <t>Phones &amp; Tablets</t>
        </is>
      </c>
      <c r="G361" s="7" t="inlineStr">
        <is>
          <t>West</t>
        </is>
      </c>
      <c r="H361" s="7" t="inlineStr">
        <is>
          <t>Colorado</t>
        </is>
      </c>
      <c r="I361" s="7" t="inlineStr">
        <is>
          <t>Online</t>
        </is>
      </c>
      <c r="J361" s="7" t="inlineStr">
        <is>
          <t>Consumer</t>
        </is>
      </c>
      <c r="K361" s="8" t="n">
        <v>2</v>
      </c>
      <c r="L361" s="9" t="n">
        <v>649.99</v>
      </c>
      <c r="M361" s="10" t="n">
        <v>0</v>
      </c>
      <c r="N361" s="9" t="n">
        <v>487.49</v>
      </c>
      <c r="O361" s="9" t="n">
        <v>1299.98</v>
      </c>
      <c r="P361" s="9" t="n">
        <v>0</v>
      </c>
      <c r="Q361" s="9" t="n">
        <v>1299.98</v>
      </c>
      <c r="R361" s="9" t="n">
        <v>974.98</v>
      </c>
      <c r="S361" s="9" t="n">
        <v>325</v>
      </c>
      <c r="T361" s="10" t="n">
        <v>0.25</v>
      </c>
    </row>
    <row r="362">
      <c r="A362" s="7" t="inlineStr">
        <is>
          <t>ORD-2024-1584</t>
        </is>
      </c>
      <c r="B362" s="7" t="inlineStr">
        <is>
          <t>2024-05-30</t>
        </is>
      </c>
      <c r="C362" s="7" t="inlineStr">
        <is>
          <t>OFF-PAP-003</t>
        </is>
      </c>
      <c r="D362" s="7" t="inlineStr">
        <is>
          <t>UltraWhite Premium Multipurpose Paper (Case)</t>
        </is>
      </c>
      <c r="E362" s="7" t="inlineStr">
        <is>
          <t>Office Supplies</t>
        </is>
      </c>
      <c r="F362" s="7" t="inlineStr">
        <is>
          <t>Paper Products</t>
        </is>
      </c>
      <c r="G362" s="7" t="inlineStr">
        <is>
          <t>East</t>
        </is>
      </c>
      <c r="H362" s="7" t="inlineStr">
        <is>
          <t>New York</t>
        </is>
      </c>
      <c r="I362" s="7" t="inlineStr">
        <is>
          <t>Online</t>
        </is>
      </c>
      <c r="J362" s="7" t="inlineStr">
        <is>
          <t>Consumer</t>
        </is>
      </c>
      <c r="K362" s="8" t="n">
        <v>2</v>
      </c>
      <c r="L362" s="9" t="n">
        <v>54.99</v>
      </c>
      <c r="M362" s="10" t="n">
        <v>0</v>
      </c>
      <c r="N362" s="9" t="n">
        <v>31.89</v>
      </c>
      <c r="O362" s="9" t="n">
        <v>109.98</v>
      </c>
      <c r="P362" s="9" t="n">
        <v>0</v>
      </c>
      <c r="Q362" s="9" t="n">
        <v>109.98</v>
      </c>
      <c r="R362" s="9" t="n">
        <v>63.78</v>
      </c>
      <c r="S362" s="9" t="n">
        <v>46.2</v>
      </c>
      <c r="T362" s="10" t="n">
        <v>0.4201</v>
      </c>
    </row>
    <row r="363">
      <c r="A363" s="7" t="inlineStr">
        <is>
          <t>ORD-2024-1065</t>
        </is>
      </c>
      <c r="B363" s="7" t="inlineStr">
        <is>
          <t>2024-05-31</t>
        </is>
      </c>
      <c r="C363" s="7" t="inlineStr">
        <is>
          <t>OFF-BIN-005</t>
        </is>
      </c>
      <c r="D363" s="7" t="inlineStr">
        <is>
          <t>Heavy-Duty D-Ring Presentation Binder (6-Pk)</t>
        </is>
      </c>
      <c r="E363" s="7" t="inlineStr">
        <is>
          <t>Office Supplies</t>
        </is>
      </c>
      <c r="F363" s="7" t="inlineStr">
        <is>
          <t>Binders &amp; Fasteners</t>
        </is>
      </c>
      <c r="G363" s="7" t="inlineStr">
        <is>
          <t>West</t>
        </is>
      </c>
      <c r="H363" s="7" t="inlineStr">
        <is>
          <t>Washington</t>
        </is>
      </c>
      <c r="I363" s="7" t="inlineStr">
        <is>
          <t>Retail Partner</t>
        </is>
      </c>
      <c r="J363" s="7" t="inlineStr">
        <is>
          <t>Corporate</t>
        </is>
      </c>
      <c r="K363" s="8" t="n">
        <v>6</v>
      </c>
      <c r="L363" s="9" t="n">
        <v>27.99</v>
      </c>
      <c r="M363" s="10" t="n">
        <v>0.05</v>
      </c>
      <c r="N363" s="9" t="n">
        <v>13.99</v>
      </c>
      <c r="O363" s="9" t="n">
        <v>167.94</v>
      </c>
      <c r="P363" s="9" t="n">
        <v>8.4</v>
      </c>
      <c r="Q363" s="9" t="n">
        <v>159.54</v>
      </c>
      <c r="R363" s="9" t="n">
        <v>83.94</v>
      </c>
      <c r="S363" s="9" t="n">
        <v>75.59999999999999</v>
      </c>
      <c r="T363" s="10" t="n">
        <v>0.4739</v>
      </c>
    </row>
    <row r="364">
      <c r="A364" s="7" t="inlineStr">
        <is>
          <t>ORD-2024-1065</t>
        </is>
      </c>
      <c r="B364" s="7" t="inlineStr">
        <is>
          <t>2024-05-31</t>
        </is>
      </c>
      <c r="C364" s="7" t="inlineStr">
        <is>
          <t>TEC-LAP-002</t>
        </is>
      </c>
      <c r="D364" s="7" t="inlineStr">
        <is>
          <t>Apex Gaming Laptop 17"</t>
        </is>
      </c>
      <c r="E364" s="7" t="inlineStr">
        <is>
          <t>Technology</t>
        </is>
      </c>
      <c r="F364" s="7" t="inlineStr">
        <is>
          <t>Laptops</t>
        </is>
      </c>
      <c r="G364" s="7" t="inlineStr">
        <is>
          <t>West</t>
        </is>
      </c>
      <c r="H364" s="7" t="inlineStr">
        <is>
          <t>Washington</t>
        </is>
      </c>
      <c r="I364" s="7" t="inlineStr">
        <is>
          <t>Retail Partner</t>
        </is>
      </c>
      <c r="J364" s="7" t="inlineStr">
        <is>
          <t>Corporate</t>
        </is>
      </c>
      <c r="K364" s="8" t="n">
        <v>6</v>
      </c>
      <c r="L364" s="9" t="n">
        <v>1499.99</v>
      </c>
      <c r="M364" s="10" t="n">
        <v>0.1</v>
      </c>
      <c r="N364" s="9" t="n">
        <v>1259.99</v>
      </c>
      <c r="O364" s="9" t="n">
        <v>8999.940000000001</v>
      </c>
      <c r="P364" s="9" t="n">
        <v>899.99</v>
      </c>
      <c r="Q364" s="9" t="n">
        <v>8099.95</v>
      </c>
      <c r="R364" s="9" t="n">
        <v>7559.94</v>
      </c>
      <c r="S364" s="9" t="n">
        <v>540.01</v>
      </c>
      <c r="T364" s="10" t="n">
        <v>0.0667</v>
      </c>
    </row>
    <row r="365">
      <c r="A365" s="7" t="inlineStr">
        <is>
          <t>ORD-2024-1378</t>
        </is>
      </c>
      <c r="B365" s="7" t="inlineStr">
        <is>
          <t>2024-05-31</t>
        </is>
      </c>
      <c r="C365" s="7" t="inlineStr">
        <is>
          <t>OFF-STR-001</t>
        </is>
      </c>
      <c r="D365" s="7" t="inlineStr">
        <is>
          <t>SteelLock 3-Drawer File Cabinet</t>
        </is>
      </c>
      <c r="E365" s="7" t="inlineStr">
        <is>
          <t>Office Supplies</t>
        </is>
      </c>
      <c r="F365" s="7" t="inlineStr">
        <is>
          <t>Storage &amp; Organizers</t>
        </is>
      </c>
      <c r="G365" s="7" t="inlineStr">
        <is>
          <t>Central</t>
        </is>
      </c>
      <c r="H365" s="7" t="inlineStr">
        <is>
          <t>Texas</t>
        </is>
      </c>
      <c r="I365" s="7" t="inlineStr">
        <is>
          <t>Direct Sales</t>
        </is>
      </c>
      <c r="J365" s="7" t="inlineStr">
        <is>
          <t>Consumer</t>
        </is>
      </c>
      <c r="K365" s="8" t="n">
        <v>3</v>
      </c>
      <c r="L365" s="9" t="n">
        <v>169.99</v>
      </c>
      <c r="M365" s="10" t="n">
        <v>0.15</v>
      </c>
      <c r="N365" s="9" t="n">
        <v>115.59</v>
      </c>
      <c r="O365" s="9" t="n">
        <v>509.97</v>
      </c>
      <c r="P365" s="9" t="n">
        <v>76.5</v>
      </c>
      <c r="Q365" s="9" t="n">
        <v>433.47</v>
      </c>
      <c r="R365" s="9" t="n">
        <v>346.77</v>
      </c>
      <c r="S365" s="9" t="n">
        <v>86.7</v>
      </c>
      <c r="T365" s="10" t="n">
        <v>0.2</v>
      </c>
    </row>
    <row r="366">
      <c r="A366" s="7" t="inlineStr">
        <is>
          <t>ORD-2024-1587</t>
        </is>
      </c>
      <c r="B366" s="7" t="inlineStr">
        <is>
          <t>2024-05-31</t>
        </is>
      </c>
      <c r="C366" s="7" t="inlineStr">
        <is>
          <t>OFF-STR-001</t>
        </is>
      </c>
      <c r="D366" s="7" t="inlineStr">
        <is>
          <t>SteelLock 3-Drawer File Cabinet</t>
        </is>
      </c>
      <c r="E366" s="7" t="inlineStr">
        <is>
          <t>Office Supplies</t>
        </is>
      </c>
      <c r="F366" s="7" t="inlineStr">
        <is>
          <t>Storage &amp; Organizers</t>
        </is>
      </c>
      <c r="G366" s="7" t="inlineStr">
        <is>
          <t>East</t>
        </is>
      </c>
      <c r="H366" s="7" t="inlineStr">
        <is>
          <t>New Jersey</t>
        </is>
      </c>
      <c r="I366" s="7" t="inlineStr">
        <is>
          <t>Direct Sales</t>
        </is>
      </c>
      <c r="J366" s="7" t="inlineStr">
        <is>
          <t>Corporate</t>
        </is>
      </c>
      <c r="K366" s="8" t="n">
        <v>6</v>
      </c>
      <c r="L366" s="9" t="n">
        <v>169.99</v>
      </c>
      <c r="M366" s="10" t="n">
        <v>0.05</v>
      </c>
      <c r="N366" s="9" t="n">
        <v>115.59</v>
      </c>
      <c r="O366" s="9" t="n">
        <v>1019.94</v>
      </c>
      <c r="P366" s="9" t="n">
        <v>51</v>
      </c>
      <c r="Q366" s="9" t="n">
        <v>968.9400000000001</v>
      </c>
      <c r="R366" s="9" t="n">
        <v>693.54</v>
      </c>
      <c r="S366" s="9" t="n">
        <v>275.4</v>
      </c>
      <c r="T366" s="10" t="n">
        <v>0.2842</v>
      </c>
    </row>
    <row r="367">
      <c r="A367" s="7" t="inlineStr">
        <is>
          <t>ORD-2024-1587</t>
        </is>
      </c>
      <c r="B367" s="7" t="inlineStr">
        <is>
          <t>2024-05-31</t>
        </is>
      </c>
      <c r="C367" s="7" t="inlineStr">
        <is>
          <t>TEC-ACC-008</t>
        </is>
      </c>
      <c r="D367" s="7" t="inlineStr">
        <is>
          <t>Precision Laser Bluetooth Mouse</t>
        </is>
      </c>
      <c r="E367" s="7" t="inlineStr">
        <is>
          <t>Technology</t>
        </is>
      </c>
      <c r="F367" s="7" t="inlineStr">
        <is>
          <t>Audio &amp; Accessories</t>
        </is>
      </c>
      <c r="G367" s="7" t="inlineStr">
        <is>
          <t>East</t>
        </is>
      </c>
      <c r="H367" s="7" t="inlineStr">
        <is>
          <t>New Jersey</t>
        </is>
      </c>
      <c r="I367" s="7" t="inlineStr">
        <is>
          <t>Direct Sales</t>
        </is>
      </c>
      <c r="J367" s="7" t="inlineStr">
        <is>
          <t>Corporate</t>
        </is>
      </c>
      <c r="K367" s="8" t="n">
        <v>7</v>
      </c>
      <c r="L367" s="9" t="n">
        <v>49.99</v>
      </c>
      <c r="M367" s="10" t="n">
        <v>0.1</v>
      </c>
      <c r="N367" s="9" t="n">
        <v>27.49</v>
      </c>
      <c r="O367" s="9" t="n">
        <v>349.93</v>
      </c>
      <c r="P367" s="9" t="n">
        <v>34.99</v>
      </c>
      <c r="Q367" s="9" t="n">
        <v>314.94</v>
      </c>
      <c r="R367" s="9" t="n">
        <v>192.43</v>
      </c>
      <c r="S367" s="9" t="n">
        <v>122.51</v>
      </c>
      <c r="T367" s="10" t="n">
        <v>0.389</v>
      </c>
    </row>
    <row r="368">
      <c r="A368" s="7" t="inlineStr">
        <is>
          <t>ORD-2024-1100</t>
        </is>
      </c>
      <c r="B368" s="7" t="inlineStr">
        <is>
          <t>2024-06-03</t>
        </is>
      </c>
      <c r="C368" s="7" t="inlineStr">
        <is>
          <t>OFF-ART-006</t>
        </is>
      </c>
      <c r="D368" s="7" t="inlineStr">
        <is>
          <t>Professional Presentation Dry Erase Board</t>
        </is>
      </c>
      <c r="E368" s="7" t="inlineStr">
        <is>
          <t>Office Supplies</t>
        </is>
      </c>
      <c r="F368" s="7" t="inlineStr">
        <is>
          <t>Presentation &amp; Art</t>
        </is>
      </c>
      <c r="G368" s="7" t="inlineStr">
        <is>
          <t>West</t>
        </is>
      </c>
      <c r="H368" s="7" t="inlineStr">
        <is>
          <t>Oregon</t>
        </is>
      </c>
      <c r="I368" s="7" t="inlineStr">
        <is>
          <t>Online</t>
        </is>
      </c>
      <c r="J368" s="7" t="inlineStr">
        <is>
          <t>Consumer</t>
        </is>
      </c>
      <c r="K368" s="8" t="n">
        <v>3</v>
      </c>
      <c r="L368" s="9" t="n">
        <v>89.98999999999999</v>
      </c>
      <c r="M368" s="10" t="n">
        <v>0.05</v>
      </c>
      <c r="N368" s="9" t="n">
        <v>53.99</v>
      </c>
      <c r="O368" s="9" t="n">
        <v>269.97</v>
      </c>
      <c r="P368" s="9" t="n">
        <v>13.5</v>
      </c>
      <c r="Q368" s="9" t="n">
        <v>256.47</v>
      </c>
      <c r="R368" s="9" t="n">
        <v>161.97</v>
      </c>
      <c r="S368" s="9" t="n">
        <v>94.5</v>
      </c>
      <c r="T368" s="10" t="n">
        <v>0.3685</v>
      </c>
    </row>
    <row r="369">
      <c r="A369" s="7" t="inlineStr">
        <is>
          <t>ORD-2024-1100</t>
        </is>
      </c>
      <c r="B369" s="7" t="inlineStr">
        <is>
          <t>2024-06-03</t>
        </is>
      </c>
      <c r="C369" s="7" t="inlineStr">
        <is>
          <t>OFF-DSK-008</t>
        </is>
      </c>
      <c r="D369" s="7" t="inlineStr">
        <is>
          <t>Steel Desktop Mesh Organizer Caddy</t>
        </is>
      </c>
      <c r="E369" s="7" t="inlineStr">
        <is>
          <t>Office Supplies</t>
        </is>
      </c>
      <c r="F369" s="7" t="inlineStr">
        <is>
          <t>Desk Supplies</t>
        </is>
      </c>
      <c r="G369" s="7" t="inlineStr">
        <is>
          <t>West</t>
        </is>
      </c>
      <c r="H369" s="7" t="inlineStr">
        <is>
          <t>Oregon</t>
        </is>
      </c>
      <c r="I369" s="7" t="inlineStr">
        <is>
          <t>Online</t>
        </is>
      </c>
      <c r="J369" s="7" t="inlineStr">
        <is>
          <t>Consumer</t>
        </is>
      </c>
      <c r="K369" s="8" t="n">
        <v>1</v>
      </c>
      <c r="L369" s="9" t="n">
        <v>18.99</v>
      </c>
      <c r="M369" s="10" t="n">
        <v>0.05</v>
      </c>
      <c r="N369" s="9" t="n">
        <v>8.550000000000001</v>
      </c>
      <c r="O369" s="9" t="n">
        <v>18.99</v>
      </c>
      <c r="P369" s="9" t="n">
        <v>0.95</v>
      </c>
      <c r="Q369" s="9" t="n">
        <v>18.04</v>
      </c>
      <c r="R369" s="9" t="n">
        <v>8.550000000000001</v>
      </c>
      <c r="S369" s="9" t="n">
        <v>9.49</v>
      </c>
      <c r="T369" s="10" t="n">
        <v>0.5261</v>
      </c>
    </row>
    <row r="370">
      <c r="A370" s="7" t="inlineStr">
        <is>
          <t>ORD-2024-1236</t>
        </is>
      </c>
      <c r="B370" s="7" t="inlineStr">
        <is>
          <t>2024-06-03</t>
        </is>
      </c>
      <c r="C370" s="7" t="inlineStr">
        <is>
          <t>TEC-TAB-004</t>
        </is>
      </c>
      <c r="D370" s="7" t="inlineStr">
        <is>
          <t>VisionPad Lite 8.5"</t>
        </is>
      </c>
      <c r="E370" s="7" t="inlineStr">
        <is>
          <t>Technology</t>
        </is>
      </c>
      <c r="F370" s="7" t="inlineStr">
        <is>
          <t>Phones &amp; Tablets</t>
        </is>
      </c>
      <c r="G370" s="7" t="inlineStr">
        <is>
          <t>East</t>
        </is>
      </c>
      <c r="H370" s="7" t="inlineStr">
        <is>
          <t>New Jersey</t>
        </is>
      </c>
      <c r="I370" s="7" t="inlineStr">
        <is>
          <t>Online</t>
        </is>
      </c>
      <c r="J370" s="7" t="inlineStr">
        <is>
          <t>Corporate</t>
        </is>
      </c>
      <c r="K370" s="8" t="n">
        <v>8</v>
      </c>
      <c r="L370" s="9" t="n">
        <v>299.99</v>
      </c>
      <c r="M370" s="10" t="n">
        <v>0.05</v>
      </c>
      <c r="N370" s="9" t="n">
        <v>245.99</v>
      </c>
      <c r="O370" s="9" t="n">
        <v>2399.92</v>
      </c>
      <c r="P370" s="9" t="n">
        <v>120</v>
      </c>
      <c r="Q370" s="9" t="n">
        <v>2279.92</v>
      </c>
      <c r="R370" s="9" t="n">
        <v>1967.92</v>
      </c>
      <c r="S370" s="9" t="n">
        <v>312</v>
      </c>
      <c r="T370" s="10" t="n">
        <v>0.1368</v>
      </c>
    </row>
    <row r="371">
      <c r="A371" s="7" t="inlineStr">
        <is>
          <t>ORD-2024-1385</t>
        </is>
      </c>
      <c r="B371" s="7" t="inlineStr">
        <is>
          <t>2024-06-04</t>
        </is>
      </c>
      <c r="C371" s="7" t="inlineStr">
        <is>
          <t>TEC-ACC-008</t>
        </is>
      </c>
      <c r="D371" s="7" t="inlineStr">
        <is>
          <t>Precision Laser Bluetooth Mouse</t>
        </is>
      </c>
      <c r="E371" s="7" t="inlineStr">
        <is>
          <t>Technology</t>
        </is>
      </c>
      <c r="F371" s="7" t="inlineStr">
        <is>
          <t>Audio &amp; Accessories</t>
        </is>
      </c>
      <c r="G371" s="7" t="inlineStr">
        <is>
          <t>West</t>
        </is>
      </c>
      <c r="H371" s="7" t="inlineStr">
        <is>
          <t>Oregon</t>
        </is>
      </c>
      <c r="I371" s="7" t="inlineStr">
        <is>
          <t>Wholesale</t>
        </is>
      </c>
      <c r="J371" s="7" t="inlineStr">
        <is>
          <t>Corporate</t>
        </is>
      </c>
      <c r="K371" s="8" t="n">
        <v>9</v>
      </c>
      <c r="L371" s="9" t="n">
        <v>49.99</v>
      </c>
      <c r="M371" s="10" t="n">
        <v>0.15</v>
      </c>
      <c r="N371" s="9" t="n">
        <v>27.49</v>
      </c>
      <c r="O371" s="9" t="n">
        <v>449.91</v>
      </c>
      <c r="P371" s="9" t="n">
        <v>67.48999999999999</v>
      </c>
      <c r="Q371" s="9" t="n">
        <v>382.42</v>
      </c>
      <c r="R371" s="9" t="n">
        <v>247.41</v>
      </c>
      <c r="S371" s="9" t="n">
        <v>135.01</v>
      </c>
      <c r="T371" s="10" t="n">
        <v>0.353</v>
      </c>
    </row>
    <row r="372">
      <c r="A372" s="7" t="inlineStr">
        <is>
          <t>ORD-2024-1022</t>
        </is>
      </c>
      <c r="B372" s="7" t="inlineStr">
        <is>
          <t>2024-06-05</t>
        </is>
      </c>
      <c r="C372" s="7" t="inlineStr">
        <is>
          <t>TEC-ACC-005</t>
        </is>
      </c>
      <c r="D372" s="7" t="inlineStr">
        <is>
          <t>UltraWireless Noise-Canceling Headset</t>
        </is>
      </c>
      <c r="E372" s="7" t="inlineStr">
        <is>
          <t>Technology</t>
        </is>
      </c>
      <c r="F372" s="7" t="inlineStr">
        <is>
          <t>Audio &amp; Accessories</t>
        </is>
      </c>
      <c r="G372" s="7" t="inlineStr">
        <is>
          <t>South</t>
        </is>
      </c>
      <c r="H372" s="7" t="inlineStr">
        <is>
          <t>North Carolina</t>
        </is>
      </c>
      <c r="I372" s="7" t="inlineStr">
        <is>
          <t>Wholesale</t>
        </is>
      </c>
      <c r="J372" s="7" t="inlineStr">
        <is>
          <t>Consumer</t>
        </is>
      </c>
      <c r="K372" s="8" t="n">
        <v>8</v>
      </c>
      <c r="L372" s="9" t="n">
        <v>179.99</v>
      </c>
      <c r="M372" s="10" t="n">
        <v>0.1</v>
      </c>
      <c r="N372" s="9" t="n">
        <v>111.59</v>
      </c>
      <c r="O372" s="9" t="n">
        <v>1439.92</v>
      </c>
      <c r="P372" s="9" t="n">
        <v>143.99</v>
      </c>
      <c r="Q372" s="9" t="n">
        <v>1295.93</v>
      </c>
      <c r="R372" s="9" t="n">
        <v>892.72</v>
      </c>
      <c r="S372" s="9" t="n">
        <v>403.21</v>
      </c>
      <c r="T372" s="10" t="n">
        <v>0.3111</v>
      </c>
    </row>
    <row r="373">
      <c r="A373" s="7" t="inlineStr">
        <is>
          <t>ORD-2024-1283</t>
        </is>
      </c>
      <c r="B373" s="7" t="inlineStr">
        <is>
          <t>2024-06-05</t>
        </is>
      </c>
      <c r="C373" s="7" t="inlineStr">
        <is>
          <t>TEC-ACC-006</t>
        </is>
      </c>
      <c r="D373" s="7" t="inlineStr">
        <is>
          <t>MultiPort Thunderbolt 4 Dock</t>
        </is>
      </c>
      <c r="E373" s="7" t="inlineStr">
        <is>
          <t>Technology</t>
        </is>
      </c>
      <c r="F373" s="7" t="inlineStr">
        <is>
          <t>Audio &amp; Accessories</t>
        </is>
      </c>
      <c r="G373" s="7" t="inlineStr">
        <is>
          <t>Central</t>
        </is>
      </c>
      <c r="H373" s="7" t="inlineStr">
        <is>
          <t>Ohio</t>
        </is>
      </c>
      <c r="I373" s="7" t="inlineStr">
        <is>
          <t>Direct Sales</t>
        </is>
      </c>
      <c r="J373" s="7" t="inlineStr">
        <is>
          <t>Consumer</t>
        </is>
      </c>
      <c r="K373" s="8" t="n">
        <v>1</v>
      </c>
      <c r="L373" s="9" t="n">
        <v>149.99</v>
      </c>
      <c r="M373" s="10" t="n">
        <v>0</v>
      </c>
      <c r="N373" s="9" t="n">
        <v>98.98999999999999</v>
      </c>
      <c r="O373" s="9" t="n">
        <v>149.99</v>
      </c>
      <c r="P373" s="9" t="n">
        <v>0</v>
      </c>
      <c r="Q373" s="9" t="n">
        <v>149.99</v>
      </c>
      <c r="R373" s="9" t="n">
        <v>98.98999999999999</v>
      </c>
      <c r="S373" s="9" t="n">
        <v>51</v>
      </c>
      <c r="T373" s="10" t="n">
        <v>0.34</v>
      </c>
    </row>
    <row r="374">
      <c r="A374" s="7" t="inlineStr">
        <is>
          <t>ORD-2024-1634</t>
        </is>
      </c>
      <c r="B374" s="7" t="inlineStr">
        <is>
          <t>2024-06-05</t>
        </is>
      </c>
      <c r="C374" s="7" t="inlineStr">
        <is>
          <t>TEC-ACC-008</t>
        </is>
      </c>
      <c r="D374" s="7" t="inlineStr">
        <is>
          <t>Precision Laser Bluetooth Mouse</t>
        </is>
      </c>
      <c r="E374" s="7" t="inlineStr">
        <is>
          <t>Technology</t>
        </is>
      </c>
      <c r="F374" s="7" t="inlineStr">
        <is>
          <t>Audio &amp; Accessories</t>
        </is>
      </c>
      <c r="G374" s="7" t="inlineStr">
        <is>
          <t>Central</t>
        </is>
      </c>
      <c r="H374" s="7" t="inlineStr">
        <is>
          <t>Ohio</t>
        </is>
      </c>
      <c r="I374" s="7" t="inlineStr">
        <is>
          <t>Online</t>
        </is>
      </c>
      <c r="J374" s="7" t="inlineStr">
        <is>
          <t>Consumer</t>
        </is>
      </c>
      <c r="K374" s="8" t="n">
        <v>3</v>
      </c>
      <c r="L374" s="9" t="n">
        <v>49.99</v>
      </c>
      <c r="M374" s="10" t="n">
        <v>0</v>
      </c>
      <c r="N374" s="9" t="n">
        <v>27.49</v>
      </c>
      <c r="O374" s="9" t="n">
        <v>149.97</v>
      </c>
      <c r="P374" s="9" t="n">
        <v>0</v>
      </c>
      <c r="Q374" s="9" t="n">
        <v>149.97</v>
      </c>
      <c r="R374" s="9" t="n">
        <v>82.47</v>
      </c>
      <c r="S374" s="9" t="n">
        <v>67.5</v>
      </c>
      <c r="T374" s="10" t="n">
        <v>0.4501</v>
      </c>
    </row>
    <row r="375">
      <c r="A375" s="7" t="inlineStr">
        <is>
          <t>ORD-2024-1634</t>
        </is>
      </c>
      <c r="B375" s="7" t="inlineStr">
        <is>
          <t>2024-06-05</t>
        </is>
      </c>
      <c r="C375" s="7" t="inlineStr">
        <is>
          <t>OFF-DSK-008</t>
        </is>
      </c>
      <c r="D375" s="7" t="inlineStr">
        <is>
          <t>Steel Desktop Mesh Organizer Caddy</t>
        </is>
      </c>
      <c r="E375" s="7" t="inlineStr">
        <is>
          <t>Office Supplies</t>
        </is>
      </c>
      <c r="F375" s="7" t="inlineStr">
        <is>
          <t>Desk Supplies</t>
        </is>
      </c>
      <c r="G375" s="7" t="inlineStr">
        <is>
          <t>Central</t>
        </is>
      </c>
      <c r="H375" s="7" t="inlineStr">
        <is>
          <t>Ohio</t>
        </is>
      </c>
      <c r="I375" s="7" t="inlineStr">
        <is>
          <t>Online</t>
        </is>
      </c>
      <c r="J375" s="7" t="inlineStr">
        <is>
          <t>Consumer</t>
        </is>
      </c>
      <c r="K375" s="8" t="n">
        <v>2</v>
      </c>
      <c r="L375" s="9" t="n">
        <v>18.99</v>
      </c>
      <c r="M375" s="10" t="n">
        <v>0.15</v>
      </c>
      <c r="N375" s="9" t="n">
        <v>8.550000000000001</v>
      </c>
      <c r="O375" s="9" t="n">
        <v>37.98</v>
      </c>
      <c r="P375" s="9" t="n">
        <v>5.7</v>
      </c>
      <c r="Q375" s="9" t="n">
        <v>32.28</v>
      </c>
      <c r="R375" s="9" t="n">
        <v>17.1</v>
      </c>
      <c r="S375" s="9" t="n">
        <v>15.18</v>
      </c>
      <c r="T375" s="10" t="n">
        <v>0.4703</v>
      </c>
    </row>
    <row r="376">
      <c r="A376" s="7" t="inlineStr">
        <is>
          <t>ORD-2024-1634</t>
        </is>
      </c>
      <c r="B376" s="7" t="inlineStr">
        <is>
          <t>2024-06-05</t>
        </is>
      </c>
      <c r="C376" s="7" t="inlineStr">
        <is>
          <t>FUR-LGT-006</t>
        </is>
      </c>
      <c r="D376" s="7" t="inlineStr">
        <is>
          <t>Architect LED Desk Task Lamp</t>
        </is>
      </c>
      <c r="E376" s="7" t="inlineStr">
        <is>
          <t>Furniture</t>
        </is>
      </c>
      <c r="F376" s="7" t="inlineStr">
        <is>
          <t>Lighting</t>
        </is>
      </c>
      <c r="G376" s="7" t="inlineStr">
        <is>
          <t>Central</t>
        </is>
      </c>
      <c r="H376" s="7" t="inlineStr">
        <is>
          <t>Ohio</t>
        </is>
      </c>
      <c r="I376" s="7" t="inlineStr">
        <is>
          <t>Online</t>
        </is>
      </c>
      <c r="J376" s="7" t="inlineStr">
        <is>
          <t>Consumer</t>
        </is>
      </c>
      <c r="K376" s="8" t="n">
        <v>4</v>
      </c>
      <c r="L376" s="9" t="n">
        <v>69.98999999999999</v>
      </c>
      <c r="M376" s="10" t="n">
        <v>0.15</v>
      </c>
      <c r="N376" s="9" t="n">
        <v>43.39</v>
      </c>
      <c r="O376" s="9" t="n">
        <v>279.96</v>
      </c>
      <c r="P376" s="9" t="n">
        <v>41.99</v>
      </c>
      <c r="Q376" s="9" t="n">
        <v>237.97</v>
      </c>
      <c r="R376" s="9" t="n">
        <v>173.56</v>
      </c>
      <c r="S376" s="9" t="n">
        <v>64.41</v>
      </c>
      <c r="T376" s="10" t="n">
        <v>0.2707</v>
      </c>
    </row>
    <row r="377">
      <c r="A377" s="7" t="inlineStr">
        <is>
          <t>ORD-2024-1634</t>
        </is>
      </c>
      <c r="B377" s="7" t="inlineStr">
        <is>
          <t>2024-06-05</t>
        </is>
      </c>
      <c r="C377" s="7" t="inlineStr">
        <is>
          <t>TEC-TAB-003</t>
        </is>
      </c>
      <c r="D377" s="7" t="inlineStr">
        <is>
          <t>VisionPad Pro 11"</t>
        </is>
      </c>
      <c r="E377" s="7" t="inlineStr">
        <is>
          <t>Technology</t>
        </is>
      </c>
      <c r="F377" s="7" t="inlineStr">
        <is>
          <t>Phones &amp; Tablets</t>
        </is>
      </c>
      <c r="G377" s="7" t="inlineStr">
        <is>
          <t>Central</t>
        </is>
      </c>
      <c r="H377" s="7" t="inlineStr">
        <is>
          <t>Ohio</t>
        </is>
      </c>
      <c r="I377" s="7" t="inlineStr">
        <is>
          <t>Online</t>
        </is>
      </c>
      <c r="J377" s="7" t="inlineStr">
        <is>
          <t>Consumer</t>
        </is>
      </c>
      <c r="K377" s="8" t="n">
        <v>4</v>
      </c>
      <c r="L377" s="9" t="n">
        <v>649.99</v>
      </c>
      <c r="M377" s="10" t="n">
        <v>0.05</v>
      </c>
      <c r="N377" s="9" t="n">
        <v>487.49</v>
      </c>
      <c r="O377" s="9" t="n">
        <v>2599.96</v>
      </c>
      <c r="P377" s="9" t="n">
        <v>130</v>
      </c>
      <c r="Q377" s="9" t="n">
        <v>2469.96</v>
      </c>
      <c r="R377" s="9" t="n">
        <v>1949.96</v>
      </c>
      <c r="S377" s="9" t="n">
        <v>520</v>
      </c>
      <c r="T377" s="10" t="n">
        <v>0.2105</v>
      </c>
    </row>
    <row r="378">
      <c r="A378" s="7" t="inlineStr">
        <is>
          <t>ORD-2024-1316</t>
        </is>
      </c>
      <c r="B378" s="7" t="inlineStr">
        <is>
          <t>2024-06-06</t>
        </is>
      </c>
      <c r="C378" s="7" t="inlineStr">
        <is>
          <t>OFF-DSK-008</t>
        </is>
      </c>
      <c r="D378" s="7" t="inlineStr">
        <is>
          <t>Steel Desktop Mesh Organizer Caddy</t>
        </is>
      </c>
      <c r="E378" s="7" t="inlineStr">
        <is>
          <t>Office Supplies</t>
        </is>
      </c>
      <c r="F378" s="7" t="inlineStr">
        <is>
          <t>Desk Supplies</t>
        </is>
      </c>
      <c r="G378" s="7" t="inlineStr">
        <is>
          <t>South</t>
        </is>
      </c>
      <c r="H378" s="7" t="inlineStr">
        <is>
          <t>Florida</t>
        </is>
      </c>
      <c r="I378" s="7" t="inlineStr">
        <is>
          <t>Online</t>
        </is>
      </c>
      <c r="J378" s="7" t="inlineStr">
        <is>
          <t>Corporate</t>
        </is>
      </c>
      <c r="K378" s="8" t="n">
        <v>2</v>
      </c>
      <c r="L378" s="9" t="n">
        <v>18.99</v>
      </c>
      <c r="M378" s="10" t="n">
        <v>0.05</v>
      </c>
      <c r="N378" s="9" t="n">
        <v>8.550000000000001</v>
      </c>
      <c r="O378" s="9" t="n">
        <v>37.98</v>
      </c>
      <c r="P378" s="9" t="n">
        <v>1.9</v>
      </c>
      <c r="Q378" s="9" t="n">
        <v>36.08</v>
      </c>
      <c r="R378" s="9" t="n">
        <v>17.1</v>
      </c>
      <c r="S378" s="9" t="n">
        <v>18.98</v>
      </c>
      <c r="T378" s="10" t="n">
        <v>0.5261</v>
      </c>
    </row>
    <row r="379">
      <c r="A379" s="7" t="inlineStr">
        <is>
          <t>ORD-2024-1316</t>
        </is>
      </c>
      <c r="B379" s="7" t="inlineStr">
        <is>
          <t>2024-06-06</t>
        </is>
      </c>
      <c r="C379" s="7" t="inlineStr">
        <is>
          <t>FUR-CHA-001</t>
        </is>
      </c>
      <c r="D379" s="7" t="inlineStr">
        <is>
          <t>ErgoFlex Executive Mesh Chair</t>
        </is>
      </c>
      <c r="E379" s="7" t="inlineStr">
        <is>
          <t>Furniture</t>
        </is>
      </c>
      <c r="F379" s="7" t="inlineStr">
        <is>
          <t>Chairs</t>
        </is>
      </c>
      <c r="G379" s="7" t="inlineStr">
        <is>
          <t>South</t>
        </is>
      </c>
      <c r="H379" s="7" t="inlineStr">
        <is>
          <t>Florida</t>
        </is>
      </c>
      <c r="I379" s="7" t="inlineStr">
        <is>
          <t>Online</t>
        </is>
      </c>
      <c r="J379" s="7" t="inlineStr">
        <is>
          <t>Corporate</t>
        </is>
      </c>
      <c r="K379" s="8" t="n">
        <v>5</v>
      </c>
      <c r="L379" s="9" t="n">
        <v>389.99</v>
      </c>
      <c r="M379" s="10" t="n">
        <v>0.2</v>
      </c>
      <c r="N379" s="9" t="n">
        <v>331.49</v>
      </c>
      <c r="O379" s="9" t="n">
        <v>1949.95</v>
      </c>
      <c r="P379" s="9" t="n">
        <v>389.99</v>
      </c>
      <c r="Q379" s="9" t="n">
        <v>1559.96</v>
      </c>
      <c r="R379" s="9" t="n">
        <v>1657.45</v>
      </c>
      <c r="S379" s="9" t="n">
        <v>-97.48999999999999</v>
      </c>
      <c r="T379" s="10" t="n">
        <v>-0.0625</v>
      </c>
    </row>
    <row r="380">
      <c r="A380" s="7" t="inlineStr">
        <is>
          <t>ORD-2024-1316</t>
        </is>
      </c>
      <c r="B380" s="7" t="inlineStr">
        <is>
          <t>2024-06-06</t>
        </is>
      </c>
      <c r="C380" s="7" t="inlineStr">
        <is>
          <t>OFF-DSK-008</t>
        </is>
      </c>
      <c r="D380" s="7" t="inlineStr">
        <is>
          <t>Steel Desktop Mesh Organizer Caddy</t>
        </is>
      </c>
      <c r="E380" s="7" t="inlineStr">
        <is>
          <t>Office Supplies</t>
        </is>
      </c>
      <c r="F380" s="7" t="inlineStr">
        <is>
          <t>Desk Supplies</t>
        </is>
      </c>
      <c r="G380" s="7" t="inlineStr">
        <is>
          <t>South</t>
        </is>
      </c>
      <c r="H380" s="7" t="inlineStr">
        <is>
          <t>Florida</t>
        </is>
      </c>
      <c r="I380" s="7" t="inlineStr">
        <is>
          <t>Online</t>
        </is>
      </c>
      <c r="J380" s="7" t="inlineStr">
        <is>
          <t>Corporate</t>
        </is>
      </c>
      <c r="K380" s="8" t="n">
        <v>5</v>
      </c>
      <c r="L380" s="9" t="n">
        <v>18.99</v>
      </c>
      <c r="M380" s="10" t="n">
        <v>0</v>
      </c>
      <c r="N380" s="9" t="n">
        <v>8.550000000000001</v>
      </c>
      <c r="O380" s="9" t="n">
        <v>94.95</v>
      </c>
      <c r="P380" s="9" t="n">
        <v>0</v>
      </c>
      <c r="Q380" s="9" t="n">
        <v>94.95</v>
      </c>
      <c r="R380" s="9" t="n">
        <v>42.75</v>
      </c>
      <c r="S380" s="9" t="n">
        <v>52.2</v>
      </c>
      <c r="T380" s="10" t="n">
        <v>0.5498</v>
      </c>
    </row>
    <row r="381">
      <c r="A381" s="7" t="inlineStr">
        <is>
          <t>ORD-2024-1367</t>
        </is>
      </c>
      <c r="B381" s="7" t="inlineStr">
        <is>
          <t>2024-06-06</t>
        </is>
      </c>
      <c r="C381" s="7" t="inlineStr">
        <is>
          <t>OFF-STR-001</t>
        </is>
      </c>
      <c r="D381" s="7" t="inlineStr">
        <is>
          <t>SteelLock 3-Drawer File Cabinet</t>
        </is>
      </c>
      <c r="E381" s="7" t="inlineStr">
        <is>
          <t>Office Supplies</t>
        </is>
      </c>
      <c r="F381" s="7" t="inlineStr">
        <is>
          <t>Storage &amp; Organizers</t>
        </is>
      </c>
      <c r="G381" s="7" t="inlineStr">
        <is>
          <t>East</t>
        </is>
      </c>
      <c r="H381" s="7" t="inlineStr">
        <is>
          <t>Pennsylvania</t>
        </is>
      </c>
      <c r="I381" s="7" t="inlineStr">
        <is>
          <t>Online</t>
        </is>
      </c>
      <c r="J381" s="7" t="inlineStr">
        <is>
          <t>Consumer</t>
        </is>
      </c>
      <c r="K381" s="8" t="n">
        <v>1</v>
      </c>
      <c r="L381" s="9" t="n">
        <v>169.99</v>
      </c>
      <c r="M381" s="10" t="n">
        <v>0.05</v>
      </c>
      <c r="N381" s="9" t="n">
        <v>115.59</v>
      </c>
      <c r="O381" s="9" t="n">
        <v>169.99</v>
      </c>
      <c r="P381" s="9" t="n">
        <v>8.5</v>
      </c>
      <c r="Q381" s="9" t="n">
        <v>161.49</v>
      </c>
      <c r="R381" s="9" t="n">
        <v>115.59</v>
      </c>
      <c r="S381" s="9" t="n">
        <v>45.9</v>
      </c>
      <c r="T381" s="10" t="n">
        <v>0.2842</v>
      </c>
    </row>
    <row r="382">
      <c r="A382" s="7" t="inlineStr">
        <is>
          <t>ORD-2024-1653</t>
        </is>
      </c>
      <c r="B382" s="7" t="inlineStr">
        <is>
          <t>2024-06-06</t>
        </is>
      </c>
      <c r="C382" s="7" t="inlineStr">
        <is>
          <t>FUR-BOK-005</t>
        </is>
      </c>
      <c r="D382" s="7" t="inlineStr">
        <is>
          <t>Modular 5-Tier Steel Bookcase</t>
        </is>
      </c>
      <c r="E382" s="7" t="inlineStr">
        <is>
          <t>Furniture</t>
        </is>
      </c>
      <c r="F382" s="7" t="inlineStr">
        <is>
          <t>Bookcases</t>
        </is>
      </c>
      <c r="G382" s="7" t="inlineStr">
        <is>
          <t>West</t>
        </is>
      </c>
      <c r="H382" s="7" t="inlineStr">
        <is>
          <t>Colorado</t>
        </is>
      </c>
      <c r="I382" s="7" t="inlineStr">
        <is>
          <t>Online</t>
        </is>
      </c>
      <c r="J382" s="7" t="inlineStr">
        <is>
          <t>Corporate</t>
        </is>
      </c>
      <c r="K382" s="8" t="n">
        <v>2</v>
      </c>
      <c r="L382" s="9" t="n">
        <v>189.99</v>
      </c>
      <c r="M382" s="10" t="n">
        <v>0.15</v>
      </c>
      <c r="N382" s="9" t="n">
        <v>142.49</v>
      </c>
      <c r="O382" s="9" t="n">
        <v>379.98</v>
      </c>
      <c r="P382" s="9" t="n">
        <v>57</v>
      </c>
      <c r="Q382" s="9" t="n">
        <v>322.98</v>
      </c>
      <c r="R382" s="9" t="n">
        <v>284.98</v>
      </c>
      <c r="S382" s="9" t="n">
        <v>38</v>
      </c>
      <c r="T382" s="10" t="n">
        <v>0.1177</v>
      </c>
    </row>
    <row r="383">
      <c r="A383" s="7" t="inlineStr">
        <is>
          <t>ORD-2024-1653</t>
        </is>
      </c>
      <c r="B383" s="7" t="inlineStr">
        <is>
          <t>2024-06-06</t>
        </is>
      </c>
      <c r="C383" s="7" t="inlineStr">
        <is>
          <t>OFF-ART-006</t>
        </is>
      </c>
      <c r="D383" s="7" t="inlineStr">
        <is>
          <t>Professional Presentation Dry Erase Board</t>
        </is>
      </c>
      <c r="E383" s="7" t="inlineStr">
        <is>
          <t>Office Supplies</t>
        </is>
      </c>
      <c r="F383" s="7" t="inlineStr">
        <is>
          <t>Presentation &amp; Art</t>
        </is>
      </c>
      <c r="G383" s="7" t="inlineStr">
        <is>
          <t>West</t>
        </is>
      </c>
      <c r="H383" s="7" t="inlineStr">
        <is>
          <t>Colorado</t>
        </is>
      </c>
      <c r="I383" s="7" t="inlineStr">
        <is>
          <t>Online</t>
        </is>
      </c>
      <c r="J383" s="7" t="inlineStr">
        <is>
          <t>Corporate</t>
        </is>
      </c>
      <c r="K383" s="8" t="n">
        <v>3</v>
      </c>
      <c r="L383" s="9" t="n">
        <v>89.98999999999999</v>
      </c>
      <c r="M383" s="10" t="n">
        <v>0.05</v>
      </c>
      <c r="N383" s="9" t="n">
        <v>53.99</v>
      </c>
      <c r="O383" s="9" t="n">
        <v>269.97</v>
      </c>
      <c r="P383" s="9" t="n">
        <v>13.5</v>
      </c>
      <c r="Q383" s="9" t="n">
        <v>256.47</v>
      </c>
      <c r="R383" s="9" t="n">
        <v>161.97</v>
      </c>
      <c r="S383" s="9" t="n">
        <v>94.5</v>
      </c>
      <c r="T383" s="10" t="n">
        <v>0.3685</v>
      </c>
    </row>
    <row r="384">
      <c r="A384" s="7" t="inlineStr">
        <is>
          <t>ORD-2024-1363</t>
        </is>
      </c>
      <c r="B384" s="7" t="inlineStr">
        <is>
          <t>2024-06-07</t>
        </is>
      </c>
      <c r="C384" s="7" t="inlineStr">
        <is>
          <t>OFF-STR-002</t>
        </is>
      </c>
      <c r="D384" s="7" t="inlineStr">
        <is>
          <t>Stackable Heavy-Duty Storage Bins (4-Pk)</t>
        </is>
      </c>
      <c r="E384" s="7" t="inlineStr">
        <is>
          <t>Office Supplies</t>
        </is>
      </c>
      <c r="F384" s="7" t="inlineStr">
        <is>
          <t>Storage &amp; Organizers</t>
        </is>
      </c>
      <c r="G384" s="7" t="inlineStr">
        <is>
          <t>East</t>
        </is>
      </c>
      <c r="H384" s="7" t="inlineStr">
        <is>
          <t>Massachusetts</t>
        </is>
      </c>
      <c r="I384" s="7" t="inlineStr">
        <is>
          <t>Wholesale</t>
        </is>
      </c>
      <c r="J384" s="7" t="inlineStr">
        <is>
          <t>Corporate</t>
        </is>
      </c>
      <c r="K384" s="8" t="n">
        <v>8</v>
      </c>
      <c r="L384" s="9" t="n">
        <v>44.99</v>
      </c>
      <c r="M384" s="10" t="n">
        <v>0.2</v>
      </c>
      <c r="N384" s="9" t="n">
        <v>24.74</v>
      </c>
      <c r="O384" s="9" t="n">
        <v>359.92</v>
      </c>
      <c r="P384" s="9" t="n">
        <v>71.98</v>
      </c>
      <c r="Q384" s="9" t="n">
        <v>287.94</v>
      </c>
      <c r="R384" s="9" t="n">
        <v>197.92</v>
      </c>
      <c r="S384" s="9" t="n">
        <v>90.02</v>
      </c>
      <c r="T384" s="10" t="n">
        <v>0.3126</v>
      </c>
    </row>
    <row r="385">
      <c r="A385" s="7" t="inlineStr">
        <is>
          <t>ORD-2024-1516</t>
        </is>
      </c>
      <c r="B385" s="7" t="inlineStr">
        <is>
          <t>2024-06-08</t>
        </is>
      </c>
      <c r="C385" s="7" t="inlineStr">
        <is>
          <t>OFF-STR-002</t>
        </is>
      </c>
      <c r="D385" s="7" t="inlineStr">
        <is>
          <t>Stackable Heavy-Duty Storage Bins (4-Pk)</t>
        </is>
      </c>
      <c r="E385" s="7" t="inlineStr">
        <is>
          <t>Office Supplies</t>
        </is>
      </c>
      <c r="F385" s="7" t="inlineStr">
        <is>
          <t>Storage &amp; Organizers</t>
        </is>
      </c>
      <c r="G385" s="7" t="inlineStr">
        <is>
          <t>Central</t>
        </is>
      </c>
      <c r="H385" s="7" t="inlineStr">
        <is>
          <t>Texas</t>
        </is>
      </c>
      <c r="I385" s="7" t="inlineStr">
        <is>
          <t>Wholesale</t>
        </is>
      </c>
      <c r="J385" s="7" t="inlineStr">
        <is>
          <t>Consumer</t>
        </is>
      </c>
      <c r="K385" s="8" t="n">
        <v>7</v>
      </c>
      <c r="L385" s="9" t="n">
        <v>44.99</v>
      </c>
      <c r="M385" s="10" t="n">
        <v>0.2</v>
      </c>
      <c r="N385" s="9" t="n">
        <v>24.74</v>
      </c>
      <c r="O385" s="9" t="n">
        <v>314.93</v>
      </c>
      <c r="P385" s="9" t="n">
        <v>62.99</v>
      </c>
      <c r="Q385" s="9" t="n">
        <v>251.94</v>
      </c>
      <c r="R385" s="9" t="n">
        <v>173.18</v>
      </c>
      <c r="S385" s="9" t="n">
        <v>78.76000000000001</v>
      </c>
      <c r="T385" s="10" t="n">
        <v>0.3126</v>
      </c>
    </row>
    <row r="386">
      <c r="A386" s="7" t="inlineStr">
        <is>
          <t>ORD-2024-1571</t>
        </is>
      </c>
      <c r="B386" s="7" t="inlineStr">
        <is>
          <t>2024-06-08</t>
        </is>
      </c>
      <c r="C386" s="7" t="inlineStr">
        <is>
          <t>OFF-PAP-004</t>
        </is>
      </c>
      <c r="D386" s="7" t="inlineStr">
        <is>
          <t>EcoRecycled Copy Paper (5 Reams)</t>
        </is>
      </c>
      <c r="E386" s="7" t="inlineStr">
        <is>
          <t>Office Supplies</t>
        </is>
      </c>
      <c r="F386" s="7" t="inlineStr">
        <is>
          <t>Paper Products</t>
        </is>
      </c>
      <c r="G386" s="7" t="inlineStr">
        <is>
          <t>West</t>
        </is>
      </c>
      <c r="H386" s="7" t="inlineStr">
        <is>
          <t>Colorado</t>
        </is>
      </c>
      <c r="I386" s="7" t="inlineStr">
        <is>
          <t>Direct Sales</t>
        </is>
      </c>
      <c r="J386" s="7" t="inlineStr">
        <is>
          <t>Home Office</t>
        </is>
      </c>
      <c r="K386" s="8" t="n">
        <v>3</v>
      </c>
      <c r="L386" s="9" t="n">
        <v>32.99</v>
      </c>
      <c r="M386" s="10" t="n">
        <v>0</v>
      </c>
      <c r="N386" s="9" t="n">
        <v>19.79</v>
      </c>
      <c r="O386" s="9" t="n">
        <v>98.97</v>
      </c>
      <c r="P386" s="9" t="n">
        <v>0</v>
      </c>
      <c r="Q386" s="9" t="n">
        <v>98.97</v>
      </c>
      <c r="R386" s="9" t="n">
        <v>59.37</v>
      </c>
      <c r="S386" s="9" t="n">
        <v>39.6</v>
      </c>
      <c r="T386" s="10" t="n">
        <v>0.4001</v>
      </c>
    </row>
    <row r="387">
      <c r="A387" s="7" t="inlineStr">
        <is>
          <t>ORD-2024-1062</t>
        </is>
      </c>
      <c r="B387" s="7" t="inlineStr">
        <is>
          <t>2024-06-10</t>
        </is>
      </c>
      <c r="C387" s="7" t="inlineStr">
        <is>
          <t>TEC-LAP-002</t>
        </is>
      </c>
      <c r="D387" s="7" t="inlineStr">
        <is>
          <t>Apex Gaming Laptop 17"</t>
        </is>
      </c>
      <c r="E387" s="7" t="inlineStr">
        <is>
          <t>Technology</t>
        </is>
      </c>
      <c r="F387" s="7" t="inlineStr">
        <is>
          <t>Laptops</t>
        </is>
      </c>
      <c r="G387" s="7" t="inlineStr">
        <is>
          <t>South</t>
        </is>
      </c>
      <c r="H387" s="7" t="inlineStr">
        <is>
          <t>Georgia</t>
        </is>
      </c>
      <c r="I387" s="7" t="inlineStr">
        <is>
          <t>Retail Partner</t>
        </is>
      </c>
      <c r="J387" s="7" t="inlineStr">
        <is>
          <t>Consumer</t>
        </is>
      </c>
      <c r="K387" s="8" t="n">
        <v>1</v>
      </c>
      <c r="L387" s="9" t="n">
        <v>1499.99</v>
      </c>
      <c r="M387" s="10" t="n">
        <v>0.2</v>
      </c>
      <c r="N387" s="9" t="n">
        <v>1259.99</v>
      </c>
      <c r="O387" s="9" t="n">
        <v>1499.99</v>
      </c>
      <c r="P387" s="9" t="n">
        <v>300</v>
      </c>
      <c r="Q387" s="9" t="n">
        <v>1199.99</v>
      </c>
      <c r="R387" s="9" t="n">
        <v>1259.99</v>
      </c>
      <c r="S387" s="9" t="n">
        <v>-60</v>
      </c>
      <c r="T387" s="10" t="n">
        <v>-0.05</v>
      </c>
    </row>
    <row r="388">
      <c r="A388" s="7" t="inlineStr">
        <is>
          <t>ORD-2024-1062</t>
        </is>
      </c>
      <c r="B388" s="7" t="inlineStr">
        <is>
          <t>2024-06-10</t>
        </is>
      </c>
      <c r="C388" s="7" t="inlineStr">
        <is>
          <t>FUR-DSK-003</t>
        </is>
      </c>
      <c r="D388" s="7" t="inlineStr">
        <is>
          <t>ApexMotor Dual-Motor Standing Desk</t>
        </is>
      </c>
      <c r="E388" s="7" t="inlineStr">
        <is>
          <t>Furniture</t>
        </is>
      </c>
      <c r="F388" s="7" t="inlineStr">
        <is>
          <t>Desks &amp; Workstations</t>
        </is>
      </c>
      <c r="G388" s="7" t="inlineStr">
        <is>
          <t>South</t>
        </is>
      </c>
      <c r="H388" s="7" t="inlineStr">
        <is>
          <t>Georgia</t>
        </is>
      </c>
      <c r="I388" s="7" t="inlineStr">
        <is>
          <t>Retail Partner</t>
        </is>
      </c>
      <c r="J388" s="7" t="inlineStr">
        <is>
          <t>Consumer</t>
        </is>
      </c>
      <c r="K388" s="8" t="n">
        <v>1</v>
      </c>
      <c r="L388" s="9" t="n">
        <v>549.99</v>
      </c>
      <c r="M388" s="10" t="n">
        <v>0</v>
      </c>
      <c r="N388" s="9" t="n">
        <v>439.99</v>
      </c>
      <c r="O388" s="9" t="n">
        <v>549.99</v>
      </c>
      <c r="P388" s="9" t="n">
        <v>0</v>
      </c>
      <c r="Q388" s="9" t="n">
        <v>549.99</v>
      </c>
      <c r="R388" s="9" t="n">
        <v>439.99</v>
      </c>
      <c r="S388" s="9" t="n">
        <v>110</v>
      </c>
      <c r="T388" s="10" t="n">
        <v>0.2</v>
      </c>
    </row>
    <row r="389">
      <c r="A389" s="7" t="inlineStr">
        <is>
          <t>ORD-2024-1189</t>
        </is>
      </c>
      <c r="B389" s="7" t="inlineStr">
        <is>
          <t>2024-06-10</t>
        </is>
      </c>
      <c r="C389" s="7" t="inlineStr">
        <is>
          <t>TEC-ACC-008</t>
        </is>
      </c>
      <c r="D389" s="7" t="inlineStr">
        <is>
          <t>Precision Laser Bluetooth Mouse</t>
        </is>
      </c>
      <c r="E389" s="7" t="inlineStr">
        <is>
          <t>Technology</t>
        </is>
      </c>
      <c r="F389" s="7" t="inlineStr">
        <is>
          <t>Audio &amp; Accessories</t>
        </is>
      </c>
      <c r="G389" s="7" t="inlineStr">
        <is>
          <t>East</t>
        </is>
      </c>
      <c r="H389" s="7" t="inlineStr">
        <is>
          <t>New York</t>
        </is>
      </c>
      <c r="I389" s="7" t="inlineStr">
        <is>
          <t>Retail Partner</t>
        </is>
      </c>
      <c r="J389" s="7" t="inlineStr">
        <is>
          <t>Corporate</t>
        </is>
      </c>
      <c r="K389" s="8" t="n">
        <v>4</v>
      </c>
      <c r="L389" s="9" t="n">
        <v>49.99</v>
      </c>
      <c r="M389" s="10" t="n">
        <v>0</v>
      </c>
      <c r="N389" s="9" t="n">
        <v>27.49</v>
      </c>
      <c r="O389" s="9" t="n">
        <v>199.96</v>
      </c>
      <c r="P389" s="9" t="n">
        <v>0</v>
      </c>
      <c r="Q389" s="9" t="n">
        <v>199.96</v>
      </c>
      <c r="R389" s="9" t="n">
        <v>109.96</v>
      </c>
      <c r="S389" s="9" t="n">
        <v>90</v>
      </c>
      <c r="T389" s="10" t="n">
        <v>0.4501</v>
      </c>
    </row>
    <row r="390">
      <c r="A390" s="7" t="inlineStr">
        <is>
          <t>ORD-2024-1239</t>
        </is>
      </c>
      <c r="B390" s="7" t="inlineStr">
        <is>
          <t>2024-06-10</t>
        </is>
      </c>
      <c r="C390" s="7" t="inlineStr">
        <is>
          <t>FUR-DSK-004</t>
        </is>
      </c>
      <c r="D390" s="7" t="inlineStr">
        <is>
          <t>Metro Compact Corner Workstation</t>
        </is>
      </c>
      <c r="E390" s="7" t="inlineStr">
        <is>
          <t>Furniture</t>
        </is>
      </c>
      <c r="F390" s="7" t="inlineStr">
        <is>
          <t>Desks &amp; Workstations</t>
        </is>
      </c>
      <c r="G390" s="7" t="inlineStr">
        <is>
          <t>West</t>
        </is>
      </c>
      <c r="H390" s="7" t="inlineStr">
        <is>
          <t>Oregon</t>
        </is>
      </c>
      <c r="I390" s="7" t="inlineStr">
        <is>
          <t>Direct Sales</t>
        </is>
      </c>
      <c r="J390" s="7" t="inlineStr">
        <is>
          <t>Consumer</t>
        </is>
      </c>
      <c r="K390" s="8" t="n">
        <v>4</v>
      </c>
      <c r="L390" s="9" t="n">
        <v>329.99</v>
      </c>
      <c r="M390" s="10" t="n">
        <v>0</v>
      </c>
      <c r="N390" s="9" t="n">
        <v>250.79</v>
      </c>
      <c r="O390" s="9" t="n">
        <v>1319.96</v>
      </c>
      <c r="P390" s="9" t="n">
        <v>0</v>
      </c>
      <c r="Q390" s="9" t="n">
        <v>1319.96</v>
      </c>
      <c r="R390" s="9" t="n">
        <v>1003.16</v>
      </c>
      <c r="S390" s="9" t="n">
        <v>316.8</v>
      </c>
      <c r="T390" s="10" t="n">
        <v>0.24</v>
      </c>
    </row>
    <row r="391">
      <c r="A391" s="7" t="inlineStr">
        <is>
          <t>ORD-2024-1669</t>
        </is>
      </c>
      <c r="B391" s="7" t="inlineStr">
        <is>
          <t>2024-06-11</t>
        </is>
      </c>
      <c r="C391" s="7" t="inlineStr">
        <is>
          <t>OFF-ART-006</t>
        </is>
      </c>
      <c r="D391" s="7" t="inlineStr">
        <is>
          <t>Professional Presentation Dry Erase Board</t>
        </is>
      </c>
      <c r="E391" s="7" t="inlineStr">
        <is>
          <t>Office Supplies</t>
        </is>
      </c>
      <c r="F391" s="7" t="inlineStr">
        <is>
          <t>Presentation &amp; Art</t>
        </is>
      </c>
      <c r="G391" s="7" t="inlineStr">
        <is>
          <t>East</t>
        </is>
      </c>
      <c r="H391" s="7" t="inlineStr">
        <is>
          <t>New Jersey</t>
        </is>
      </c>
      <c r="I391" s="7" t="inlineStr">
        <is>
          <t>Online</t>
        </is>
      </c>
      <c r="J391" s="7" t="inlineStr">
        <is>
          <t>Corporate</t>
        </is>
      </c>
      <c r="K391" s="8" t="n">
        <v>2</v>
      </c>
      <c r="L391" s="9" t="n">
        <v>89.98999999999999</v>
      </c>
      <c r="M391" s="10" t="n">
        <v>0</v>
      </c>
      <c r="N391" s="9" t="n">
        <v>53.99</v>
      </c>
      <c r="O391" s="9" t="n">
        <v>179.98</v>
      </c>
      <c r="P391" s="9" t="n">
        <v>0</v>
      </c>
      <c r="Q391" s="9" t="n">
        <v>179.98</v>
      </c>
      <c r="R391" s="9" t="n">
        <v>107.98</v>
      </c>
      <c r="S391" s="9" t="n">
        <v>72</v>
      </c>
      <c r="T391" s="10" t="n">
        <v>0.4</v>
      </c>
    </row>
    <row r="392">
      <c r="A392" s="7" t="inlineStr">
        <is>
          <t>ORD-2024-1669</t>
        </is>
      </c>
      <c r="B392" s="7" t="inlineStr">
        <is>
          <t>2024-06-11</t>
        </is>
      </c>
      <c r="C392" s="7" t="inlineStr">
        <is>
          <t>FUR-DSK-004</t>
        </is>
      </c>
      <c r="D392" s="7" t="inlineStr">
        <is>
          <t>Metro Compact Corner Workstation</t>
        </is>
      </c>
      <c r="E392" s="7" t="inlineStr">
        <is>
          <t>Furniture</t>
        </is>
      </c>
      <c r="F392" s="7" t="inlineStr">
        <is>
          <t>Desks &amp; Workstations</t>
        </is>
      </c>
      <c r="G392" s="7" t="inlineStr">
        <is>
          <t>East</t>
        </is>
      </c>
      <c r="H392" s="7" t="inlineStr">
        <is>
          <t>New Jersey</t>
        </is>
      </c>
      <c r="I392" s="7" t="inlineStr">
        <is>
          <t>Online</t>
        </is>
      </c>
      <c r="J392" s="7" t="inlineStr">
        <is>
          <t>Corporate</t>
        </is>
      </c>
      <c r="K392" s="8" t="n">
        <v>2</v>
      </c>
      <c r="L392" s="9" t="n">
        <v>329.99</v>
      </c>
      <c r="M392" s="10" t="n">
        <v>0</v>
      </c>
      <c r="N392" s="9" t="n">
        <v>250.79</v>
      </c>
      <c r="O392" s="9" t="n">
        <v>659.98</v>
      </c>
      <c r="P392" s="9" t="n">
        <v>0</v>
      </c>
      <c r="Q392" s="9" t="n">
        <v>659.98</v>
      </c>
      <c r="R392" s="9" t="n">
        <v>501.58</v>
      </c>
      <c r="S392" s="9" t="n">
        <v>158.4</v>
      </c>
      <c r="T392" s="10" t="n">
        <v>0.24</v>
      </c>
    </row>
    <row r="393">
      <c r="A393" s="7" t="inlineStr">
        <is>
          <t>ORD-2024-1669</t>
        </is>
      </c>
      <c r="B393" s="7" t="inlineStr">
        <is>
          <t>2024-06-11</t>
        </is>
      </c>
      <c r="C393" s="7" t="inlineStr">
        <is>
          <t>OFF-STR-002</t>
        </is>
      </c>
      <c r="D393" s="7" t="inlineStr">
        <is>
          <t>Stackable Heavy-Duty Storage Bins (4-Pk)</t>
        </is>
      </c>
      <c r="E393" s="7" t="inlineStr">
        <is>
          <t>Office Supplies</t>
        </is>
      </c>
      <c r="F393" s="7" t="inlineStr">
        <is>
          <t>Storage &amp; Organizers</t>
        </is>
      </c>
      <c r="G393" s="7" t="inlineStr">
        <is>
          <t>East</t>
        </is>
      </c>
      <c r="H393" s="7" t="inlineStr">
        <is>
          <t>New Jersey</t>
        </is>
      </c>
      <c r="I393" s="7" t="inlineStr">
        <is>
          <t>Online</t>
        </is>
      </c>
      <c r="J393" s="7" t="inlineStr">
        <is>
          <t>Corporate</t>
        </is>
      </c>
      <c r="K393" s="8" t="n">
        <v>3</v>
      </c>
      <c r="L393" s="9" t="n">
        <v>44.99</v>
      </c>
      <c r="M393" s="10" t="n">
        <v>0</v>
      </c>
      <c r="N393" s="9" t="n">
        <v>24.74</v>
      </c>
      <c r="O393" s="9" t="n">
        <v>134.97</v>
      </c>
      <c r="P393" s="9" t="n">
        <v>0</v>
      </c>
      <c r="Q393" s="9" t="n">
        <v>134.97</v>
      </c>
      <c r="R393" s="9" t="n">
        <v>74.22</v>
      </c>
      <c r="S393" s="9" t="n">
        <v>60.75</v>
      </c>
      <c r="T393" s="10" t="n">
        <v>0.4501</v>
      </c>
    </row>
    <row r="394">
      <c r="A394" s="7" t="inlineStr">
        <is>
          <t>ORD-2024-1669</t>
        </is>
      </c>
      <c r="B394" s="7" t="inlineStr">
        <is>
          <t>2024-06-11</t>
        </is>
      </c>
      <c r="C394" s="7" t="inlineStr">
        <is>
          <t>TEC-ACC-007</t>
        </is>
      </c>
      <c r="D394" s="7" t="inlineStr">
        <is>
          <t>ErgoMechanical Wireless Keyboard</t>
        </is>
      </c>
      <c r="E394" s="7" t="inlineStr">
        <is>
          <t>Technology</t>
        </is>
      </c>
      <c r="F394" s="7" t="inlineStr">
        <is>
          <t>Audio &amp; Accessories</t>
        </is>
      </c>
      <c r="G394" s="7" t="inlineStr">
        <is>
          <t>East</t>
        </is>
      </c>
      <c r="H394" s="7" t="inlineStr">
        <is>
          <t>New Jersey</t>
        </is>
      </c>
      <c r="I394" s="7" t="inlineStr">
        <is>
          <t>Online</t>
        </is>
      </c>
      <c r="J394" s="7" t="inlineStr">
        <is>
          <t>Corporate</t>
        </is>
      </c>
      <c r="K394" s="8" t="n">
        <v>8</v>
      </c>
      <c r="L394" s="9" t="n">
        <v>109.99</v>
      </c>
      <c r="M394" s="10" t="n">
        <v>0</v>
      </c>
      <c r="N394" s="9" t="n">
        <v>65.98999999999999</v>
      </c>
      <c r="O394" s="9" t="n">
        <v>879.92</v>
      </c>
      <c r="P394" s="9" t="n">
        <v>0</v>
      </c>
      <c r="Q394" s="9" t="n">
        <v>879.92</v>
      </c>
      <c r="R394" s="9" t="n">
        <v>527.92</v>
      </c>
      <c r="S394" s="9" t="n">
        <v>352</v>
      </c>
      <c r="T394" s="10" t="n">
        <v>0.4</v>
      </c>
    </row>
    <row r="395">
      <c r="A395" s="7" t="inlineStr">
        <is>
          <t>ORD-2024-1412</t>
        </is>
      </c>
      <c r="B395" s="7" t="inlineStr">
        <is>
          <t>2024-06-12</t>
        </is>
      </c>
      <c r="C395" s="7" t="inlineStr">
        <is>
          <t>TEC-LAP-001</t>
        </is>
      </c>
      <c r="D395" s="7" t="inlineStr">
        <is>
          <t>ProBook Elite 15.6"</t>
        </is>
      </c>
      <c r="E395" s="7" t="inlineStr">
        <is>
          <t>Technology</t>
        </is>
      </c>
      <c r="F395" s="7" t="inlineStr">
        <is>
          <t>Laptops</t>
        </is>
      </c>
      <c r="G395" s="7" t="inlineStr">
        <is>
          <t>South</t>
        </is>
      </c>
      <c r="H395" s="7" t="inlineStr">
        <is>
          <t>Georgia</t>
        </is>
      </c>
      <c r="I395" s="7" t="inlineStr">
        <is>
          <t>Online</t>
        </is>
      </c>
      <c r="J395" s="7" t="inlineStr">
        <is>
          <t>Corporate</t>
        </is>
      </c>
      <c r="K395" s="8" t="n">
        <v>3</v>
      </c>
      <c r="L395" s="9" t="n">
        <v>1199.99</v>
      </c>
      <c r="M395" s="10" t="n">
        <v>0</v>
      </c>
      <c r="N395" s="9" t="n">
        <v>863.99</v>
      </c>
      <c r="O395" s="9" t="n">
        <v>3599.97</v>
      </c>
      <c r="P395" s="9" t="n">
        <v>0</v>
      </c>
      <c r="Q395" s="9" t="n">
        <v>3599.97</v>
      </c>
      <c r="R395" s="9" t="n">
        <v>2591.97</v>
      </c>
      <c r="S395" s="9" t="n">
        <v>1008</v>
      </c>
      <c r="T395" s="10" t="n">
        <v>0.28</v>
      </c>
    </row>
    <row r="396">
      <c r="A396" s="7" t="inlineStr">
        <is>
          <t>ORD-2024-1511</t>
        </is>
      </c>
      <c r="B396" s="7" t="inlineStr">
        <is>
          <t>2024-06-13</t>
        </is>
      </c>
      <c r="C396" s="7" t="inlineStr">
        <is>
          <t>OFF-STR-001</t>
        </is>
      </c>
      <c r="D396" s="7" t="inlineStr">
        <is>
          <t>SteelLock 3-Drawer File Cabinet</t>
        </is>
      </c>
      <c r="E396" s="7" t="inlineStr">
        <is>
          <t>Office Supplies</t>
        </is>
      </c>
      <c r="F396" s="7" t="inlineStr">
        <is>
          <t>Storage &amp; Organizers</t>
        </is>
      </c>
      <c r="G396" s="7" t="inlineStr">
        <is>
          <t>West</t>
        </is>
      </c>
      <c r="H396" s="7" t="inlineStr">
        <is>
          <t>Washington</t>
        </is>
      </c>
      <c r="I396" s="7" t="inlineStr">
        <is>
          <t>Retail Partner</t>
        </is>
      </c>
      <c r="J396" s="7" t="inlineStr">
        <is>
          <t>Consumer</t>
        </is>
      </c>
      <c r="K396" s="8" t="n">
        <v>3</v>
      </c>
      <c r="L396" s="9" t="n">
        <v>169.99</v>
      </c>
      <c r="M396" s="10" t="n">
        <v>0.1</v>
      </c>
      <c r="N396" s="9" t="n">
        <v>115.59</v>
      </c>
      <c r="O396" s="9" t="n">
        <v>509.97</v>
      </c>
      <c r="P396" s="9" t="n">
        <v>51</v>
      </c>
      <c r="Q396" s="9" t="n">
        <v>458.97</v>
      </c>
      <c r="R396" s="9" t="n">
        <v>346.77</v>
      </c>
      <c r="S396" s="9" t="n">
        <v>112.2</v>
      </c>
      <c r="T396" s="10" t="n">
        <v>0.2445</v>
      </c>
    </row>
    <row r="397">
      <c r="A397" s="7" t="inlineStr">
        <is>
          <t>ORD-2024-1556</t>
        </is>
      </c>
      <c r="B397" s="7" t="inlineStr">
        <is>
          <t>2024-06-13</t>
        </is>
      </c>
      <c r="C397" s="7" t="inlineStr">
        <is>
          <t>FUR-CHA-001</t>
        </is>
      </c>
      <c r="D397" s="7" t="inlineStr">
        <is>
          <t>ErgoFlex Executive Mesh Chair</t>
        </is>
      </c>
      <c r="E397" s="7" t="inlineStr">
        <is>
          <t>Furniture</t>
        </is>
      </c>
      <c r="F397" s="7" t="inlineStr">
        <is>
          <t>Chairs</t>
        </is>
      </c>
      <c r="G397" s="7" t="inlineStr">
        <is>
          <t>Central</t>
        </is>
      </c>
      <c r="H397" s="7" t="inlineStr">
        <is>
          <t>Texas</t>
        </is>
      </c>
      <c r="I397" s="7" t="inlineStr">
        <is>
          <t>Online</t>
        </is>
      </c>
      <c r="J397" s="7" t="inlineStr">
        <is>
          <t>Consumer</t>
        </is>
      </c>
      <c r="K397" s="8" t="n">
        <v>2</v>
      </c>
      <c r="L397" s="9" t="n">
        <v>389.99</v>
      </c>
      <c r="M397" s="10" t="n">
        <v>0.05</v>
      </c>
      <c r="N397" s="9" t="n">
        <v>331.49</v>
      </c>
      <c r="O397" s="9" t="n">
        <v>779.98</v>
      </c>
      <c r="P397" s="9" t="n">
        <v>39</v>
      </c>
      <c r="Q397" s="9" t="n">
        <v>740.98</v>
      </c>
      <c r="R397" s="9" t="n">
        <v>662.98</v>
      </c>
      <c r="S397" s="9" t="n">
        <v>78</v>
      </c>
      <c r="T397" s="10" t="n">
        <v>0.1053</v>
      </c>
    </row>
    <row r="398">
      <c r="A398" s="7" t="inlineStr">
        <is>
          <t>ORD-2024-1556</t>
        </is>
      </c>
      <c r="B398" s="7" t="inlineStr">
        <is>
          <t>2024-06-13</t>
        </is>
      </c>
      <c r="C398" s="7" t="inlineStr">
        <is>
          <t>FUR-DSK-003</t>
        </is>
      </c>
      <c r="D398" s="7" t="inlineStr">
        <is>
          <t>ApexMotor Dual-Motor Standing Desk</t>
        </is>
      </c>
      <c r="E398" s="7" t="inlineStr">
        <is>
          <t>Furniture</t>
        </is>
      </c>
      <c r="F398" s="7" t="inlineStr">
        <is>
          <t>Desks &amp; Workstations</t>
        </is>
      </c>
      <c r="G398" s="7" t="inlineStr">
        <is>
          <t>Central</t>
        </is>
      </c>
      <c r="H398" s="7" t="inlineStr">
        <is>
          <t>Texas</t>
        </is>
      </c>
      <c r="I398" s="7" t="inlineStr">
        <is>
          <t>Online</t>
        </is>
      </c>
      <c r="J398" s="7" t="inlineStr">
        <is>
          <t>Consumer</t>
        </is>
      </c>
      <c r="K398" s="8" t="n">
        <v>1</v>
      </c>
      <c r="L398" s="9" t="n">
        <v>549.99</v>
      </c>
      <c r="M398" s="10" t="n">
        <v>0</v>
      </c>
      <c r="N398" s="9" t="n">
        <v>439.99</v>
      </c>
      <c r="O398" s="9" t="n">
        <v>549.99</v>
      </c>
      <c r="P398" s="9" t="n">
        <v>0</v>
      </c>
      <c r="Q398" s="9" t="n">
        <v>549.99</v>
      </c>
      <c r="R398" s="9" t="n">
        <v>439.99</v>
      </c>
      <c r="S398" s="9" t="n">
        <v>110</v>
      </c>
      <c r="T398" s="10" t="n">
        <v>0.2</v>
      </c>
    </row>
    <row r="399">
      <c r="A399" s="7" t="inlineStr">
        <is>
          <t>ORD-2024-1031</t>
        </is>
      </c>
      <c r="B399" s="7" t="inlineStr">
        <is>
          <t>2024-06-14</t>
        </is>
      </c>
      <c r="C399" s="7" t="inlineStr">
        <is>
          <t>OFF-STR-001</t>
        </is>
      </c>
      <c r="D399" s="7" t="inlineStr">
        <is>
          <t>SteelLock 3-Drawer File Cabinet</t>
        </is>
      </c>
      <c r="E399" s="7" t="inlineStr">
        <is>
          <t>Office Supplies</t>
        </is>
      </c>
      <c r="F399" s="7" t="inlineStr">
        <is>
          <t>Storage &amp; Organizers</t>
        </is>
      </c>
      <c r="G399" s="7" t="inlineStr">
        <is>
          <t>Central</t>
        </is>
      </c>
      <c r="H399" s="7" t="inlineStr">
        <is>
          <t>Texas</t>
        </is>
      </c>
      <c r="I399" s="7" t="inlineStr">
        <is>
          <t>Wholesale</t>
        </is>
      </c>
      <c r="J399" s="7" t="inlineStr">
        <is>
          <t>Home Office</t>
        </is>
      </c>
      <c r="K399" s="8" t="n">
        <v>5</v>
      </c>
      <c r="L399" s="9" t="n">
        <v>169.99</v>
      </c>
      <c r="M399" s="10" t="n">
        <v>0.15</v>
      </c>
      <c r="N399" s="9" t="n">
        <v>115.59</v>
      </c>
      <c r="O399" s="9" t="n">
        <v>849.95</v>
      </c>
      <c r="P399" s="9" t="n">
        <v>127.49</v>
      </c>
      <c r="Q399" s="9" t="n">
        <v>722.46</v>
      </c>
      <c r="R399" s="9" t="n">
        <v>577.95</v>
      </c>
      <c r="S399" s="9" t="n">
        <v>144.51</v>
      </c>
      <c r="T399" s="10" t="n">
        <v>0.2</v>
      </c>
    </row>
    <row r="400">
      <c r="A400" s="7" t="inlineStr">
        <is>
          <t>ORD-2024-1031</t>
        </is>
      </c>
      <c r="B400" s="7" t="inlineStr">
        <is>
          <t>2024-06-14</t>
        </is>
      </c>
      <c r="C400" s="7" t="inlineStr">
        <is>
          <t>FUR-CHA-001</t>
        </is>
      </c>
      <c r="D400" s="7" t="inlineStr">
        <is>
          <t>ErgoFlex Executive Mesh Chair</t>
        </is>
      </c>
      <c r="E400" s="7" t="inlineStr">
        <is>
          <t>Furniture</t>
        </is>
      </c>
      <c r="F400" s="7" t="inlineStr">
        <is>
          <t>Chairs</t>
        </is>
      </c>
      <c r="G400" s="7" t="inlineStr">
        <is>
          <t>Central</t>
        </is>
      </c>
      <c r="H400" s="7" t="inlineStr">
        <is>
          <t>Texas</t>
        </is>
      </c>
      <c r="I400" s="7" t="inlineStr">
        <is>
          <t>Wholesale</t>
        </is>
      </c>
      <c r="J400" s="7" t="inlineStr">
        <is>
          <t>Home Office</t>
        </is>
      </c>
      <c r="K400" s="8" t="n">
        <v>13</v>
      </c>
      <c r="L400" s="9" t="n">
        <v>389.99</v>
      </c>
      <c r="M400" s="10" t="n">
        <v>0.05</v>
      </c>
      <c r="N400" s="9" t="n">
        <v>331.49</v>
      </c>
      <c r="O400" s="9" t="n">
        <v>5069.87</v>
      </c>
      <c r="P400" s="9" t="n">
        <v>253.49</v>
      </c>
      <c r="Q400" s="9" t="n">
        <v>4816.38</v>
      </c>
      <c r="R400" s="9" t="n">
        <v>4309.37</v>
      </c>
      <c r="S400" s="9" t="n">
        <v>507.01</v>
      </c>
      <c r="T400" s="10" t="n">
        <v>0.1053</v>
      </c>
    </row>
    <row r="401">
      <c r="A401" s="7" t="inlineStr">
        <is>
          <t>ORD-2024-1216</t>
        </is>
      </c>
      <c r="B401" s="7" t="inlineStr">
        <is>
          <t>2024-06-14</t>
        </is>
      </c>
      <c r="C401" s="7" t="inlineStr">
        <is>
          <t>OFF-STR-002</t>
        </is>
      </c>
      <c r="D401" s="7" t="inlineStr">
        <is>
          <t>Stackable Heavy-Duty Storage Bins (4-Pk)</t>
        </is>
      </c>
      <c r="E401" s="7" t="inlineStr">
        <is>
          <t>Office Supplies</t>
        </is>
      </c>
      <c r="F401" s="7" t="inlineStr">
        <is>
          <t>Storage &amp; Organizers</t>
        </is>
      </c>
      <c r="G401" s="7" t="inlineStr">
        <is>
          <t>East</t>
        </is>
      </c>
      <c r="H401" s="7" t="inlineStr">
        <is>
          <t>New Jersey</t>
        </is>
      </c>
      <c r="I401" s="7" t="inlineStr">
        <is>
          <t>Online</t>
        </is>
      </c>
      <c r="J401" s="7" t="inlineStr">
        <is>
          <t>Consumer</t>
        </is>
      </c>
      <c r="K401" s="8" t="n">
        <v>2</v>
      </c>
      <c r="L401" s="9" t="n">
        <v>44.99</v>
      </c>
      <c r="M401" s="10" t="n">
        <v>0</v>
      </c>
      <c r="N401" s="9" t="n">
        <v>24.74</v>
      </c>
      <c r="O401" s="9" t="n">
        <v>89.98</v>
      </c>
      <c r="P401" s="9" t="n">
        <v>0</v>
      </c>
      <c r="Q401" s="9" t="n">
        <v>89.98</v>
      </c>
      <c r="R401" s="9" t="n">
        <v>49.48</v>
      </c>
      <c r="S401" s="9" t="n">
        <v>40.5</v>
      </c>
      <c r="T401" s="10" t="n">
        <v>0.4501</v>
      </c>
    </row>
    <row r="402">
      <c r="A402" s="7" t="inlineStr">
        <is>
          <t>ORD-2024-1216</t>
        </is>
      </c>
      <c r="B402" s="7" t="inlineStr">
        <is>
          <t>2024-06-14</t>
        </is>
      </c>
      <c r="C402" s="7" t="inlineStr">
        <is>
          <t>OFF-STR-001</t>
        </is>
      </c>
      <c r="D402" s="7" t="inlineStr">
        <is>
          <t>SteelLock 3-Drawer File Cabinet</t>
        </is>
      </c>
      <c r="E402" s="7" t="inlineStr">
        <is>
          <t>Office Supplies</t>
        </is>
      </c>
      <c r="F402" s="7" t="inlineStr">
        <is>
          <t>Storage &amp; Organizers</t>
        </is>
      </c>
      <c r="G402" s="7" t="inlineStr">
        <is>
          <t>East</t>
        </is>
      </c>
      <c r="H402" s="7" t="inlineStr">
        <is>
          <t>New Jersey</t>
        </is>
      </c>
      <c r="I402" s="7" t="inlineStr">
        <is>
          <t>Online</t>
        </is>
      </c>
      <c r="J402" s="7" t="inlineStr">
        <is>
          <t>Consumer</t>
        </is>
      </c>
      <c r="K402" s="8" t="n">
        <v>2</v>
      </c>
      <c r="L402" s="9" t="n">
        <v>169.99</v>
      </c>
      <c r="M402" s="10" t="n">
        <v>0.05</v>
      </c>
      <c r="N402" s="9" t="n">
        <v>115.59</v>
      </c>
      <c r="O402" s="9" t="n">
        <v>339.98</v>
      </c>
      <c r="P402" s="9" t="n">
        <v>17</v>
      </c>
      <c r="Q402" s="9" t="n">
        <v>322.98</v>
      </c>
      <c r="R402" s="9" t="n">
        <v>231.18</v>
      </c>
      <c r="S402" s="9" t="n">
        <v>91.8</v>
      </c>
      <c r="T402" s="10" t="n">
        <v>0.2842</v>
      </c>
    </row>
    <row r="403">
      <c r="A403" s="7" t="inlineStr">
        <is>
          <t>ORD-2024-1216</t>
        </is>
      </c>
      <c r="B403" s="7" t="inlineStr">
        <is>
          <t>2024-06-14</t>
        </is>
      </c>
      <c r="C403" s="7" t="inlineStr">
        <is>
          <t>FUR-BOK-005</t>
        </is>
      </c>
      <c r="D403" s="7" t="inlineStr">
        <is>
          <t>Modular 5-Tier Steel Bookcase</t>
        </is>
      </c>
      <c r="E403" s="7" t="inlineStr">
        <is>
          <t>Furniture</t>
        </is>
      </c>
      <c r="F403" s="7" t="inlineStr">
        <is>
          <t>Bookcases</t>
        </is>
      </c>
      <c r="G403" s="7" t="inlineStr">
        <is>
          <t>East</t>
        </is>
      </c>
      <c r="H403" s="7" t="inlineStr">
        <is>
          <t>New Jersey</t>
        </is>
      </c>
      <c r="I403" s="7" t="inlineStr">
        <is>
          <t>Online</t>
        </is>
      </c>
      <c r="J403" s="7" t="inlineStr">
        <is>
          <t>Consumer</t>
        </is>
      </c>
      <c r="K403" s="8" t="n">
        <v>2</v>
      </c>
      <c r="L403" s="9" t="n">
        <v>189.99</v>
      </c>
      <c r="M403" s="10" t="n">
        <v>0</v>
      </c>
      <c r="N403" s="9" t="n">
        <v>142.49</v>
      </c>
      <c r="O403" s="9" t="n">
        <v>379.98</v>
      </c>
      <c r="P403" s="9" t="n">
        <v>0</v>
      </c>
      <c r="Q403" s="9" t="n">
        <v>379.98</v>
      </c>
      <c r="R403" s="9" t="n">
        <v>284.98</v>
      </c>
      <c r="S403" s="9" t="n">
        <v>95</v>
      </c>
      <c r="T403" s="10" t="n">
        <v>0.25</v>
      </c>
    </row>
    <row r="404">
      <c r="A404" s="7" t="inlineStr">
        <is>
          <t>ORD-2024-1069</t>
        </is>
      </c>
      <c r="B404" s="7" t="inlineStr">
        <is>
          <t>2024-06-15</t>
        </is>
      </c>
      <c r="C404" s="7" t="inlineStr">
        <is>
          <t>TEC-TAB-003</t>
        </is>
      </c>
      <c r="D404" s="7" t="inlineStr">
        <is>
          <t>VisionPad Pro 11"</t>
        </is>
      </c>
      <c r="E404" s="7" t="inlineStr">
        <is>
          <t>Technology</t>
        </is>
      </c>
      <c r="F404" s="7" t="inlineStr">
        <is>
          <t>Phones &amp; Tablets</t>
        </is>
      </c>
      <c r="G404" s="7" t="inlineStr">
        <is>
          <t>East</t>
        </is>
      </c>
      <c r="H404" s="7" t="inlineStr">
        <is>
          <t>Massachusetts</t>
        </is>
      </c>
      <c r="I404" s="7" t="inlineStr">
        <is>
          <t>Retail Partner</t>
        </is>
      </c>
      <c r="J404" s="7" t="inlineStr">
        <is>
          <t>Home Office</t>
        </is>
      </c>
      <c r="K404" s="8" t="n">
        <v>1</v>
      </c>
      <c r="L404" s="9" t="n">
        <v>649.99</v>
      </c>
      <c r="M404" s="10" t="n">
        <v>0.05</v>
      </c>
      <c r="N404" s="9" t="n">
        <v>487.49</v>
      </c>
      <c r="O404" s="9" t="n">
        <v>649.99</v>
      </c>
      <c r="P404" s="9" t="n">
        <v>32.5</v>
      </c>
      <c r="Q404" s="9" t="n">
        <v>617.49</v>
      </c>
      <c r="R404" s="9" t="n">
        <v>487.49</v>
      </c>
      <c r="S404" s="9" t="n">
        <v>130</v>
      </c>
      <c r="T404" s="10" t="n">
        <v>0.2105</v>
      </c>
    </row>
    <row r="405">
      <c r="A405" s="7" t="inlineStr">
        <is>
          <t>ORD-2024-1069</t>
        </is>
      </c>
      <c r="B405" s="7" t="inlineStr">
        <is>
          <t>2024-06-15</t>
        </is>
      </c>
      <c r="C405" s="7" t="inlineStr">
        <is>
          <t>OFF-STR-001</t>
        </is>
      </c>
      <c r="D405" s="7" t="inlineStr">
        <is>
          <t>SteelLock 3-Drawer File Cabinet</t>
        </is>
      </c>
      <c r="E405" s="7" t="inlineStr">
        <is>
          <t>Office Supplies</t>
        </is>
      </c>
      <c r="F405" s="7" t="inlineStr">
        <is>
          <t>Storage &amp; Organizers</t>
        </is>
      </c>
      <c r="G405" s="7" t="inlineStr">
        <is>
          <t>East</t>
        </is>
      </c>
      <c r="H405" s="7" t="inlineStr">
        <is>
          <t>Massachusetts</t>
        </is>
      </c>
      <c r="I405" s="7" t="inlineStr">
        <is>
          <t>Retail Partner</t>
        </is>
      </c>
      <c r="J405" s="7" t="inlineStr">
        <is>
          <t>Home Office</t>
        </is>
      </c>
      <c r="K405" s="8" t="n">
        <v>1</v>
      </c>
      <c r="L405" s="9" t="n">
        <v>169.99</v>
      </c>
      <c r="M405" s="10" t="n">
        <v>0</v>
      </c>
      <c r="N405" s="9" t="n">
        <v>115.59</v>
      </c>
      <c r="O405" s="9" t="n">
        <v>169.99</v>
      </c>
      <c r="P405" s="9" t="n">
        <v>0</v>
      </c>
      <c r="Q405" s="9" t="n">
        <v>169.99</v>
      </c>
      <c r="R405" s="9" t="n">
        <v>115.59</v>
      </c>
      <c r="S405" s="9" t="n">
        <v>54.4</v>
      </c>
      <c r="T405" s="10" t="n">
        <v>0.32</v>
      </c>
    </row>
    <row r="406">
      <c r="A406" s="7" t="inlineStr">
        <is>
          <t>ORD-2024-1069</t>
        </is>
      </c>
      <c r="B406" s="7" t="inlineStr">
        <is>
          <t>2024-06-15</t>
        </is>
      </c>
      <c r="C406" s="7" t="inlineStr">
        <is>
          <t>TEC-TAB-003</t>
        </is>
      </c>
      <c r="D406" s="7" t="inlineStr">
        <is>
          <t>VisionPad Pro 11"</t>
        </is>
      </c>
      <c r="E406" s="7" t="inlineStr">
        <is>
          <t>Technology</t>
        </is>
      </c>
      <c r="F406" s="7" t="inlineStr">
        <is>
          <t>Phones &amp; Tablets</t>
        </is>
      </c>
      <c r="G406" s="7" t="inlineStr">
        <is>
          <t>East</t>
        </is>
      </c>
      <c r="H406" s="7" t="inlineStr">
        <is>
          <t>Massachusetts</t>
        </is>
      </c>
      <c r="I406" s="7" t="inlineStr">
        <is>
          <t>Retail Partner</t>
        </is>
      </c>
      <c r="J406" s="7" t="inlineStr">
        <is>
          <t>Home Office</t>
        </is>
      </c>
      <c r="K406" s="8" t="n">
        <v>2</v>
      </c>
      <c r="L406" s="9" t="n">
        <v>649.99</v>
      </c>
      <c r="M406" s="10" t="n">
        <v>0</v>
      </c>
      <c r="N406" s="9" t="n">
        <v>487.49</v>
      </c>
      <c r="O406" s="9" t="n">
        <v>1299.98</v>
      </c>
      <c r="P406" s="9" t="n">
        <v>0</v>
      </c>
      <c r="Q406" s="9" t="n">
        <v>1299.98</v>
      </c>
      <c r="R406" s="9" t="n">
        <v>974.98</v>
      </c>
      <c r="S406" s="9" t="n">
        <v>325</v>
      </c>
      <c r="T406" s="10" t="n">
        <v>0.25</v>
      </c>
    </row>
    <row r="407">
      <c r="A407" s="7" t="inlineStr">
        <is>
          <t>ORD-2024-1069</t>
        </is>
      </c>
      <c r="B407" s="7" t="inlineStr">
        <is>
          <t>2024-06-15</t>
        </is>
      </c>
      <c r="C407" s="7" t="inlineStr">
        <is>
          <t>OFF-PAP-003</t>
        </is>
      </c>
      <c r="D407" s="7" t="inlineStr">
        <is>
          <t>UltraWhite Premium Multipurpose Paper (Case)</t>
        </is>
      </c>
      <c r="E407" s="7" t="inlineStr">
        <is>
          <t>Office Supplies</t>
        </is>
      </c>
      <c r="F407" s="7" t="inlineStr">
        <is>
          <t>Paper Products</t>
        </is>
      </c>
      <c r="G407" s="7" t="inlineStr">
        <is>
          <t>East</t>
        </is>
      </c>
      <c r="H407" s="7" t="inlineStr">
        <is>
          <t>Massachusetts</t>
        </is>
      </c>
      <c r="I407" s="7" t="inlineStr">
        <is>
          <t>Retail Partner</t>
        </is>
      </c>
      <c r="J407" s="7" t="inlineStr">
        <is>
          <t>Home Office</t>
        </is>
      </c>
      <c r="K407" s="8" t="n">
        <v>3</v>
      </c>
      <c r="L407" s="9" t="n">
        <v>54.99</v>
      </c>
      <c r="M407" s="10" t="n">
        <v>0.05</v>
      </c>
      <c r="N407" s="9" t="n">
        <v>31.89</v>
      </c>
      <c r="O407" s="9" t="n">
        <v>164.97</v>
      </c>
      <c r="P407" s="9" t="n">
        <v>8.25</v>
      </c>
      <c r="Q407" s="9" t="n">
        <v>156.72</v>
      </c>
      <c r="R407" s="9" t="n">
        <v>95.67</v>
      </c>
      <c r="S407" s="9" t="n">
        <v>61.05</v>
      </c>
      <c r="T407" s="10" t="n">
        <v>0.3895</v>
      </c>
    </row>
    <row r="408">
      <c r="A408" s="7" t="inlineStr">
        <is>
          <t>ORD-2024-1369</t>
        </is>
      </c>
      <c r="B408" s="7" t="inlineStr">
        <is>
          <t>2024-06-15</t>
        </is>
      </c>
      <c r="C408" s="7" t="inlineStr">
        <is>
          <t>OFF-STR-001</t>
        </is>
      </c>
      <c r="D408" s="7" t="inlineStr">
        <is>
          <t>SteelLock 3-Drawer File Cabinet</t>
        </is>
      </c>
      <c r="E408" s="7" t="inlineStr">
        <is>
          <t>Office Supplies</t>
        </is>
      </c>
      <c r="F408" s="7" t="inlineStr">
        <is>
          <t>Storage &amp; Organizers</t>
        </is>
      </c>
      <c r="G408" s="7" t="inlineStr">
        <is>
          <t>East</t>
        </is>
      </c>
      <c r="H408" s="7" t="inlineStr">
        <is>
          <t>Massachusetts</t>
        </is>
      </c>
      <c r="I408" s="7" t="inlineStr">
        <is>
          <t>Online</t>
        </is>
      </c>
      <c r="J408" s="7" t="inlineStr">
        <is>
          <t>Corporate</t>
        </is>
      </c>
      <c r="K408" s="8" t="n">
        <v>3</v>
      </c>
      <c r="L408" s="9" t="n">
        <v>169.99</v>
      </c>
      <c r="M408" s="10" t="n">
        <v>0.05</v>
      </c>
      <c r="N408" s="9" t="n">
        <v>115.59</v>
      </c>
      <c r="O408" s="9" t="n">
        <v>509.97</v>
      </c>
      <c r="P408" s="9" t="n">
        <v>25.5</v>
      </c>
      <c r="Q408" s="9" t="n">
        <v>484.47</v>
      </c>
      <c r="R408" s="9" t="n">
        <v>346.77</v>
      </c>
      <c r="S408" s="9" t="n">
        <v>137.7</v>
      </c>
      <c r="T408" s="10" t="n">
        <v>0.2842</v>
      </c>
    </row>
    <row r="409">
      <c r="A409" s="7" t="inlineStr">
        <is>
          <t>ORD-2024-1369</t>
        </is>
      </c>
      <c r="B409" s="7" t="inlineStr">
        <is>
          <t>2024-06-15</t>
        </is>
      </c>
      <c r="C409" s="7" t="inlineStr">
        <is>
          <t>OFF-PAP-004</t>
        </is>
      </c>
      <c r="D409" s="7" t="inlineStr">
        <is>
          <t>EcoRecycled Copy Paper (5 Reams)</t>
        </is>
      </c>
      <c r="E409" s="7" t="inlineStr">
        <is>
          <t>Office Supplies</t>
        </is>
      </c>
      <c r="F409" s="7" t="inlineStr">
        <is>
          <t>Paper Products</t>
        </is>
      </c>
      <c r="G409" s="7" t="inlineStr">
        <is>
          <t>East</t>
        </is>
      </c>
      <c r="H409" s="7" t="inlineStr">
        <is>
          <t>Massachusetts</t>
        </is>
      </c>
      <c r="I409" s="7" t="inlineStr">
        <is>
          <t>Online</t>
        </is>
      </c>
      <c r="J409" s="7" t="inlineStr">
        <is>
          <t>Corporate</t>
        </is>
      </c>
      <c r="K409" s="8" t="n">
        <v>3</v>
      </c>
      <c r="L409" s="9" t="n">
        <v>32.99</v>
      </c>
      <c r="M409" s="10" t="n">
        <v>0.1</v>
      </c>
      <c r="N409" s="9" t="n">
        <v>19.79</v>
      </c>
      <c r="O409" s="9" t="n">
        <v>98.97</v>
      </c>
      <c r="P409" s="9" t="n">
        <v>9.9</v>
      </c>
      <c r="Q409" s="9" t="n">
        <v>89.06999999999999</v>
      </c>
      <c r="R409" s="9" t="n">
        <v>59.37</v>
      </c>
      <c r="S409" s="9" t="n">
        <v>29.7</v>
      </c>
      <c r="T409" s="10" t="n">
        <v>0.3334</v>
      </c>
    </row>
    <row r="410">
      <c r="A410" s="7" t="inlineStr">
        <is>
          <t>ORD-2024-1517</t>
        </is>
      </c>
      <c r="B410" s="7" t="inlineStr">
        <is>
          <t>2024-06-15</t>
        </is>
      </c>
      <c r="C410" s="7" t="inlineStr">
        <is>
          <t>FUR-LGT-006</t>
        </is>
      </c>
      <c r="D410" s="7" t="inlineStr">
        <is>
          <t>Architect LED Desk Task Lamp</t>
        </is>
      </c>
      <c r="E410" s="7" t="inlineStr">
        <is>
          <t>Furniture</t>
        </is>
      </c>
      <c r="F410" s="7" t="inlineStr">
        <is>
          <t>Lighting</t>
        </is>
      </c>
      <c r="G410" s="7" t="inlineStr">
        <is>
          <t>East</t>
        </is>
      </c>
      <c r="H410" s="7" t="inlineStr">
        <is>
          <t>Massachusetts</t>
        </is>
      </c>
      <c r="I410" s="7" t="inlineStr">
        <is>
          <t>Wholesale</t>
        </is>
      </c>
      <c r="J410" s="7" t="inlineStr">
        <is>
          <t>Consumer</t>
        </is>
      </c>
      <c r="K410" s="8" t="n">
        <v>13</v>
      </c>
      <c r="L410" s="9" t="n">
        <v>69.98999999999999</v>
      </c>
      <c r="M410" s="10" t="n">
        <v>0.1</v>
      </c>
      <c r="N410" s="9" t="n">
        <v>43.39</v>
      </c>
      <c r="O410" s="9" t="n">
        <v>909.87</v>
      </c>
      <c r="P410" s="9" t="n">
        <v>90.98999999999999</v>
      </c>
      <c r="Q410" s="9" t="n">
        <v>818.88</v>
      </c>
      <c r="R410" s="9" t="n">
        <v>564.0700000000001</v>
      </c>
      <c r="S410" s="9" t="n">
        <v>254.81</v>
      </c>
      <c r="T410" s="10" t="n">
        <v>0.3112</v>
      </c>
    </row>
    <row r="411">
      <c r="A411" s="7" t="inlineStr">
        <is>
          <t>ORD-2024-1404</t>
        </is>
      </c>
      <c r="B411" s="7" t="inlineStr">
        <is>
          <t>2024-06-16</t>
        </is>
      </c>
      <c r="C411" s="7" t="inlineStr">
        <is>
          <t>FUR-DSK-004</t>
        </is>
      </c>
      <c r="D411" s="7" t="inlineStr">
        <is>
          <t>Metro Compact Corner Workstation</t>
        </is>
      </c>
      <c r="E411" s="7" t="inlineStr">
        <is>
          <t>Furniture</t>
        </is>
      </c>
      <c r="F411" s="7" t="inlineStr">
        <is>
          <t>Desks &amp; Workstations</t>
        </is>
      </c>
      <c r="G411" s="7" t="inlineStr">
        <is>
          <t>East</t>
        </is>
      </c>
      <c r="H411" s="7" t="inlineStr">
        <is>
          <t>New Jersey</t>
        </is>
      </c>
      <c r="I411" s="7" t="inlineStr">
        <is>
          <t>Online</t>
        </is>
      </c>
      <c r="J411" s="7" t="inlineStr">
        <is>
          <t>Corporate</t>
        </is>
      </c>
      <c r="K411" s="8" t="n">
        <v>8</v>
      </c>
      <c r="L411" s="9" t="n">
        <v>329.99</v>
      </c>
      <c r="M411" s="10" t="n">
        <v>0.05</v>
      </c>
      <c r="N411" s="9" t="n">
        <v>250.79</v>
      </c>
      <c r="O411" s="9" t="n">
        <v>2639.92</v>
      </c>
      <c r="P411" s="9" t="n">
        <v>132</v>
      </c>
      <c r="Q411" s="9" t="n">
        <v>2507.92</v>
      </c>
      <c r="R411" s="9" t="n">
        <v>2006.32</v>
      </c>
      <c r="S411" s="9" t="n">
        <v>501.6</v>
      </c>
      <c r="T411" s="10" t="n">
        <v>0.2</v>
      </c>
    </row>
    <row r="412">
      <c r="A412" s="7" t="inlineStr">
        <is>
          <t>ORD-2024-1404</t>
        </is>
      </c>
      <c r="B412" s="7" t="inlineStr">
        <is>
          <t>2024-06-16</t>
        </is>
      </c>
      <c r="C412" s="7" t="inlineStr">
        <is>
          <t>OFF-PAP-003</t>
        </is>
      </c>
      <c r="D412" s="7" t="inlineStr">
        <is>
          <t>UltraWhite Premium Multipurpose Paper (Case)</t>
        </is>
      </c>
      <c r="E412" s="7" t="inlineStr">
        <is>
          <t>Office Supplies</t>
        </is>
      </c>
      <c r="F412" s="7" t="inlineStr">
        <is>
          <t>Paper Products</t>
        </is>
      </c>
      <c r="G412" s="7" t="inlineStr">
        <is>
          <t>East</t>
        </is>
      </c>
      <c r="H412" s="7" t="inlineStr">
        <is>
          <t>New Jersey</t>
        </is>
      </c>
      <c r="I412" s="7" t="inlineStr">
        <is>
          <t>Online</t>
        </is>
      </c>
      <c r="J412" s="7" t="inlineStr">
        <is>
          <t>Corporate</t>
        </is>
      </c>
      <c r="K412" s="8" t="n">
        <v>4</v>
      </c>
      <c r="L412" s="9" t="n">
        <v>54.99</v>
      </c>
      <c r="M412" s="10" t="n">
        <v>0</v>
      </c>
      <c r="N412" s="9" t="n">
        <v>31.89</v>
      </c>
      <c r="O412" s="9" t="n">
        <v>219.96</v>
      </c>
      <c r="P412" s="9" t="n">
        <v>0</v>
      </c>
      <c r="Q412" s="9" t="n">
        <v>219.96</v>
      </c>
      <c r="R412" s="9" t="n">
        <v>127.56</v>
      </c>
      <c r="S412" s="9" t="n">
        <v>92.40000000000001</v>
      </c>
      <c r="T412" s="10" t="n">
        <v>0.4201</v>
      </c>
    </row>
    <row r="413">
      <c r="A413" s="7" t="inlineStr">
        <is>
          <t>ORD-2024-1404</t>
        </is>
      </c>
      <c r="B413" s="7" t="inlineStr">
        <is>
          <t>2024-06-16</t>
        </is>
      </c>
      <c r="C413" s="7" t="inlineStr">
        <is>
          <t>TEC-TAB-003</t>
        </is>
      </c>
      <c r="D413" s="7" t="inlineStr">
        <is>
          <t>VisionPad Pro 11"</t>
        </is>
      </c>
      <c r="E413" s="7" t="inlineStr">
        <is>
          <t>Technology</t>
        </is>
      </c>
      <c r="F413" s="7" t="inlineStr">
        <is>
          <t>Phones &amp; Tablets</t>
        </is>
      </c>
      <c r="G413" s="7" t="inlineStr">
        <is>
          <t>East</t>
        </is>
      </c>
      <c r="H413" s="7" t="inlineStr">
        <is>
          <t>New Jersey</t>
        </is>
      </c>
      <c r="I413" s="7" t="inlineStr">
        <is>
          <t>Online</t>
        </is>
      </c>
      <c r="J413" s="7" t="inlineStr">
        <is>
          <t>Corporate</t>
        </is>
      </c>
      <c r="K413" s="8" t="n">
        <v>7</v>
      </c>
      <c r="L413" s="9" t="n">
        <v>649.99</v>
      </c>
      <c r="M413" s="10" t="n">
        <v>0.05</v>
      </c>
      <c r="N413" s="9" t="n">
        <v>487.49</v>
      </c>
      <c r="O413" s="9" t="n">
        <v>4549.93</v>
      </c>
      <c r="P413" s="9" t="n">
        <v>227.5</v>
      </c>
      <c r="Q413" s="9" t="n">
        <v>4322.43</v>
      </c>
      <c r="R413" s="9" t="n">
        <v>3412.43</v>
      </c>
      <c r="S413" s="9" t="n">
        <v>910</v>
      </c>
      <c r="T413" s="10" t="n">
        <v>0.2105</v>
      </c>
    </row>
    <row r="414">
      <c r="A414" s="7" t="inlineStr">
        <is>
          <t>ORD-2024-1028</t>
        </is>
      </c>
      <c r="B414" s="7" t="inlineStr">
        <is>
          <t>2024-06-17</t>
        </is>
      </c>
      <c r="C414" s="7" t="inlineStr">
        <is>
          <t>OFF-PAP-004</t>
        </is>
      </c>
      <c r="D414" s="7" t="inlineStr">
        <is>
          <t>EcoRecycled Copy Paper (5 Reams)</t>
        </is>
      </c>
      <c r="E414" s="7" t="inlineStr">
        <is>
          <t>Office Supplies</t>
        </is>
      </c>
      <c r="F414" s="7" t="inlineStr">
        <is>
          <t>Paper Products</t>
        </is>
      </c>
      <c r="G414" s="7" t="inlineStr">
        <is>
          <t>South</t>
        </is>
      </c>
      <c r="H414" s="7" t="inlineStr">
        <is>
          <t>North Carolina</t>
        </is>
      </c>
      <c r="I414" s="7" t="inlineStr">
        <is>
          <t>Online</t>
        </is>
      </c>
      <c r="J414" s="7" t="inlineStr">
        <is>
          <t>Consumer</t>
        </is>
      </c>
      <c r="K414" s="8" t="n">
        <v>1</v>
      </c>
      <c r="L414" s="9" t="n">
        <v>32.99</v>
      </c>
      <c r="M414" s="10" t="n">
        <v>0.1</v>
      </c>
      <c r="N414" s="9" t="n">
        <v>19.79</v>
      </c>
      <c r="O414" s="9" t="n">
        <v>32.99</v>
      </c>
      <c r="P414" s="9" t="n">
        <v>3.3</v>
      </c>
      <c r="Q414" s="9" t="n">
        <v>29.69</v>
      </c>
      <c r="R414" s="9" t="n">
        <v>19.79</v>
      </c>
      <c r="S414" s="9" t="n">
        <v>9.9</v>
      </c>
      <c r="T414" s="10" t="n">
        <v>0.3334</v>
      </c>
    </row>
    <row r="415">
      <c r="A415" s="7" t="inlineStr">
        <is>
          <t>ORD-2024-1324</t>
        </is>
      </c>
      <c r="B415" s="7" t="inlineStr">
        <is>
          <t>2024-06-17</t>
        </is>
      </c>
      <c r="C415" s="7" t="inlineStr">
        <is>
          <t>TEC-TAB-003</t>
        </is>
      </c>
      <c r="D415" s="7" t="inlineStr">
        <is>
          <t>VisionPad Pro 11"</t>
        </is>
      </c>
      <c r="E415" s="7" t="inlineStr">
        <is>
          <t>Technology</t>
        </is>
      </c>
      <c r="F415" s="7" t="inlineStr">
        <is>
          <t>Phones &amp; Tablets</t>
        </is>
      </c>
      <c r="G415" s="7" t="inlineStr">
        <is>
          <t>Central</t>
        </is>
      </c>
      <c r="H415" s="7" t="inlineStr">
        <is>
          <t>Ohio</t>
        </is>
      </c>
      <c r="I415" s="7" t="inlineStr">
        <is>
          <t>Direct Sales</t>
        </is>
      </c>
      <c r="J415" s="7" t="inlineStr">
        <is>
          <t>Consumer</t>
        </is>
      </c>
      <c r="K415" s="8" t="n">
        <v>4</v>
      </c>
      <c r="L415" s="9" t="n">
        <v>649.99</v>
      </c>
      <c r="M415" s="10" t="n">
        <v>0.1</v>
      </c>
      <c r="N415" s="9" t="n">
        <v>487.49</v>
      </c>
      <c r="O415" s="9" t="n">
        <v>2599.96</v>
      </c>
      <c r="P415" s="9" t="n">
        <v>260</v>
      </c>
      <c r="Q415" s="9" t="n">
        <v>2339.96</v>
      </c>
      <c r="R415" s="9" t="n">
        <v>1949.96</v>
      </c>
      <c r="S415" s="9" t="n">
        <v>390</v>
      </c>
      <c r="T415" s="10" t="n">
        <v>0.1667</v>
      </c>
    </row>
    <row r="416">
      <c r="A416" s="7" t="inlineStr">
        <is>
          <t>ORD-2024-1324</t>
        </is>
      </c>
      <c r="B416" s="7" t="inlineStr">
        <is>
          <t>2024-06-17</t>
        </is>
      </c>
      <c r="C416" s="7" t="inlineStr">
        <is>
          <t>TEC-LAP-002</t>
        </is>
      </c>
      <c r="D416" s="7" t="inlineStr">
        <is>
          <t>Apex Gaming Laptop 17"</t>
        </is>
      </c>
      <c r="E416" s="7" t="inlineStr">
        <is>
          <t>Technology</t>
        </is>
      </c>
      <c r="F416" s="7" t="inlineStr">
        <is>
          <t>Laptops</t>
        </is>
      </c>
      <c r="G416" s="7" t="inlineStr">
        <is>
          <t>Central</t>
        </is>
      </c>
      <c r="H416" s="7" t="inlineStr">
        <is>
          <t>Ohio</t>
        </is>
      </c>
      <c r="I416" s="7" t="inlineStr">
        <is>
          <t>Direct Sales</t>
        </is>
      </c>
      <c r="J416" s="7" t="inlineStr">
        <is>
          <t>Consumer</t>
        </is>
      </c>
      <c r="K416" s="8" t="n">
        <v>4</v>
      </c>
      <c r="L416" s="9" t="n">
        <v>1499.99</v>
      </c>
      <c r="M416" s="10" t="n">
        <v>0.25</v>
      </c>
      <c r="N416" s="9" t="n">
        <v>1259.99</v>
      </c>
      <c r="O416" s="9" t="n">
        <v>5999.96</v>
      </c>
      <c r="P416" s="9" t="n">
        <v>1499.99</v>
      </c>
      <c r="Q416" s="9" t="n">
        <v>4499.97</v>
      </c>
      <c r="R416" s="9" t="n">
        <v>5039.96</v>
      </c>
      <c r="S416" s="9" t="n">
        <v>-539.99</v>
      </c>
      <c r="T416" s="10" t="n">
        <v>-0.12</v>
      </c>
    </row>
    <row r="417">
      <c r="A417" s="7" t="inlineStr">
        <is>
          <t>ORD-2024-1080</t>
        </is>
      </c>
      <c r="B417" s="7" t="inlineStr">
        <is>
          <t>2024-06-18</t>
        </is>
      </c>
      <c r="C417" s="7" t="inlineStr">
        <is>
          <t>TEC-TAB-004</t>
        </is>
      </c>
      <c r="D417" s="7" t="inlineStr">
        <is>
          <t>VisionPad Lite 8.5"</t>
        </is>
      </c>
      <c r="E417" s="7" t="inlineStr">
        <is>
          <t>Technology</t>
        </is>
      </c>
      <c r="F417" s="7" t="inlineStr">
        <is>
          <t>Phones &amp; Tablets</t>
        </is>
      </c>
      <c r="G417" s="7" t="inlineStr">
        <is>
          <t>Central</t>
        </is>
      </c>
      <c r="H417" s="7" t="inlineStr">
        <is>
          <t>Illinois</t>
        </is>
      </c>
      <c r="I417" s="7" t="inlineStr">
        <is>
          <t>Wholesale</t>
        </is>
      </c>
      <c r="J417" s="7" t="inlineStr">
        <is>
          <t>Consumer</t>
        </is>
      </c>
      <c r="K417" s="8" t="n">
        <v>6</v>
      </c>
      <c r="L417" s="9" t="n">
        <v>299.99</v>
      </c>
      <c r="M417" s="10" t="n">
        <v>0.1</v>
      </c>
      <c r="N417" s="9" t="n">
        <v>245.99</v>
      </c>
      <c r="O417" s="9" t="n">
        <v>1799.94</v>
      </c>
      <c r="P417" s="9" t="n">
        <v>179.99</v>
      </c>
      <c r="Q417" s="9" t="n">
        <v>1619.95</v>
      </c>
      <c r="R417" s="9" t="n">
        <v>1475.94</v>
      </c>
      <c r="S417" s="9" t="n">
        <v>144.01</v>
      </c>
      <c r="T417" s="10" t="n">
        <v>0.08890000000000001</v>
      </c>
    </row>
    <row r="418">
      <c r="A418" s="7" t="inlineStr">
        <is>
          <t>ORD-2024-1211</t>
        </is>
      </c>
      <c r="B418" s="7" t="inlineStr">
        <is>
          <t>2024-06-18</t>
        </is>
      </c>
      <c r="C418" s="7" t="inlineStr">
        <is>
          <t>FUR-CHA-002</t>
        </is>
      </c>
      <c r="D418" s="7" t="inlineStr">
        <is>
          <t>AeroTask Operator Task Chair</t>
        </is>
      </c>
      <c r="E418" s="7" t="inlineStr">
        <is>
          <t>Furniture</t>
        </is>
      </c>
      <c r="F418" s="7" t="inlineStr">
        <is>
          <t>Chairs</t>
        </is>
      </c>
      <c r="G418" s="7" t="inlineStr">
        <is>
          <t>East</t>
        </is>
      </c>
      <c r="H418" s="7" t="inlineStr">
        <is>
          <t>Pennsylvania</t>
        </is>
      </c>
      <c r="I418" s="7" t="inlineStr">
        <is>
          <t>Wholesale</t>
        </is>
      </c>
      <c r="J418" s="7" t="inlineStr">
        <is>
          <t>Consumer</t>
        </is>
      </c>
      <c r="K418" s="8" t="n">
        <v>12</v>
      </c>
      <c r="L418" s="9" t="n">
        <v>219.99</v>
      </c>
      <c r="M418" s="10" t="n">
        <v>0.15</v>
      </c>
      <c r="N418" s="9" t="n">
        <v>171.59</v>
      </c>
      <c r="O418" s="9" t="n">
        <v>2639.88</v>
      </c>
      <c r="P418" s="9" t="n">
        <v>395.98</v>
      </c>
      <c r="Q418" s="9" t="n">
        <v>2243.9</v>
      </c>
      <c r="R418" s="9" t="n">
        <v>2059.08</v>
      </c>
      <c r="S418" s="9" t="n">
        <v>184.82</v>
      </c>
      <c r="T418" s="10" t="n">
        <v>0.0824</v>
      </c>
    </row>
    <row r="419">
      <c r="A419" s="7" t="inlineStr">
        <is>
          <t>ORD-2024-1211</t>
        </is>
      </c>
      <c r="B419" s="7" t="inlineStr">
        <is>
          <t>2024-06-18</t>
        </is>
      </c>
      <c r="C419" s="7" t="inlineStr">
        <is>
          <t>OFF-STR-002</t>
        </is>
      </c>
      <c r="D419" s="7" t="inlineStr">
        <is>
          <t>Stackable Heavy-Duty Storage Bins (4-Pk)</t>
        </is>
      </c>
      <c r="E419" s="7" t="inlineStr">
        <is>
          <t>Office Supplies</t>
        </is>
      </c>
      <c r="F419" s="7" t="inlineStr">
        <is>
          <t>Storage &amp; Organizers</t>
        </is>
      </c>
      <c r="G419" s="7" t="inlineStr">
        <is>
          <t>East</t>
        </is>
      </c>
      <c r="H419" s="7" t="inlineStr">
        <is>
          <t>Pennsylvania</t>
        </is>
      </c>
      <c r="I419" s="7" t="inlineStr">
        <is>
          <t>Wholesale</t>
        </is>
      </c>
      <c r="J419" s="7" t="inlineStr">
        <is>
          <t>Consumer</t>
        </is>
      </c>
      <c r="K419" s="8" t="n">
        <v>6</v>
      </c>
      <c r="L419" s="9" t="n">
        <v>44.99</v>
      </c>
      <c r="M419" s="10" t="n">
        <v>0.15</v>
      </c>
      <c r="N419" s="9" t="n">
        <v>24.74</v>
      </c>
      <c r="O419" s="9" t="n">
        <v>269.94</v>
      </c>
      <c r="P419" s="9" t="n">
        <v>40.49</v>
      </c>
      <c r="Q419" s="9" t="n">
        <v>229.45</v>
      </c>
      <c r="R419" s="9" t="n">
        <v>148.44</v>
      </c>
      <c r="S419" s="9" t="n">
        <v>81.01000000000001</v>
      </c>
      <c r="T419" s="10" t="n">
        <v>0.3531</v>
      </c>
    </row>
    <row r="420">
      <c r="A420" s="7" t="inlineStr">
        <is>
          <t>ORD-2024-1651</t>
        </is>
      </c>
      <c r="B420" s="7" t="inlineStr">
        <is>
          <t>2024-06-18</t>
        </is>
      </c>
      <c r="C420" s="7" t="inlineStr">
        <is>
          <t>FUR-DSK-003</t>
        </is>
      </c>
      <c r="D420" s="7" t="inlineStr">
        <is>
          <t>ApexMotor Dual-Motor Standing Desk</t>
        </is>
      </c>
      <c r="E420" s="7" t="inlineStr">
        <is>
          <t>Furniture</t>
        </is>
      </c>
      <c r="F420" s="7" t="inlineStr">
        <is>
          <t>Desks &amp; Workstations</t>
        </is>
      </c>
      <c r="G420" s="7" t="inlineStr">
        <is>
          <t>West</t>
        </is>
      </c>
      <c r="H420" s="7" t="inlineStr">
        <is>
          <t>Washington</t>
        </is>
      </c>
      <c r="I420" s="7" t="inlineStr">
        <is>
          <t>Online</t>
        </is>
      </c>
      <c r="J420" s="7" t="inlineStr">
        <is>
          <t>Home Office</t>
        </is>
      </c>
      <c r="K420" s="8" t="n">
        <v>4</v>
      </c>
      <c r="L420" s="9" t="n">
        <v>549.99</v>
      </c>
      <c r="M420" s="10" t="n">
        <v>0.05</v>
      </c>
      <c r="N420" s="9" t="n">
        <v>439.99</v>
      </c>
      <c r="O420" s="9" t="n">
        <v>2199.96</v>
      </c>
      <c r="P420" s="9" t="n">
        <v>110</v>
      </c>
      <c r="Q420" s="9" t="n">
        <v>2089.96</v>
      </c>
      <c r="R420" s="9" t="n">
        <v>1759.96</v>
      </c>
      <c r="S420" s="9" t="n">
        <v>330</v>
      </c>
      <c r="T420" s="10" t="n">
        <v>0.1579</v>
      </c>
    </row>
    <row r="421">
      <c r="A421" s="7" t="inlineStr">
        <is>
          <t>ORD-2024-1651</t>
        </is>
      </c>
      <c r="B421" s="7" t="inlineStr">
        <is>
          <t>2024-06-18</t>
        </is>
      </c>
      <c r="C421" s="7" t="inlineStr">
        <is>
          <t>OFF-STR-001</t>
        </is>
      </c>
      <c r="D421" s="7" t="inlineStr">
        <is>
          <t>SteelLock 3-Drawer File Cabinet</t>
        </is>
      </c>
      <c r="E421" s="7" t="inlineStr">
        <is>
          <t>Office Supplies</t>
        </is>
      </c>
      <c r="F421" s="7" t="inlineStr">
        <is>
          <t>Storage &amp; Organizers</t>
        </is>
      </c>
      <c r="G421" s="7" t="inlineStr">
        <is>
          <t>West</t>
        </is>
      </c>
      <c r="H421" s="7" t="inlineStr">
        <is>
          <t>Washington</t>
        </is>
      </c>
      <c r="I421" s="7" t="inlineStr">
        <is>
          <t>Online</t>
        </is>
      </c>
      <c r="J421" s="7" t="inlineStr">
        <is>
          <t>Home Office</t>
        </is>
      </c>
      <c r="K421" s="8" t="n">
        <v>2</v>
      </c>
      <c r="L421" s="9" t="n">
        <v>169.99</v>
      </c>
      <c r="M421" s="10" t="n">
        <v>0</v>
      </c>
      <c r="N421" s="9" t="n">
        <v>115.59</v>
      </c>
      <c r="O421" s="9" t="n">
        <v>339.98</v>
      </c>
      <c r="P421" s="9" t="n">
        <v>0</v>
      </c>
      <c r="Q421" s="9" t="n">
        <v>339.98</v>
      </c>
      <c r="R421" s="9" t="n">
        <v>231.18</v>
      </c>
      <c r="S421" s="9" t="n">
        <v>108.8</v>
      </c>
      <c r="T421" s="10" t="n">
        <v>0.32</v>
      </c>
    </row>
    <row r="422">
      <c r="A422" s="7" t="inlineStr">
        <is>
          <t>ORD-2024-1593</t>
        </is>
      </c>
      <c r="B422" s="7" t="inlineStr">
        <is>
          <t>2024-06-19</t>
        </is>
      </c>
      <c r="C422" s="7" t="inlineStr">
        <is>
          <t>OFF-PAP-003</t>
        </is>
      </c>
      <c r="D422" s="7" t="inlineStr">
        <is>
          <t>UltraWhite Premium Multipurpose Paper (Case)</t>
        </is>
      </c>
      <c r="E422" s="7" t="inlineStr">
        <is>
          <t>Office Supplies</t>
        </is>
      </c>
      <c r="F422" s="7" t="inlineStr">
        <is>
          <t>Paper Products</t>
        </is>
      </c>
      <c r="G422" s="7" t="inlineStr">
        <is>
          <t>Central</t>
        </is>
      </c>
      <c r="H422" s="7" t="inlineStr">
        <is>
          <t>Illinois</t>
        </is>
      </c>
      <c r="I422" s="7" t="inlineStr">
        <is>
          <t>Direct Sales</t>
        </is>
      </c>
      <c r="J422" s="7" t="inlineStr">
        <is>
          <t>Home Office</t>
        </is>
      </c>
      <c r="K422" s="8" t="n">
        <v>1</v>
      </c>
      <c r="L422" s="9" t="n">
        <v>54.99</v>
      </c>
      <c r="M422" s="10" t="n">
        <v>0.05</v>
      </c>
      <c r="N422" s="9" t="n">
        <v>31.89</v>
      </c>
      <c r="O422" s="9" t="n">
        <v>54.99</v>
      </c>
      <c r="P422" s="9" t="n">
        <v>2.75</v>
      </c>
      <c r="Q422" s="9" t="n">
        <v>52.24</v>
      </c>
      <c r="R422" s="9" t="n">
        <v>31.89</v>
      </c>
      <c r="S422" s="9" t="n">
        <v>20.35</v>
      </c>
      <c r="T422" s="10" t="n">
        <v>0.3895</v>
      </c>
    </row>
    <row r="423">
      <c r="A423" s="7" t="inlineStr">
        <is>
          <t>ORD-2024-1593</t>
        </is>
      </c>
      <c r="B423" s="7" t="inlineStr">
        <is>
          <t>2024-06-19</t>
        </is>
      </c>
      <c r="C423" s="7" t="inlineStr">
        <is>
          <t>TEC-ACC-008</t>
        </is>
      </c>
      <c r="D423" s="7" t="inlineStr">
        <is>
          <t>Precision Laser Bluetooth Mouse</t>
        </is>
      </c>
      <c r="E423" s="7" t="inlineStr">
        <is>
          <t>Technology</t>
        </is>
      </c>
      <c r="F423" s="7" t="inlineStr">
        <is>
          <t>Audio &amp; Accessories</t>
        </is>
      </c>
      <c r="G423" s="7" t="inlineStr">
        <is>
          <t>Central</t>
        </is>
      </c>
      <c r="H423" s="7" t="inlineStr">
        <is>
          <t>Illinois</t>
        </is>
      </c>
      <c r="I423" s="7" t="inlineStr">
        <is>
          <t>Direct Sales</t>
        </is>
      </c>
      <c r="J423" s="7" t="inlineStr">
        <is>
          <t>Home Office</t>
        </is>
      </c>
      <c r="K423" s="8" t="n">
        <v>2</v>
      </c>
      <c r="L423" s="9" t="n">
        <v>49.99</v>
      </c>
      <c r="M423" s="10" t="n">
        <v>0.05</v>
      </c>
      <c r="N423" s="9" t="n">
        <v>27.49</v>
      </c>
      <c r="O423" s="9" t="n">
        <v>99.98</v>
      </c>
      <c r="P423" s="9" t="n">
        <v>5</v>
      </c>
      <c r="Q423" s="9" t="n">
        <v>94.98</v>
      </c>
      <c r="R423" s="9" t="n">
        <v>54.98</v>
      </c>
      <c r="S423" s="9" t="n">
        <v>40</v>
      </c>
      <c r="T423" s="10" t="n">
        <v>0.4211</v>
      </c>
    </row>
    <row r="424">
      <c r="A424" s="7" t="inlineStr">
        <is>
          <t>ORD-2024-1706</t>
        </is>
      </c>
      <c r="B424" s="7" t="inlineStr">
        <is>
          <t>2024-06-19</t>
        </is>
      </c>
      <c r="C424" s="7" t="inlineStr">
        <is>
          <t>OFF-PAP-003</t>
        </is>
      </c>
      <c r="D424" s="7" t="inlineStr">
        <is>
          <t>UltraWhite Premium Multipurpose Paper (Case)</t>
        </is>
      </c>
      <c r="E424" s="7" t="inlineStr">
        <is>
          <t>Office Supplies</t>
        </is>
      </c>
      <c r="F424" s="7" t="inlineStr">
        <is>
          <t>Paper Products</t>
        </is>
      </c>
      <c r="G424" s="7" t="inlineStr">
        <is>
          <t>Central</t>
        </is>
      </c>
      <c r="H424" s="7" t="inlineStr">
        <is>
          <t>Texas</t>
        </is>
      </c>
      <c r="I424" s="7" t="inlineStr">
        <is>
          <t>Direct Sales</t>
        </is>
      </c>
      <c r="J424" s="7" t="inlineStr">
        <is>
          <t>Consumer</t>
        </is>
      </c>
      <c r="K424" s="8" t="n">
        <v>4</v>
      </c>
      <c r="L424" s="9" t="n">
        <v>54.99</v>
      </c>
      <c r="M424" s="10" t="n">
        <v>0.05</v>
      </c>
      <c r="N424" s="9" t="n">
        <v>31.89</v>
      </c>
      <c r="O424" s="9" t="n">
        <v>219.96</v>
      </c>
      <c r="P424" s="9" t="n">
        <v>11</v>
      </c>
      <c r="Q424" s="9" t="n">
        <v>208.96</v>
      </c>
      <c r="R424" s="9" t="n">
        <v>127.56</v>
      </c>
      <c r="S424" s="9" t="n">
        <v>81.40000000000001</v>
      </c>
      <c r="T424" s="10" t="n">
        <v>0.3895</v>
      </c>
    </row>
    <row r="425">
      <c r="A425" s="7" t="inlineStr">
        <is>
          <t>ORD-2024-1234</t>
        </is>
      </c>
      <c r="B425" s="7" t="inlineStr">
        <is>
          <t>2024-06-20</t>
        </is>
      </c>
      <c r="C425" s="7" t="inlineStr">
        <is>
          <t>TEC-ACC-008</t>
        </is>
      </c>
      <c r="D425" s="7" t="inlineStr">
        <is>
          <t>Precision Laser Bluetooth Mouse</t>
        </is>
      </c>
      <c r="E425" s="7" t="inlineStr">
        <is>
          <t>Technology</t>
        </is>
      </c>
      <c r="F425" s="7" t="inlineStr">
        <is>
          <t>Audio &amp; Accessories</t>
        </is>
      </c>
      <c r="G425" s="7" t="inlineStr">
        <is>
          <t>West</t>
        </is>
      </c>
      <c r="H425" s="7" t="inlineStr">
        <is>
          <t>California</t>
        </is>
      </c>
      <c r="I425" s="7" t="inlineStr">
        <is>
          <t>Online</t>
        </is>
      </c>
      <c r="J425" s="7" t="inlineStr">
        <is>
          <t>Corporate</t>
        </is>
      </c>
      <c r="K425" s="8" t="n">
        <v>7</v>
      </c>
      <c r="L425" s="9" t="n">
        <v>49.99</v>
      </c>
      <c r="M425" s="10" t="n">
        <v>0.05</v>
      </c>
      <c r="N425" s="9" t="n">
        <v>27.49</v>
      </c>
      <c r="O425" s="9" t="n">
        <v>349.93</v>
      </c>
      <c r="P425" s="9" t="n">
        <v>17.5</v>
      </c>
      <c r="Q425" s="9" t="n">
        <v>332.43</v>
      </c>
      <c r="R425" s="9" t="n">
        <v>192.43</v>
      </c>
      <c r="S425" s="9" t="n">
        <v>140</v>
      </c>
      <c r="T425" s="10" t="n">
        <v>0.4211</v>
      </c>
    </row>
    <row r="426">
      <c r="A426" s="7" t="inlineStr">
        <is>
          <t>ORD-2024-1383</t>
        </is>
      </c>
      <c r="B426" s="7" t="inlineStr">
        <is>
          <t>2024-06-20</t>
        </is>
      </c>
      <c r="C426" s="7" t="inlineStr">
        <is>
          <t>TEC-TAB-003</t>
        </is>
      </c>
      <c r="D426" s="7" t="inlineStr">
        <is>
          <t>VisionPad Pro 11"</t>
        </is>
      </c>
      <c r="E426" s="7" t="inlineStr">
        <is>
          <t>Technology</t>
        </is>
      </c>
      <c r="F426" s="7" t="inlineStr">
        <is>
          <t>Phones &amp; Tablets</t>
        </is>
      </c>
      <c r="G426" s="7" t="inlineStr">
        <is>
          <t>East</t>
        </is>
      </c>
      <c r="H426" s="7" t="inlineStr">
        <is>
          <t>New York</t>
        </is>
      </c>
      <c r="I426" s="7" t="inlineStr">
        <is>
          <t>Online</t>
        </is>
      </c>
      <c r="J426" s="7" t="inlineStr">
        <is>
          <t>Corporate</t>
        </is>
      </c>
      <c r="K426" s="8" t="n">
        <v>2</v>
      </c>
      <c r="L426" s="9" t="n">
        <v>649.99</v>
      </c>
      <c r="M426" s="10" t="n">
        <v>0.05</v>
      </c>
      <c r="N426" s="9" t="n">
        <v>487.49</v>
      </c>
      <c r="O426" s="9" t="n">
        <v>1299.98</v>
      </c>
      <c r="P426" s="9" t="n">
        <v>65</v>
      </c>
      <c r="Q426" s="9" t="n">
        <v>1234.98</v>
      </c>
      <c r="R426" s="9" t="n">
        <v>974.98</v>
      </c>
      <c r="S426" s="9" t="n">
        <v>260</v>
      </c>
      <c r="T426" s="10" t="n">
        <v>0.2105</v>
      </c>
    </row>
    <row r="427">
      <c r="A427" s="7" t="inlineStr">
        <is>
          <t>ORD-2024-1339</t>
        </is>
      </c>
      <c r="B427" s="7" t="inlineStr">
        <is>
          <t>2024-06-21</t>
        </is>
      </c>
      <c r="C427" s="7" t="inlineStr">
        <is>
          <t>OFF-DSK-007</t>
        </is>
      </c>
      <c r="D427" s="7" t="inlineStr">
        <is>
          <t>Gel Ergo Mouse Pad &amp; Wrist Rest Combo</t>
        </is>
      </c>
      <c r="E427" s="7" t="inlineStr">
        <is>
          <t>Office Supplies</t>
        </is>
      </c>
      <c r="F427" s="7" t="inlineStr">
        <is>
          <t>Desk Supplies</t>
        </is>
      </c>
      <c r="G427" s="7" t="inlineStr">
        <is>
          <t>Central</t>
        </is>
      </c>
      <c r="H427" s="7" t="inlineStr">
        <is>
          <t>Ohio</t>
        </is>
      </c>
      <c r="I427" s="7" t="inlineStr">
        <is>
          <t>Direct Sales</t>
        </is>
      </c>
      <c r="J427" s="7" t="inlineStr">
        <is>
          <t>Home Office</t>
        </is>
      </c>
      <c r="K427" s="8" t="n">
        <v>3</v>
      </c>
      <c r="L427" s="9" t="n">
        <v>21.99</v>
      </c>
      <c r="M427" s="10" t="n">
        <v>0</v>
      </c>
      <c r="N427" s="9" t="n">
        <v>10.56</v>
      </c>
      <c r="O427" s="9" t="n">
        <v>65.97</v>
      </c>
      <c r="P427" s="9" t="n">
        <v>0</v>
      </c>
      <c r="Q427" s="9" t="n">
        <v>65.97</v>
      </c>
      <c r="R427" s="9" t="n">
        <v>31.68</v>
      </c>
      <c r="S427" s="9" t="n">
        <v>34.29</v>
      </c>
      <c r="T427" s="10" t="n">
        <v>0.5198</v>
      </c>
    </row>
    <row r="428">
      <c r="A428" s="7" t="inlineStr">
        <is>
          <t>ORD-2024-1533</t>
        </is>
      </c>
      <c r="B428" s="7" t="inlineStr">
        <is>
          <t>2024-06-21</t>
        </is>
      </c>
      <c r="C428" s="7" t="inlineStr">
        <is>
          <t>FUR-DSK-004</t>
        </is>
      </c>
      <c r="D428" s="7" t="inlineStr">
        <is>
          <t>Metro Compact Corner Workstation</t>
        </is>
      </c>
      <c r="E428" s="7" t="inlineStr">
        <is>
          <t>Furniture</t>
        </is>
      </c>
      <c r="F428" s="7" t="inlineStr">
        <is>
          <t>Desks &amp; Workstations</t>
        </is>
      </c>
      <c r="G428" s="7" t="inlineStr">
        <is>
          <t>South</t>
        </is>
      </c>
      <c r="H428" s="7" t="inlineStr">
        <is>
          <t>Virginia</t>
        </is>
      </c>
      <c r="I428" s="7" t="inlineStr">
        <is>
          <t>Wholesale</t>
        </is>
      </c>
      <c r="J428" s="7" t="inlineStr">
        <is>
          <t>Consumer</t>
        </is>
      </c>
      <c r="K428" s="8" t="n">
        <v>11</v>
      </c>
      <c r="L428" s="9" t="n">
        <v>329.99</v>
      </c>
      <c r="M428" s="10" t="n">
        <v>0.2</v>
      </c>
      <c r="N428" s="9" t="n">
        <v>250.79</v>
      </c>
      <c r="O428" s="9" t="n">
        <v>3629.89</v>
      </c>
      <c r="P428" s="9" t="n">
        <v>725.98</v>
      </c>
      <c r="Q428" s="9" t="n">
        <v>2903.91</v>
      </c>
      <c r="R428" s="9" t="n">
        <v>2758.69</v>
      </c>
      <c r="S428" s="9" t="n">
        <v>145.22</v>
      </c>
      <c r="T428" s="10" t="n">
        <v>0.05</v>
      </c>
    </row>
    <row r="429">
      <c r="A429" s="7" t="inlineStr">
        <is>
          <t>ORD-2024-1533</t>
        </is>
      </c>
      <c r="B429" s="7" t="inlineStr">
        <is>
          <t>2024-06-21</t>
        </is>
      </c>
      <c r="C429" s="7" t="inlineStr">
        <is>
          <t>OFF-STR-001</t>
        </is>
      </c>
      <c r="D429" s="7" t="inlineStr">
        <is>
          <t>SteelLock 3-Drawer File Cabinet</t>
        </is>
      </c>
      <c r="E429" s="7" t="inlineStr">
        <is>
          <t>Office Supplies</t>
        </is>
      </c>
      <c r="F429" s="7" t="inlineStr">
        <is>
          <t>Storage &amp; Organizers</t>
        </is>
      </c>
      <c r="G429" s="7" t="inlineStr">
        <is>
          <t>South</t>
        </is>
      </c>
      <c r="H429" s="7" t="inlineStr">
        <is>
          <t>Virginia</t>
        </is>
      </c>
      <c r="I429" s="7" t="inlineStr">
        <is>
          <t>Wholesale</t>
        </is>
      </c>
      <c r="J429" s="7" t="inlineStr">
        <is>
          <t>Consumer</t>
        </is>
      </c>
      <c r="K429" s="8" t="n">
        <v>11</v>
      </c>
      <c r="L429" s="9" t="n">
        <v>169.99</v>
      </c>
      <c r="M429" s="10" t="n">
        <v>0.2</v>
      </c>
      <c r="N429" s="9" t="n">
        <v>115.59</v>
      </c>
      <c r="O429" s="9" t="n">
        <v>1869.89</v>
      </c>
      <c r="P429" s="9" t="n">
        <v>373.98</v>
      </c>
      <c r="Q429" s="9" t="n">
        <v>1495.91</v>
      </c>
      <c r="R429" s="9" t="n">
        <v>1271.49</v>
      </c>
      <c r="S429" s="9" t="n">
        <v>224.42</v>
      </c>
      <c r="T429" s="10" t="n">
        <v>0.15</v>
      </c>
    </row>
    <row r="430">
      <c r="A430" s="7" t="inlineStr">
        <is>
          <t>ORD-2024-1535</t>
        </is>
      </c>
      <c r="B430" s="7" t="inlineStr">
        <is>
          <t>2024-06-21</t>
        </is>
      </c>
      <c r="C430" s="7" t="inlineStr">
        <is>
          <t>TEC-TAB-004</t>
        </is>
      </c>
      <c r="D430" s="7" t="inlineStr">
        <is>
          <t>VisionPad Lite 8.5"</t>
        </is>
      </c>
      <c r="E430" s="7" t="inlineStr">
        <is>
          <t>Technology</t>
        </is>
      </c>
      <c r="F430" s="7" t="inlineStr">
        <is>
          <t>Phones &amp; Tablets</t>
        </is>
      </c>
      <c r="G430" s="7" t="inlineStr">
        <is>
          <t>Central</t>
        </is>
      </c>
      <c r="H430" s="7" t="inlineStr">
        <is>
          <t>Ohio</t>
        </is>
      </c>
      <c r="I430" s="7" t="inlineStr">
        <is>
          <t>Retail Partner</t>
        </is>
      </c>
      <c r="J430" s="7" t="inlineStr">
        <is>
          <t>Home Office</t>
        </is>
      </c>
      <c r="K430" s="8" t="n">
        <v>2</v>
      </c>
      <c r="L430" s="9" t="n">
        <v>299.99</v>
      </c>
      <c r="M430" s="10" t="n">
        <v>0</v>
      </c>
      <c r="N430" s="9" t="n">
        <v>245.99</v>
      </c>
      <c r="O430" s="9" t="n">
        <v>599.98</v>
      </c>
      <c r="P430" s="9" t="n">
        <v>0</v>
      </c>
      <c r="Q430" s="9" t="n">
        <v>599.98</v>
      </c>
      <c r="R430" s="9" t="n">
        <v>491.98</v>
      </c>
      <c r="S430" s="9" t="n">
        <v>108</v>
      </c>
      <c r="T430" s="10" t="n">
        <v>0.18</v>
      </c>
    </row>
    <row r="431">
      <c r="A431" s="7" t="inlineStr">
        <is>
          <t>ORD-2024-1535</t>
        </is>
      </c>
      <c r="B431" s="7" t="inlineStr">
        <is>
          <t>2024-06-21</t>
        </is>
      </c>
      <c r="C431" s="7" t="inlineStr">
        <is>
          <t>OFF-PAP-004</t>
        </is>
      </c>
      <c r="D431" s="7" t="inlineStr">
        <is>
          <t>EcoRecycled Copy Paper (5 Reams)</t>
        </is>
      </c>
      <c r="E431" s="7" t="inlineStr">
        <is>
          <t>Office Supplies</t>
        </is>
      </c>
      <c r="F431" s="7" t="inlineStr">
        <is>
          <t>Paper Products</t>
        </is>
      </c>
      <c r="G431" s="7" t="inlineStr">
        <is>
          <t>Central</t>
        </is>
      </c>
      <c r="H431" s="7" t="inlineStr">
        <is>
          <t>Ohio</t>
        </is>
      </c>
      <c r="I431" s="7" t="inlineStr">
        <is>
          <t>Retail Partner</t>
        </is>
      </c>
      <c r="J431" s="7" t="inlineStr">
        <is>
          <t>Home Office</t>
        </is>
      </c>
      <c r="K431" s="8" t="n">
        <v>4</v>
      </c>
      <c r="L431" s="9" t="n">
        <v>32.99</v>
      </c>
      <c r="M431" s="10" t="n">
        <v>0</v>
      </c>
      <c r="N431" s="9" t="n">
        <v>19.79</v>
      </c>
      <c r="O431" s="9" t="n">
        <v>131.96</v>
      </c>
      <c r="P431" s="9" t="n">
        <v>0</v>
      </c>
      <c r="Q431" s="9" t="n">
        <v>131.96</v>
      </c>
      <c r="R431" s="9" t="n">
        <v>79.16</v>
      </c>
      <c r="S431" s="9" t="n">
        <v>52.8</v>
      </c>
      <c r="T431" s="10" t="n">
        <v>0.4001</v>
      </c>
    </row>
    <row r="432">
      <c r="A432" s="7" t="inlineStr">
        <is>
          <t>ORD-2024-1535</t>
        </is>
      </c>
      <c r="B432" s="7" t="inlineStr">
        <is>
          <t>2024-06-21</t>
        </is>
      </c>
      <c r="C432" s="7" t="inlineStr">
        <is>
          <t>OFF-PAP-003</t>
        </is>
      </c>
      <c r="D432" s="7" t="inlineStr">
        <is>
          <t>UltraWhite Premium Multipurpose Paper (Case)</t>
        </is>
      </c>
      <c r="E432" s="7" t="inlineStr">
        <is>
          <t>Office Supplies</t>
        </is>
      </c>
      <c r="F432" s="7" t="inlineStr">
        <is>
          <t>Paper Products</t>
        </is>
      </c>
      <c r="G432" s="7" t="inlineStr">
        <is>
          <t>Central</t>
        </is>
      </c>
      <c r="H432" s="7" t="inlineStr">
        <is>
          <t>Ohio</t>
        </is>
      </c>
      <c r="I432" s="7" t="inlineStr">
        <is>
          <t>Retail Partner</t>
        </is>
      </c>
      <c r="J432" s="7" t="inlineStr">
        <is>
          <t>Home Office</t>
        </is>
      </c>
      <c r="K432" s="8" t="n">
        <v>2</v>
      </c>
      <c r="L432" s="9" t="n">
        <v>54.99</v>
      </c>
      <c r="M432" s="10" t="n">
        <v>0</v>
      </c>
      <c r="N432" s="9" t="n">
        <v>31.89</v>
      </c>
      <c r="O432" s="9" t="n">
        <v>109.98</v>
      </c>
      <c r="P432" s="9" t="n">
        <v>0</v>
      </c>
      <c r="Q432" s="9" t="n">
        <v>109.98</v>
      </c>
      <c r="R432" s="9" t="n">
        <v>63.78</v>
      </c>
      <c r="S432" s="9" t="n">
        <v>46.2</v>
      </c>
      <c r="T432" s="10" t="n">
        <v>0.4201</v>
      </c>
    </row>
    <row r="433">
      <c r="A433" s="7" t="inlineStr">
        <is>
          <t>ORD-2024-1535</t>
        </is>
      </c>
      <c r="B433" s="7" t="inlineStr">
        <is>
          <t>2024-06-21</t>
        </is>
      </c>
      <c r="C433" s="7" t="inlineStr">
        <is>
          <t>TEC-ACC-008</t>
        </is>
      </c>
      <c r="D433" s="7" t="inlineStr">
        <is>
          <t>Precision Laser Bluetooth Mouse</t>
        </is>
      </c>
      <c r="E433" s="7" t="inlineStr">
        <is>
          <t>Technology</t>
        </is>
      </c>
      <c r="F433" s="7" t="inlineStr">
        <is>
          <t>Audio &amp; Accessories</t>
        </is>
      </c>
      <c r="G433" s="7" t="inlineStr">
        <is>
          <t>Central</t>
        </is>
      </c>
      <c r="H433" s="7" t="inlineStr">
        <is>
          <t>Ohio</t>
        </is>
      </c>
      <c r="I433" s="7" t="inlineStr">
        <is>
          <t>Retail Partner</t>
        </is>
      </c>
      <c r="J433" s="7" t="inlineStr">
        <is>
          <t>Home Office</t>
        </is>
      </c>
      <c r="K433" s="8" t="n">
        <v>1</v>
      </c>
      <c r="L433" s="9" t="n">
        <v>49.99</v>
      </c>
      <c r="M433" s="10" t="n">
        <v>0</v>
      </c>
      <c r="N433" s="9" t="n">
        <v>27.49</v>
      </c>
      <c r="O433" s="9" t="n">
        <v>49.99</v>
      </c>
      <c r="P433" s="9" t="n">
        <v>0</v>
      </c>
      <c r="Q433" s="9" t="n">
        <v>49.99</v>
      </c>
      <c r="R433" s="9" t="n">
        <v>27.49</v>
      </c>
      <c r="S433" s="9" t="n">
        <v>22.5</v>
      </c>
      <c r="T433" s="10" t="n">
        <v>0.4501</v>
      </c>
    </row>
    <row r="434">
      <c r="A434" s="7" t="inlineStr">
        <is>
          <t>ORD-2024-1253</t>
        </is>
      </c>
      <c r="B434" s="7" t="inlineStr">
        <is>
          <t>2024-06-22</t>
        </is>
      </c>
      <c r="C434" s="7" t="inlineStr">
        <is>
          <t>OFF-DSK-007</t>
        </is>
      </c>
      <c r="D434" s="7" t="inlineStr">
        <is>
          <t>Gel Ergo Mouse Pad &amp; Wrist Rest Combo</t>
        </is>
      </c>
      <c r="E434" s="7" t="inlineStr">
        <is>
          <t>Office Supplies</t>
        </is>
      </c>
      <c r="F434" s="7" t="inlineStr">
        <is>
          <t>Desk Supplies</t>
        </is>
      </c>
      <c r="G434" s="7" t="inlineStr">
        <is>
          <t>Central</t>
        </is>
      </c>
      <c r="H434" s="7" t="inlineStr">
        <is>
          <t>Texas</t>
        </is>
      </c>
      <c r="I434" s="7" t="inlineStr">
        <is>
          <t>Wholesale</t>
        </is>
      </c>
      <c r="J434" s="7" t="inlineStr">
        <is>
          <t>Corporate</t>
        </is>
      </c>
      <c r="K434" s="8" t="n">
        <v>6</v>
      </c>
      <c r="L434" s="9" t="n">
        <v>21.99</v>
      </c>
      <c r="M434" s="10" t="n">
        <v>0.15</v>
      </c>
      <c r="N434" s="9" t="n">
        <v>10.56</v>
      </c>
      <c r="O434" s="9" t="n">
        <v>131.94</v>
      </c>
      <c r="P434" s="9" t="n">
        <v>19.79</v>
      </c>
      <c r="Q434" s="9" t="n">
        <v>112.15</v>
      </c>
      <c r="R434" s="9" t="n">
        <v>63.36</v>
      </c>
      <c r="S434" s="9" t="n">
        <v>48.79</v>
      </c>
      <c r="T434" s="10" t="n">
        <v>0.435</v>
      </c>
    </row>
    <row r="435">
      <c r="A435" s="7" t="inlineStr">
        <is>
          <t>ORD-2024-1103</t>
        </is>
      </c>
      <c r="B435" s="7" t="inlineStr">
        <is>
          <t>2024-06-23</t>
        </is>
      </c>
      <c r="C435" s="7" t="inlineStr">
        <is>
          <t>OFF-PAP-004</t>
        </is>
      </c>
      <c r="D435" s="7" t="inlineStr">
        <is>
          <t>EcoRecycled Copy Paper (5 Reams)</t>
        </is>
      </c>
      <c r="E435" s="7" t="inlineStr">
        <is>
          <t>Office Supplies</t>
        </is>
      </c>
      <c r="F435" s="7" t="inlineStr">
        <is>
          <t>Paper Products</t>
        </is>
      </c>
      <c r="G435" s="7" t="inlineStr">
        <is>
          <t>South</t>
        </is>
      </c>
      <c r="H435" s="7" t="inlineStr">
        <is>
          <t>North Carolina</t>
        </is>
      </c>
      <c r="I435" s="7" t="inlineStr">
        <is>
          <t>Direct Sales</t>
        </is>
      </c>
      <c r="J435" s="7" t="inlineStr">
        <is>
          <t>Consumer</t>
        </is>
      </c>
      <c r="K435" s="8" t="n">
        <v>2</v>
      </c>
      <c r="L435" s="9" t="n">
        <v>32.99</v>
      </c>
      <c r="M435" s="10" t="n">
        <v>0</v>
      </c>
      <c r="N435" s="9" t="n">
        <v>19.79</v>
      </c>
      <c r="O435" s="9" t="n">
        <v>65.98</v>
      </c>
      <c r="P435" s="9" t="n">
        <v>0</v>
      </c>
      <c r="Q435" s="9" t="n">
        <v>65.98</v>
      </c>
      <c r="R435" s="9" t="n">
        <v>39.58</v>
      </c>
      <c r="S435" s="9" t="n">
        <v>26.4</v>
      </c>
      <c r="T435" s="10" t="n">
        <v>0.4001</v>
      </c>
    </row>
    <row r="436">
      <c r="A436" s="7" t="inlineStr">
        <is>
          <t>ORD-2024-1421</t>
        </is>
      </c>
      <c r="B436" s="7" t="inlineStr">
        <is>
          <t>2024-06-23</t>
        </is>
      </c>
      <c r="C436" s="7" t="inlineStr">
        <is>
          <t>TEC-ACC-007</t>
        </is>
      </c>
      <c r="D436" s="7" t="inlineStr">
        <is>
          <t>ErgoMechanical Wireless Keyboard</t>
        </is>
      </c>
      <c r="E436" s="7" t="inlineStr">
        <is>
          <t>Technology</t>
        </is>
      </c>
      <c r="F436" s="7" t="inlineStr">
        <is>
          <t>Audio &amp; Accessories</t>
        </is>
      </c>
      <c r="G436" s="7" t="inlineStr">
        <is>
          <t>West</t>
        </is>
      </c>
      <c r="H436" s="7" t="inlineStr">
        <is>
          <t>Colorado</t>
        </is>
      </c>
      <c r="I436" s="7" t="inlineStr">
        <is>
          <t>Online</t>
        </is>
      </c>
      <c r="J436" s="7" t="inlineStr">
        <is>
          <t>Consumer</t>
        </is>
      </c>
      <c r="K436" s="8" t="n">
        <v>1</v>
      </c>
      <c r="L436" s="9" t="n">
        <v>109.99</v>
      </c>
      <c r="M436" s="10" t="n">
        <v>0</v>
      </c>
      <c r="N436" s="9" t="n">
        <v>65.98999999999999</v>
      </c>
      <c r="O436" s="9" t="n">
        <v>109.99</v>
      </c>
      <c r="P436" s="9" t="n">
        <v>0</v>
      </c>
      <c r="Q436" s="9" t="n">
        <v>109.99</v>
      </c>
      <c r="R436" s="9" t="n">
        <v>65.98999999999999</v>
      </c>
      <c r="S436" s="9" t="n">
        <v>44</v>
      </c>
      <c r="T436" s="10" t="n">
        <v>0.4</v>
      </c>
    </row>
    <row r="437">
      <c r="A437" s="7" t="inlineStr">
        <is>
          <t>ORD-2024-1608</t>
        </is>
      </c>
      <c r="B437" s="7" t="inlineStr">
        <is>
          <t>2024-06-23</t>
        </is>
      </c>
      <c r="C437" s="7" t="inlineStr">
        <is>
          <t>FUR-BOK-005</t>
        </is>
      </c>
      <c r="D437" s="7" t="inlineStr">
        <is>
          <t>Modular 5-Tier Steel Bookcase</t>
        </is>
      </c>
      <c r="E437" s="7" t="inlineStr">
        <is>
          <t>Furniture</t>
        </is>
      </c>
      <c r="F437" s="7" t="inlineStr">
        <is>
          <t>Bookcases</t>
        </is>
      </c>
      <c r="G437" s="7" t="inlineStr">
        <is>
          <t>East</t>
        </is>
      </c>
      <c r="H437" s="7" t="inlineStr">
        <is>
          <t>Pennsylvania</t>
        </is>
      </c>
      <c r="I437" s="7" t="inlineStr">
        <is>
          <t>Retail Partner</t>
        </is>
      </c>
      <c r="J437" s="7" t="inlineStr">
        <is>
          <t>Corporate</t>
        </is>
      </c>
      <c r="K437" s="8" t="n">
        <v>4</v>
      </c>
      <c r="L437" s="9" t="n">
        <v>189.99</v>
      </c>
      <c r="M437" s="10" t="n">
        <v>0</v>
      </c>
      <c r="N437" s="9" t="n">
        <v>142.49</v>
      </c>
      <c r="O437" s="9" t="n">
        <v>759.96</v>
      </c>
      <c r="P437" s="9" t="n">
        <v>0</v>
      </c>
      <c r="Q437" s="9" t="n">
        <v>759.96</v>
      </c>
      <c r="R437" s="9" t="n">
        <v>569.96</v>
      </c>
      <c r="S437" s="9" t="n">
        <v>190</v>
      </c>
      <c r="T437" s="10" t="n">
        <v>0.25</v>
      </c>
    </row>
    <row r="438">
      <c r="A438" s="7" t="inlineStr">
        <is>
          <t>ORD-2024-1156</t>
        </is>
      </c>
      <c r="B438" s="7" t="inlineStr">
        <is>
          <t>2024-06-24</t>
        </is>
      </c>
      <c r="C438" s="7" t="inlineStr">
        <is>
          <t>OFF-ART-006</t>
        </is>
      </c>
      <c r="D438" s="7" t="inlineStr">
        <is>
          <t>Professional Presentation Dry Erase Board</t>
        </is>
      </c>
      <c r="E438" s="7" t="inlineStr">
        <is>
          <t>Office Supplies</t>
        </is>
      </c>
      <c r="F438" s="7" t="inlineStr">
        <is>
          <t>Presentation &amp; Art</t>
        </is>
      </c>
      <c r="G438" s="7" t="inlineStr">
        <is>
          <t>West</t>
        </is>
      </c>
      <c r="H438" s="7" t="inlineStr">
        <is>
          <t>Oregon</t>
        </is>
      </c>
      <c r="I438" s="7" t="inlineStr">
        <is>
          <t>Wholesale</t>
        </is>
      </c>
      <c r="J438" s="7" t="inlineStr">
        <is>
          <t>Consumer</t>
        </is>
      </c>
      <c r="K438" s="8" t="n">
        <v>13</v>
      </c>
      <c r="L438" s="9" t="n">
        <v>89.98999999999999</v>
      </c>
      <c r="M438" s="10" t="n">
        <v>0.15</v>
      </c>
      <c r="N438" s="9" t="n">
        <v>53.99</v>
      </c>
      <c r="O438" s="9" t="n">
        <v>1169.87</v>
      </c>
      <c r="P438" s="9" t="n">
        <v>175.48</v>
      </c>
      <c r="Q438" s="9" t="n">
        <v>994.39</v>
      </c>
      <c r="R438" s="9" t="n">
        <v>701.87</v>
      </c>
      <c r="S438" s="9" t="n">
        <v>292.52</v>
      </c>
      <c r="T438" s="10" t="n">
        <v>0.2942</v>
      </c>
    </row>
    <row r="439">
      <c r="A439" s="7" t="inlineStr">
        <is>
          <t>ORD-2024-1156</t>
        </is>
      </c>
      <c r="B439" s="7" t="inlineStr">
        <is>
          <t>2024-06-24</t>
        </is>
      </c>
      <c r="C439" s="7" t="inlineStr">
        <is>
          <t>OFF-STR-002</t>
        </is>
      </c>
      <c r="D439" s="7" t="inlineStr">
        <is>
          <t>Stackable Heavy-Duty Storage Bins (4-Pk)</t>
        </is>
      </c>
      <c r="E439" s="7" t="inlineStr">
        <is>
          <t>Office Supplies</t>
        </is>
      </c>
      <c r="F439" s="7" t="inlineStr">
        <is>
          <t>Storage &amp; Organizers</t>
        </is>
      </c>
      <c r="G439" s="7" t="inlineStr">
        <is>
          <t>West</t>
        </is>
      </c>
      <c r="H439" s="7" t="inlineStr">
        <is>
          <t>Oregon</t>
        </is>
      </c>
      <c r="I439" s="7" t="inlineStr">
        <is>
          <t>Wholesale</t>
        </is>
      </c>
      <c r="J439" s="7" t="inlineStr">
        <is>
          <t>Consumer</t>
        </is>
      </c>
      <c r="K439" s="8" t="n">
        <v>12</v>
      </c>
      <c r="L439" s="9" t="n">
        <v>44.99</v>
      </c>
      <c r="M439" s="10" t="n">
        <v>0.1</v>
      </c>
      <c r="N439" s="9" t="n">
        <v>24.74</v>
      </c>
      <c r="O439" s="9" t="n">
        <v>539.88</v>
      </c>
      <c r="P439" s="9" t="n">
        <v>53.99</v>
      </c>
      <c r="Q439" s="9" t="n">
        <v>485.89</v>
      </c>
      <c r="R439" s="9" t="n">
        <v>296.88</v>
      </c>
      <c r="S439" s="9" t="n">
        <v>189.01</v>
      </c>
      <c r="T439" s="10" t="n">
        <v>0.389</v>
      </c>
    </row>
    <row r="440">
      <c r="A440" s="7" t="inlineStr">
        <is>
          <t>ORD-2024-1156</t>
        </is>
      </c>
      <c r="B440" s="7" t="inlineStr">
        <is>
          <t>2024-06-24</t>
        </is>
      </c>
      <c r="C440" s="7" t="inlineStr">
        <is>
          <t>FUR-LGT-006</t>
        </is>
      </c>
      <c r="D440" s="7" t="inlineStr">
        <is>
          <t>Architect LED Desk Task Lamp</t>
        </is>
      </c>
      <c r="E440" s="7" t="inlineStr">
        <is>
          <t>Furniture</t>
        </is>
      </c>
      <c r="F440" s="7" t="inlineStr">
        <is>
          <t>Lighting</t>
        </is>
      </c>
      <c r="G440" s="7" t="inlineStr">
        <is>
          <t>West</t>
        </is>
      </c>
      <c r="H440" s="7" t="inlineStr">
        <is>
          <t>Oregon</t>
        </is>
      </c>
      <c r="I440" s="7" t="inlineStr">
        <is>
          <t>Wholesale</t>
        </is>
      </c>
      <c r="J440" s="7" t="inlineStr">
        <is>
          <t>Consumer</t>
        </is>
      </c>
      <c r="K440" s="8" t="n">
        <v>14</v>
      </c>
      <c r="L440" s="9" t="n">
        <v>69.98999999999999</v>
      </c>
      <c r="M440" s="10" t="n">
        <v>0.15</v>
      </c>
      <c r="N440" s="9" t="n">
        <v>43.39</v>
      </c>
      <c r="O440" s="9" t="n">
        <v>979.86</v>
      </c>
      <c r="P440" s="9" t="n">
        <v>146.98</v>
      </c>
      <c r="Q440" s="9" t="n">
        <v>832.88</v>
      </c>
      <c r="R440" s="9" t="n">
        <v>607.46</v>
      </c>
      <c r="S440" s="9" t="n">
        <v>225.42</v>
      </c>
      <c r="T440" s="10" t="n">
        <v>0.2707</v>
      </c>
    </row>
    <row r="441">
      <c r="A441" s="7" t="inlineStr">
        <is>
          <t>ORD-2024-1562</t>
        </is>
      </c>
      <c r="B441" s="7" t="inlineStr">
        <is>
          <t>2024-06-24</t>
        </is>
      </c>
      <c r="C441" s="7" t="inlineStr">
        <is>
          <t>OFF-STR-002</t>
        </is>
      </c>
      <c r="D441" s="7" t="inlineStr">
        <is>
          <t>Stackable Heavy-Duty Storage Bins (4-Pk)</t>
        </is>
      </c>
      <c r="E441" s="7" t="inlineStr">
        <is>
          <t>Office Supplies</t>
        </is>
      </c>
      <c r="F441" s="7" t="inlineStr">
        <is>
          <t>Storage &amp; Organizers</t>
        </is>
      </c>
      <c r="G441" s="7" t="inlineStr">
        <is>
          <t>West</t>
        </is>
      </c>
      <c r="H441" s="7" t="inlineStr">
        <is>
          <t>California</t>
        </is>
      </c>
      <c r="I441" s="7" t="inlineStr">
        <is>
          <t>Direct Sales</t>
        </is>
      </c>
      <c r="J441" s="7" t="inlineStr">
        <is>
          <t>Corporate</t>
        </is>
      </c>
      <c r="K441" s="8" t="n">
        <v>3</v>
      </c>
      <c r="L441" s="9" t="n">
        <v>44.99</v>
      </c>
      <c r="M441" s="10" t="n">
        <v>0</v>
      </c>
      <c r="N441" s="9" t="n">
        <v>24.74</v>
      </c>
      <c r="O441" s="9" t="n">
        <v>134.97</v>
      </c>
      <c r="P441" s="9" t="n">
        <v>0</v>
      </c>
      <c r="Q441" s="9" t="n">
        <v>134.97</v>
      </c>
      <c r="R441" s="9" t="n">
        <v>74.22</v>
      </c>
      <c r="S441" s="9" t="n">
        <v>60.75</v>
      </c>
      <c r="T441" s="10" t="n">
        <v>0.4501</v>
      </c>
    </row>
    <row r="442">
      <c r="A442" s="7" t="inlineStr">
        <is>
          <t>ORD-2024-1205</t>
        </is>
      </c>
      <c r="B442" s="7" t="inlineStr">
        <is>
          <t>2024-06-25</t>
        </is>
      </c>
      <c r="C442" s="7" t="inlineStr">
        <is>
          <t>OFF-STR-001</t>
        </is>
      </c>
      <c r="D442" s="7" t="inlineStr">
        <is>
          <t>SteelLock 3-Drawer File Cabinet</t>
        </is>
      </c>
      <c r="E442" s="7" t="inlineStr">
        <is>
          <t>Office Supplies</t>
        </is>
      </c>
      <c r="F442" s="7" t="inlineStr">
        <is>
          <t>Storage &amp; Organizers</t>
        </is>
      </c>
      <c r="G442" s="7" t="inlineStr">
        <is>
          <t>Central</t>
        </is>
      </c>
      <c r="H442" s="7" t="inlineStr">
        <is>
          <t>Illinois</t>
        </is>
      </c>
      <c r="I442" s="7" t="inlineStr">
        <is>
          <t>Online</t>
        </is>
      </c>
      <c r="J442" s="7" t="inlineStr">
        <is>
          <t>Home Office</t>
        </is>
      </c>
      <c r="K442" s="8" t="n">
        <v>1</v>
      </c>
      <c r="L442" s="9" t="n">
        <v>169.99</v>
      </c>
      <c r="M442" s="10" t="n">
        <v>0.1</v>
      </c>
      <c r="N442" s="9" t="n">
        <v>115.59</v>
      </c>
      <c r="O442" s="9" t="n">
        <v>169.99</v>
      </c>
      <c r="P442" s="9" t="n">
        <v>17</v>
      </c>
      <c r="Q442" s="9" t="n">
        <v>152.99</v>
      </c>
      <c r="R442" s="9" t="n">
        <v>115.59</v>
      </c>
      <c r="S442" s="9" t="n">
        <v>37.4</v>
      </c>
      <c r="T442" s="10" t="n">
        <v>0.2445</v>
      </c>
    </row>
    <row r="443">
      <c r="A443" s="7" t="inlineStr">
        <is>
          <t>ORD-2024-1337</t>
        </is>
      </c>
      <c r="B443" s="7" t="inlineStr">
        <is>
          <t>2024-06-25</t>
        </is>
      </c>
      <c r="C443" s="7" t="inlineStr">
        <is>
          <t>TEC-ACC-006</t>
        </is>
      </c>
      <c r="D443" s="7" t="inlineStr">
        <is>
          <t>MultiPort Thunderbolt 4 Dock</t>
        </is>
      </c>
      <c r="E443" s="7" t="inlineStr">
        <is>
          <t>Technology</t>
        </is>
      </c>
      <c r="F443" s="7" t="inlineStr">
        <is>
          <t>Audio &amp; Accessories</t>
        </is>
      </c>
      <c r="G443" s="7" t="inlineStr">
        <is>
          <t>West</t>
        </is>
      </c>
      <c r="H443" s="7" t="inlineStr">
        <is>
          <t>California</t>
        </is>
      </c>
      <c r="I443" s="7" t="inlineStr">
        <is>
          <t>Retail Partner</t>
        </is>
      </c>
      <c r="J443" s="7" t="inlineStr">
        <is>
          <t>Home Office</t>
        </is>
      </c>
      <c r="K443" s="8" t="n">
        <v>4</v>
      </c>
      <c r="L443" s="9" t="n">
        <v>149.99</v>
      </c>
      <c r="M443" s="10" t="n">
        <v>0</v>
      </c>
      <c r="N443" s="9" t="n">
        <v>98.98999999999999</v>
      </c>
      <c r="O443" s="9" t="n">
        <v>599.96</v>
      </c>
      <c r="P443" s="9" t="n">
        <v>0</v>
      </c>
      <c r="Q443" s="9" t="n">
        <v>599.96</v>
      </c>
      <c r="R443" s="9" t="n">
        <v>395.96</v>
      </c>
      <c r="S443" s="9" t="n">
        <v>204</v>
      </c>
      <c r="T443" s="10" t="n">
        <v>0.34</v>
      </c>
    </row>
    <row r="444">
      <c r="A444" s="7" t="inlineStr">
        <is>
          <t>ORD-2024-1010</t>
        </is>
      </c>
      <c r="B444" s="7" t="inlineStr">
        <is>
          <t>2024-06-26</t>
        </is>
      </c>
      <c r="C444" s="7" t="inlineStr">
        <is>
          <t>OFF-STR-001</t>
        </is>
      </c>
      <c r="D444" s="7" t="inlineStr">
        <is>
          <t>SteelLock 3-Drawer File Cabinet</t>
        </is>
      </c>
      <c r="E444" s="7" t="inlineStr">
        <is>
          <t>Office Supplies</t>
        </is>
      </c>
      <c r="F444" s="7" t="inlineStr">
        <is>
          <t>Storage &amp; Organizers</t>
        </is>
      </c>
      <c r="G444" s="7" t="inlineStr">
        <is>
          <t>West</t>
        </is>
      </c>
      <c r="H444" s="7" t="inlineStr">
        <is>
          <t>California</t>
        </is>
      </c>
      <c r="I444" s="7" t="inlineStr">
        <is>
          <t>Retail Partner</t>
        </is>
      </c>
      <c r="J444" s="7" t="inlineStr">
        <is>
          <t>Consumer</t>
        </is>
      </c>
      <c r="K444" s="8" t="n">
        <v>1</v>
      </c>
      <c r="L444" s="9" t="n">
        <v>169.99</v>
      </c>
      <c r="M444" s="10" t="n">
        <v>0</v>
      </c>
      <c r="N444" s="9" t="n">
        <v>115.59</v>
      </c>
      <c r="O444" s="9" t="n">
        <v>169.99</v>
      </c>
      <c r="P444" s="9" t="n">
        <v>0</v>
      </c>
      <c r="Q444" s="9" t="n">
        <v>169.99</v>
      </c>
      <c r="R444" s="9" t="n">
        <v>115.59</v>
      </c>
      <c r="S444" s="9" t="n">
        <v>54.4</v>
      </c>
      <c r="T444" s="10" t="n">
        <v>0.32</v>
      </c>
    </row>
    <row r="445">
      <c r="A445" s="7" t="inlineStr">
        <is>
          <t>ORD-2024-1657</t>
        </is>
      </c>
      <c r="B445" s="7" t="inlineStr">
        <is>
          <t>2024-06-26</t>
        </is>
      </c>
      <c r="C445" s="7" t="inlineStr">
        <is>
          <t>FUR-DSK-004</t>
        </is>
      </c>
      <c r="D445" s="7" t="inlineStr">
        <is>
          <t>Metro Compact Corner Workstation</t>
        </is>
      </c>
      <c r="E445" s="7" t="inlineStr">
        <is>
          <t>Furniture</t>
        </is>
      </c>
      <c r="F445" s="7" t="inlineStr">
        <is>
          <t>Desks &amp; Workstations</t>
        </is>
      </c>
      <c r="G445" s="7" t="inlineStr">
        <is>
          <t>West</t>
        </is>
      </c>
      <c r="H445" s="7" t="inlineStr">
        <is>
          <t>Washington</t>
        </is>
      </c>
      <c r="I445" s="7" t="inlineStr">
        <is>
          <t>Online</t>
        </is>
      </c>
      <c r="J445" s="7" t="inlineStr">
        <is>
          <t>Corporate</t>
        </is>
      </c>
      <c r="K445" s="8" t="n">
        <v>4</v>
      </c>
      <c r="L445" s="9" t="n">
        <v>329.99</v>
      </c>
      <c r="M445" s="10" t="n">
        <v>0</v>
      </c>
      <c r="N445" s="9" t="n">
        <v>250.79</v>
      </c>
      <c r="O445" s="9" t="n">
        <v>1319.96</v>
      </c>
      <c r="P445" s="9" t="n">
        <v>0</v>
      </c>
      <c r="Q445" s="9" t="n">
        <v>1319.96</v>
      </c>
      <c r="R445" s="9" t="n">
        <v>1003.16</v>
      </c>
      <c r="S445" s="9" t="n">
        <v>316.8</v>
      </c>
      <c r="T445" s="10" t="n">
        <v>0.24</v>
      </c>
    </row>
    <row r="446">
      <c r="A446" s="7" t="inlineStr">
        <is>
          <t>ORD-2024-1601</t>
        </is>
      </c>
      <c r="B446" s="7" t="inlineStr">
        <is>
          <t>2024-06-27</t>
        </is>
      </c>
      <c r="C446" s="7" t="inlineStr">
        <is>
          <t>FUR-DSK-003</t>
        </is>
      </c>
      <c r="D446" s="7" t="inlineStr">
        <is>
          <t>ApexMotor Dual-Motor Standing Desk</t>
        </is>
      </c>
      <c r="E446" s="7" t="inlineStr">
        <is>
          <t>Furniture</t>
        </is>
      </c>
      <c r="F446" s="7" t="inlineStr">
        <is>
          <t>Desks &amp; Workstations</t>
        </is>
      </c>
      <c r="G446" s="7" t="inlineStr">
        <is>
          <t>West</t>
        </is>
      </c>
      <c r="H446" s="7" t="inlineStr">
        <is>
          <t>California</t>
        </is>
      </c>
      <c r="I446" s="7" t="inlineStr">
        <is>
          <t>Online</t>
        </is>
      </c>
      <c r="J446" s="7" t="inlineStr">
        <is>
          <t>Corporate</t>
        </is>
      </c>
      <c r="K446" s="8" t="n">
        <v>6</v>
      </c>
      <c r="L446" s="9" t="n">
        <v>549.99</v>
      </c>
      <c r="M446" s="10" t="n">
        <v>0.1</v>
      </c>
      <c r="N446" s="9" t="n">
        <v>439.99</v>
      </c>
      <c r="O446" s="9" t="n">
        <v>3299.94</v>
      </c>
      <c r="P446" s="9" t="n">
        <v>329.99</v>
      </c>
      <c r="Q446" s="9" t="n">
        <v>2969.95</v>
      </c>
      <c r="R446" s="9" t="n">
        <v>2639.94</v>
      </c>
      <c r="S446" s="9" t="n">
        <v>330.01</v>
      </c>
      <c r="T446" s="10" t="n">
        <v>0.1111</v>
      </c>
    </row>
    <row r="447">
      <c r="A447" s="7" t="inlineStr">
        <is>
          <t>ORD-2024-1014</t>
        </is>
      </c>
      <c r="B447" s="7" t="inlineStr">
        <is>
          <t>2024-06-28</t>
        </is>
      </c>
      <c r="C447" s="7" t="inlineStr">
        <is>
          <t>TEC-TAB-004</t>
        </is>
      </c>
      <c r="D447" s="7" t="inlineStr">
        <is>
          <t>VisionPad Lite 8.5"</t>
        </is>
      </c>
      <c r="E447" s="7" t="inlineStr">
        <is>
          <t>Technology</t>
        </is>
      </c>
      <c r="F447" s="7" t="inlineStr">
        <is>
          <t>Phones &amp; Tablets</t>
        </is>
      </c>
      <c r="G447" s="7" t="inlineStr">
        <is>
          <t>Central</t>
        </is>
      </c>
      <c r="H447" s="7" t="inlineStr">
        <is>
          <t>Texas</t>
        </is>
      </c>
      <c r="I447" s="7" t="inlineStr">
        <is>
          <t>Direct Sales</t>
        </is>
      </c>
      <c r="J447" s="7" t="inlineStr">
        <is>
          <t>Home Office</t>
        </is>
      </c>
      <c r="K447" s="8" t="n">
        <v>4</v>
      </c>
      <c r="L447" s="9" t="n">
        <v>299.99</v>
      </c>
      <c r="M447" s="10" t="n">
        <v>0</v>
      </c>
      <c r="N447" s="9" t="n">
        <v>245.99</v>
      </c>
      <c r="O447" s="9" t="n">
        <v>1199.96</v>
      </c>
      <c r="P447" s="9" t="n">
        <v>0</v>
      </c>
      <c r="Q447" s="9" t="n">
        <v>1199.96</v>
      </c>
      <c r="R447" s="9" t="n">
        <v>983.96</v>
      </c>
      <c r="S447" s="9" t="n">
        <v>216</v>
      </c>
      <c r="T447" s="10" t="n">
        <v>0.18</v>
      </c>
    </row>
    <row r="448">
      <c r="A448" s="7" t="inlineStr">
        <is>
          <t>ORD-2024-1500</t>
        </is>
      </c>
      <c r="B448" s="7" t="inlineStr">
        <is>
          <t>2024-06-28</t>
        </is>
      </c>
      <c r="C448" s="7" t="inlineStr">
        <is>
          <t>TEC-LAP-002</t>
        </is>
      </c>
      <c r="D448" s="7" t="inlineStr">
        <is>
          <t>Apex Gaming Laptop 17"</t>
        </is>
      </c>
      <c r="E448" s="7" t="inlineStr">
        <is>
          <t>Technology</t>
        </is>
      </c>
      <c r="F448" s="7" t="inlineStr">
        <is>
          <t>Laptops</t>
        </is>
      </c>
      <c r="G448" s="7" t="inlineStr">
        <is>
          <t>Central</t>
        </is>
      </c>
      <c r="H448" s="7" t="inlineStr">
        <is>
          <t>Ohio</t>
        </is>
      </c>
      <c r="I448" s="7" t="inlineStr">
        <is>
          <t>Retail Partner</t>
        </is>
      </c>
      <c r="J448" s="7" t="inlineStr">
        <is>
          <t>Consumer</t>
        </is>
      </c>
      <c r="K448" s="8" t="n">
        <v>1</v>
      </c>
      <c r="L448" s="9" t="n">
        <v>1499.99</v>
      </c>
      <c r="M448" s="10" t="n">
        <v>0.25</v>
      </c>
      <c r="N448" s="9" t="n">
        <v>1259.99</v>
      </c>
      <c r="O448" s="9" t="n">
        <v>1499.99</v>
      </c>
      <c r="P448" s="9" t="n">
        <v>375</v>
      </c>
      <c r="Q448" s="9" t="n">
        <v>1124.99</v>
      </c>
      <c r="R448" s="9" t="n">
        <v>1259.99</v>
      </c>
      <c r="S448" s="9" t="n">
        <v>-135</v>
      </c>
      <c r="T448" s="10" t="n">
        <v>-0.12</v>
      </c>
    </row>
    <row r="449">
      <c r="A449" s="7" t="inlineStr">
        <is>
          <t>ORD-2024-1500</t>
        </is>
      </c>
      <c r="B449" s="7" t="inlineStr">
        <is>
          <t>2024-06-28</t>
        </is>
      </c>
      <c r="C449" s="7" t="inlineStr">
        <is>
          <t>FUR-CHA-002</t>
        </is>
      </c>
      <c r="D449" s="7" t="inlineStr">
        <is>
          <t>AeroTask Operator Task Chair</t>
        </is>
      </c>
      <c r="E449" s="7" t="inlineStr">
        <is>
          <t>Furniture</t>
        </is>
      </c>
      <c r="F449" s="7" t="inlineStr">
        <is>
          <t>Chairs</t>
        </is>
      </c>
      <c r="G449" s="7" t="inlineStr">
        <is>
          <t>Central</t>
        </is>
      </c>
      <c r="H449" s="7" t="inlineStr">
        <is>
          <t>Ohio</t>
        </is>
      </c>
      <c r="I449" s="7" t="inlineStr">
        <is>
          <t>Retail Partner</t>
        </is>
      </c>
      <c r="J449" s="7" t="inlineStr">
        <is>
          <t>Consumer</t>
        </is>
      </c>
      <c r="K449" s="8" t="n">
        <v>1</v>
      </c>
      <c r="L449" s="9" t="n">
        <v>219.99</v>
      </c>
      <c r="M449" s="10" t="n">
        <v>0</v>
      </c>
      <c r="N449" s="9" t="n">
        <v>171.59</v>
      </c>
      <c r="O449" s="9" t="n">
        <v>219.99</v>
      </c>
      <c r="P449" s="9" t="n">
        <v>0</v>
      </c>
      <c r="Q449" s="9" t="n">
        <v>219.99</v>
      </c>
      <c r="R449" s="9" t="n">
        <v>171.59</v>
      </c>
      <c r="S449" s="9" t="n">
        <v>48.4</v>
      </c>
      <c r="T449" s="10" t="n">
        <v>0.22</v>
      </c>
    </row>
    <row r="450">
      <c r="A450" s="7" t="inlineStr">
        <is>
          <t>ORD-2024-1233</t>
        </is>
      </c>
      <c r="B450" s="7" t="inlineStr">
        <is>
          <t>2024-06-29</t>
        </is>
      </c>
      <c r="C450" s="7" t="inlineStr">
        <is>
          <t>OFF-PAP-004</t>
        </is>
      </c>
      <c r="D450" s="7" t="inlineStr">
        <is>
          <t>EcoRecycled Copy Paper (5 Reams)</t>
        </is>
      </c>
      <c r="E450" s="7" t="inlineStr">
        <is>
          <t>Office Supplies</t>
        </is>
      </c>
      <c r="F450" s="7" t="inlineStr">
        <is>
          <t>Paper Products</t>
        </is>
      </c>
      <c r="G450" s="7" t="inlineStr">
        <is>
          <t>East</t>
        </is>
      </c>
      <c r="H450" s="7" t="inlineStr">
        <is>
          <t>New Jersey</t>
        </is>
      </c>
      <c r="I450" s="7" t="inlineStr">
        <is>
          <t>Retail Partner</t>
        </is>
      </c>
      <c r="J450" s="7" t="inlineStr">
        <is>
          <t>Consumer</t>
        </is>
      </c>
      <c r="K450" s="8" t="n">
        <v>1</v>
      </c>
      <c r="L450" s="9" t="n">
        <v>32.99</v>
      </c>
      <c r="M450" s="10" t="n">
        <v>0</v>
      </c>
      <c r="N450" s="9" t="n">
        <v>19.79</v>
      </c>
      <c r="O450" s="9" t="n">
        <v>32.99</v>
      </c>
      <c r="P450" s="9" t="n">
        <v>0</v>
      </c>
      <c r="Q450" s="9" t="n">
        <v>32.99</v>
      </c>
      <c r="R450" s="9" t="n">
        <v>19.79</v>
      </c>
      <c r="S450" s="9" t="n">
        <v>13.2</v>
      </c>
      <c r="T450" s="10" t="n">
        <v>0.4001</v>
      </c>
    </row>
    <row r="451">
      <c r="A451" s="7" t="inlineStr">
        <is>
          <t>ORD-2024-1548</t>
        </is>
      </c>
      <c r="B451" s="7" t="inlineStr">
        <is>
          <t>2024-06-29</t>
        </is>
      </c>
      <c r="C451" s="7" t="inlineStr">
        <is>
          <t>OFF-DSK-008</t>
        </is>
      </c>
      <c r="D451" s="7" t="inlineStr">
        <is>
          <t>Steel Desktop Mesh Organizer Caddy</t>
        </is>
      </c>
      <c r="E451" s="7" t="inlineStr">
        <is>
          <t>Office Supplies</t>
        </is>
      </c>
      <c r="F451" s="7" t="inlineStr">
        <is>
          <t>Desk Supplies</t>
        </is>
      </c>
      <c r="G451" s="7" t="inlineStr">
        <is>
          <t>West</t>
        </is>
      </c>
      <c r="H451" s="7" t="inlineStr">
        <is>
          <t>Washington</t>
        </is>
      </c>
      <c r="I451" s="7" t="inlineStr">
        <is>
          <t>Online</t>
        </is>
      </c>
      <c r="J451" s="7" t="inlineStr">
        <is>
          <t>Consumer</t>
        </is>
      </c>
      <c r="K451" s="8" t="n">
        <v>2</v>
      </c>
      <c r="L451" s="9" t="n">
        <v>18.99</v>
      </c>
      <c r="M451" s="10" t="n">
        <v>0.05</v>
      </c>
      <c r="N451" s="9" t="n">
        <v>8.550000000000001</v>
      </c>
      <c r="O451" s="9" t="n">
        <v>37.98</v>
      </c>
      <c r="P451" s="9" t="n">
        <v>1.9</v>
      </c>
      <c r="Q451" s="9" t="n">
        <v>36.08</v>
      </c>
      <c r="R451" s="9" t="n">
        <v>17.1</v>
      </c>
      <c r="S451" s="9" t="n">
        <v>18.98</v>
      </c>
      <c r="T451" s="10" t="n">
        <v>0.5261</v>
      </c>
    </row>
    <row r="452">
      <c r="A452" s="7" t="inlineStr">
        <is>
          <t>ORD-2024-1501</t>
        </is>
      </c>
      <c r="B452" s="7" t="inlineStr">
        <is>
          <t>2024-06-30</t>
        </is>
      </c>
      <c r="C452" s="7" t="inlineStr">
        <is>
          <t>FUR-CHA-002</t>
        </is>
      </c>
      <c r="D452" s="7" t="inlineStr">
        <is>
          <t>AeroTask Operator Task Chair</t>
        </is>
      </c>
      <c r="E452" s="7" t="inlineStr">
        <is>
          <t>Furniture</t>
        </is>
      </c>
      <c r="F452" s="7" t="inlineStr">
        <is>
          <t>Chairs</t>
        </is>
      </c>
      <c r="G452" s="7" t="inlineStr">
        <is>
          <t>East</t>
        </is>
      </c>
      <c r="H452" s="7" t="inlineStr">
        <is>
          <t>Massachusetts</t>
        </is>
      </c>
      <c r="I452" s="7" t="inlineStr">
        <is>
          <t>Wholesale</t>
        </is>
      </c>
      <c r="J452" s="7" t="inlineStr">
        <is>
          <t>Home Office</t>
        </is>
      </c>
      <c r="K452" s="8" t="n">
        <v>12</v>
      </c>
      <c r="L452" s="9" t="n">
        <v>219.99</v>
      </c>
      <c r="M452" s="10" t="n">
        <v>0.1</v>
      </c>
      <c r="N452" s="9" t="n">
        <v>171.59</v>
      </c>
      <c r="O452" s="9" t="n">
        <v>2639.88</v>
      </c>
      <c r="P452" s="9" t="n">
        <v>263.99</v>
      </c>
      <c r="Q452" s="9" t="n">
        <v>2375.89</v>
      </c>
      <c r="R452" s="9" t="n">
        <v>2059.08</v>
      </c>
      <c r="S452" s="9" t="n">
        <v>316.81</v>
      </c>
      <c r="T452" s="10" t="n">
        <v>0.1333</v>
      </c>
    </row>
    <row r="453">
      <c r="A453" s="7" t="inlineStr">
        <is>
          <t>ORD-2024-1518</t>
        </is>
      </c>
      <c r="B453" s="7" t="inlineStr">
        <is>
          <t>2024-06-30</t>
        </is>
      </c>
      <c r="C453" s="7" t="inlineStr">
        <is>
          <t>OFF-PAP-004</t>
        </is>
      </c>
      <c r="D453" s="7" t="inlineStr">
        <is>
          <t>EcoRecycled Copy Paper (5 Reams)</t>
        </is>
      </c>
      <c r="E453" s="7" t="inlineStr">
        <is>
          <t>Office Supplies</t>
        </is>
      </c>
      <c r="F453" s="7" t="inlineStr">
        <is>
          <t>Paper Products</t>
        </is>
      </c>
      <c r="G453" s="7" t="inlineStr">
        <is>
          <t>Central</t>
        </is>
      </c>
      <c r="H453" s="7" t="inlineStr">
        <is>
          <t>Michigan</t>
        </is>
      </c>
      <c r="I453" s="7" t="inlineStr">
        <is>
          <t>Direct Sales</t>
        </is>
      </c>
      <c r="J453" s="7" t="inlineStr">
        <is>
          <t>Home Office</t>
        </is>
      </c>
      <c r="K453" s="8" t="n">
        <v>2</v>
      </c>
      <c r="L453" s="9" t="n">
        <v>32.99</v>
      </c>
      <c r="M453" s="10" t="n">
        <v>0</v>
      </c>
      <c r="N453" s="9" t="n">
        <v>19.79</v>
      </c>
      <c r="O453" s="9" t="n">
        <v>65.98</v>
      </c>
      <c r="P453" s="9" t="n">
        <v>0</v>
      </c>
      <c r="Q453" s="9" t="n">
        <v>65.98</v>
      </c>
      <c r="R453" s="9" t="n">
        <v>39.58</v>
      </c>
      <c r="S453" s="9" t="n">
        <v>26.4</v>
      </c>
      <c r="T453" s="10" t="n">
        <v>0.4001</v>
      </c>
    </row>
    <row r="454">
      <c r="A454" s="7" t="inlineStr">
        <is>
          <t>ORD-2024-1135</t>
        </is>
      </c>
      <c r="B454" s="7" t="inlineStr">
        <is>
          <t>2024-07-01</t>
        </is>
      </c>
      <c r="C454" s="7" t="inlineStr">
        <is>
          <t>OFF-BIN-005</t>
        </is>
      </c>
      <c r="D454" s="7" t="inlineStr">
        <is>
          <t>Heavy-Duty D-Ring Presentation Binder (6-Pk)</t>
        </is>
      </c>
      <c r="E454" s="7" t="inlineStr">
        <is>
          <t>Office Supplies</t>
        </is>
      </c>
      <c r="F454" s="7" t="inlineStr">
        <is>
          <t>Binders &amp; Fasteners</t>
        </is>
      </c>
      <c r="G454" s="7" t="inlineStr">
        <is>
          <t>East</t>
        </is>
      </c>
      <c r="H454" s="7" t="inlineStr">
        <is>
          <t>New Jersey</t>
        </is>
      </c>
      <c r="I454" s="7" t="inlineStr">
        <is>
          <t>Online</t>
        </is>
      </c>
      <c r="J454" s="7" t="inlineStr">
        <is>
          <t>Consumer</t>
        </is>
      </c>
      <c r="K454" s="8" t="n">
        <v>1</v>
      </c>
      <c r="L454" s="9" t="n">
        <v>27.99</v>
      </c>
      <c r="M454" s="10" t="n">
        <v>0.1</v>
      </c>
      <c r="N454" s="9" t="n">
        <v>13.99</v>
      </c>
      <c r="O454" s="9" t="n">
        <v>27.99</v>
      </c>
      <c r="P454" s="9" t="n">
        <v>2.8</v>
      </c>
      <c r="Q454" s="9" t="n">
        <v>25.19</v>
      </c>
      <c r="R454" s="9" t="n">
        <v>13.99</v>
      </c>
      <c r="S454" s="9" t="n">
        <v>11.2</v>
      </c>
      <c r="T454" s="10" t="n">
        <v>0.4446</v>
      </c>
    </row>
    <row r="455">
      <c r="A455" s="7" t="inlineStr">
        <is>
          <t>ORD-2024-1135</t>
        </is>
      </c>
      <c r="B455" s="7" t="inlineStr">
        <is>
          <t>2024-07-01</t>
        </is>
      </c>
      <c r="C455" s="7" t="inlineStr">
        <is>
          <t>TEC-TAB-003</t>
        </is>
      </c>
      <c r="D455" s="7" t="inlineStr">
        <is>
          <t>VisionPad Pro 11"</t>
        </is>
      </c>
      <c r="E455" s="7" t="inlineStr">
        <is>
          <t>Technology</t>
        </is>
      </c>
      <c r="F455" s="7" t="inlineStr">
        <is>
          <t>Phones &amp; Tablets</t>
        </is>
      </c>
      <c r="G455" s="7" t="inlineStr">
        <is>
          <t>East</t>
        </is>
      </c>
      <c r="H455" s="7" t="inlineStr">
        <is>
          <t>New Jersey</t>
        </is>
      </c>
      <c r="I455" s="7" t="inlineStr">
        <is>
          <t>Online</t>
        </is>
      </c>
      <c r="J455" s="7" t="inlineStr">
        <is>
          <t>Consumer</t>
        </is>
      </c>
      <c r="K455" s="8" t="n">
        <v>4</v>
      </c>
      <c r="L455" s="9" t="n">
        <v>649.99</v>
      </c>
      <c r="M455" s="10" t="n">
        <v>0</v>
      </c>
      <c r="N455" s="9" t="n">
        <v>487.49</v>
      </c>
      <c r="O455" s="9" t="n">
        <v>2599.96</v>
      </c>
      <c r="P455" s="9" t="n">
        <v>0</v>
      </c>
      <c r="Q455" s="9" t="n">
        <v>2599.96</v>
      </c>
      <c r="R455" s="9" t="n">
        <v>1949.96</v>
      </c>
      <c r="S455" s="9" t="n">
        <v>650</v>
      </c>
      <c r="T455" s="10" t="n">
        <v>0.25</v>
      </c>
    </row>
    <row r="456">
      <c r="A456" s="7" t="inlineStr">
        <is>
          <t>ORD-2024-1444</t>
        </is>
      </c>
      <c r="B456" s="7" t="inlineStr">
        <is>
          <t>2024-07-02</t>
        </is>
      </c>
      <c r="C456" s="7" t="inlineStr">
        <is>
          <t>OFF-STR-001</t>
        </is>
      </c>
      <c r="D456" s="7" t="inlineStr">
        <is>
          <t>SteelLock 3-Drawer File Cabinet</t>
        </is>
      </c>
      <c r="E456" s="7" t="inlineStr">
        <is>
          <t>Office Supplies</t>
        </is>
      </c>
      <c r="F456" s="7" t="inlineStr">
        <is>
          <t>Storage &amp; Organizers</t>
        </is>
      </c>
      <c r="G456" s="7" t="inlineStr">
        <is>
          <t>South</t>
        </is>
      </c>
      <c r="H456" s="7" t="inlineStr">
        <is>
          <t>Georgia</t>
        </is>
      </c>
      <c r="I456" s="7" t="inlineStr">
        <is>
          <t>Wholesale</t>
        </is>
      </c>
      <c r="J456" s="7" t="inlineStr">
        <is>
          <t>Consumer</t>
        </is>
      </c>
      <c r="K456" s="8" t="n">
        <v>11</v>
      </c>
      <c r="L456" s="9" t="n">
        <v>169.99</v>
      </c>
      <c r="M456" s="10" t="n">
        <v>0.1</v>
      </c>
      <c r="N456" s="9" t="n">
        <v>115.59</v>
      </c>
      <c r="O456" s="9" t="n">
        <v>1869.89</v>
      </c>
      <c r="P456" s="9" t="n">
        <v>186.99</v>
      </c>
      <c r="Q456" s="9" t="n">
        <v>1682.9</v>
      </c>
      <c r="R456" s="9" t="n">
        <v>1271.49</v>
      </c>
      <c r="S456" s="9" t="n">
        <v>411.41</v>
      </c>
      <c r="T456" s="10" t="n">
        <v>0.2445</v>
      </c>
    </row>
    <row r="457">
      <c r="A457" s="7" t="inlineStr">
        <is>
          <t>ORD-2024-1444</t>
        </is>
      </c>
      <c r="B457" s="7" t="inlineStr">
        <is>
          <t>2024-07-02</t>
        </is>
      </c>
      <c r="C457" s="7" t="inlineStr">
        <is>
          <t>OFF-STR-002</t>
        </is>
      </c>
      <c r="D457" s="7" t="inlineStr">
        <is>
          <t>Stackable Heavy-Duty Storage Bins (4-Pk)</t>
        </is>
      </c>
      <c r="E457" s="7" t="inlineStr">
        <is>
          <t>Office Supplies</t>
        </is>
      </c>
      <c r="F457" s="7" t="inlineStr">
        <is>
          <t>Storage &amp; Organizers</t>
        </is>
      </c>
      <c r="G457" s="7" t="inlineStr">
        <is>
          <t>South</t>
        </is>
      </c>
      <c r="H457" s="7" t="inlineStr">
        <is>
          <t>Georgia</t>
        </is>
      </c>
      <c r="I457" s="7" t="inlineStr">
        <is>
          <t>Wholesale</t>
        </is>
      </c>
      <c r="J457" s="7" t="inlineStr">
        <is>
          <t>Consumer</t>
        </is>
      </c>
      <c r="K457" s="8" t="n">
        <v>12</v>
      </c>
      <c r="L457" s="9" t="n">
        <v>44.99</v>
      </c>
      <c r="M457" s="10" t="n">
        <v>0.1</v>
      </c>
      <c r="N457" s="9" t="n">
        <v>24.74</v>
      </c>
      <c r="O457" s="9" t="n">
        <v>539.88</v>
      </c>
      <c r="P457" s="9" t="n">
        <v>53.99</v>
      </c>
      <c r="Q457" s="9" t="n">
        <v>485.89</v>
      </c>
      <c r="R457" s="9" t="n">
        <v>296.88</v>
      </c>
      <c r="S457" s="9" t="n">
        <v>189.01</v>
      </c>
      <c r="T457" s="10" t="n">
        <v>0.389</v>
      </c>
    </row>
    <row r="458">
      <c r="A458" s="7" t="inlineStr">
        <is>
          <t>ORD-2024-1612</t>
        </is>
      </c>
      <c r="B458" s="7" t="inlineStr">
        <is>
          <t>2024-07-03</t>
        </is>
      </c>
      <c r="C458" s="7" t="inlineStr">
        <is>
          <t>FUR-LGT-006</t>
        </is>
      </c>
      <c r="D458" s="7" t="inlineStr">
        <is>
          <t>Architect LED Desk Task Lamp</t>
        </is>
      </c>
      <c r="E458" s="7" t="inlineStr">
        <is>
          <t>Furniture</t>
        </is>
      </c>
      <c r="F458" s="7" t="inlineStr">
        <is>
          <t>Lighting</t>
        </is>
      </c>
      <c r="G458" s="7" t="inlineStr">
        <is>
          <t>Central</t>
        </is>
      </c>
      <c r="H458" s="7" t="inlineStr">
        <is>
          <t>Texas</t>
        </is>
      </c>
      <c r="I458" s="7" t="inlineStr">
        <is>
          <t>Direct Sales</t>
        </is>
      </c>
      <c r="J458" s="7" t="inlineStr">
        <is>
          <t>Corporate</t>
        </is>
      </c>
      <c r="K458" s="8" t="n">
        <v>5</v>
      </c>
      <c r="L458" s="9" t="n">
        <v>69.98999999999999</v>
      </c>
      <c r="M458" s="10" t="n">
        <v>0.05</v>
      </c>
      <c r="N458" s="9" t="n">
        <v>43.39</v>
      </c>
      <c r="O458" s="9" t="n">
        <v>349.95</v>
      </c>
      <c r="P458" s="9" t="n">
        <v>17.5</v>
      </c>
      <c r="Q458" s="9" t="n">
        <v>332.45</v>
      </c>
      <c r="R458" s="9" t="n">
        <v>216.95</v>
      </c>
      <c r="S458" s="9" t="n">
        <v>115.5</v>
      </c>
      <c r="T458" s="10" t="n">
        <v>0.3474</v>
      </c>
    </row>
    <row r="459">
      <c r="A459" s="7" t="inlineStr">
        <is>
          <t>ORD-2024-1322</t>
        </is>
      </c>
      <c r="B459" s="7" t="inlineStr">
        <is>
          <t>2024-07-04</t>
        </is>
      </c>
      <c r="C459" s="7" t="inlineStr">
        <is>
          <t>OFF-STR-002</t>
        </is>
      </c>
      <c r="D459" s="7" t="inlineStr">
        <is>
          <t>Stackable Heavy-Duty Storage Bins (4-Pk)</t>
        </is>
      </c>
      <c r="E459" s="7" t="inlineStr">
        <is>
          <t>Office Supplies</t>
        </is>
      </c>
      <c r="F459" s="7" t="inlineStr">
        <is>
          <t>Storage &amp; Organizers</t>
        </is>
      </c>
      <c r="G459" s="7" t="inlineStr">
        <is>
          <t>Central</t>
        </is>
      </c>
      <c r="H459" s="7" t="inlineStr">
        <is>
          <t>Illinois</t>
        </is>
      </c>
      <c r="I459" s="7" t="inlineStr">
        <is>
          <t>Direct Sales</t>
        </is>
      </c>
      <c r="J459" s="7" t="inlineStr">
        <is>
          <t>Consumer</t>
        </is>
      </c>
      <c r="K459" s="8" t="n">
        <v>4</v>
      </c>
      <c r="L459" s="9" t="n">
        <v>44.99</v>
      </c>
      <c r="M459" s="10" t="n">
        <v>0.1</v>
      </c>
      <c r="N459" s="9" t="n">
        <v>24.74</v>
      </c>
      <c r="O459" s="9" t="n">
        <v>179.96</v>
      </c>
      <c r="P459" s="9" t="n">
        <v>18</v>
      </c>
      <c r="Q459" s="9" t="n">
        <v>161.96</v>
      </c>
      <c r="R459" s="9" t="n">
        <v>98.95999999999999</v>
      </c>
      <c r="S459" s="9" t="n">
        <v>63</v>
      </c>
      <c r="T459" s="10" t="n">
        <v>0.389</v>
      </c>
    </row>
    <row r="460">
      <c r="A460" s="7" t="inlineStr">
        <is>
          <t>ORD-2024-1708</t>
        </is>
      </c>
      <c r="B460" s="7" t="inlineStr">
        <is>
          <t>2024-07-04</t>
        </is>
      </c>
      <c r="C460" s="7" t="inlineStr">
        <is>
          <t>TEC-ACC-005</t>
        </is>
      </c>
      <c r="D460" s="7" t="inlineStr">
        <is>
          <t>UltraWireless Noise-Canceling Headset</t>
        </is>
      </c>
      <c r="E460" s="7" t="inlineStr">
        <is>
          <t>Technology</t>
        </is>
      </c>
      <c r="F460" s="7" t="inlineStr">
        <is>
          <t>Audio &amp; Accessories</t>
        </is>
      </c>
      <c r="G460" s="7" t="inlineStr">
        <is>
          <t>East</t>
        </is>
      </c>
      <c r="H460" s="7" t="inlineStr">
        <is>
          <t>New Jersey</t>
        </is>
      </c>
      <c r="I460" s="7" t="inlineStr">
        <is>
          <t>Direct Sales</t>
        </is>
      </c>
      <c r="J460" s="7" t="inlineStr">
        <is>
          <t>Consumer</t>
        </is>
      </c>
      <c r="K460" s="8" t="n">
        <v>4</v>
      </c>
      <c r="L460" s="9" t="n">
        <v>179.99</v>
      </c>
      <c r="M460" s="10" t="n">
        <v>0</v>
      </c>
      <c r="N460" s="9" t="n">
        <v>111.59</v>
      </c>
      <c r="O460" s="9" t="n">
        <v>719.96</v>
      </c>
      <c r="P460" s="9" t="n">
        <v>0</v>
      </c>
      <c r="Q460" s="9" t="n">
        <v>719.96</v>
      </c>
      <c r="R460" s="9" t="n">
        <v>446.36</v>
      </c>
      <c r="S460" s="9" t="n">
        <v>273.6</v>
      </c>
      <c r="T460" s="10" t="n">
        <v>0.38</v>
      </c>
    </row>
    <row r="461">
      <c r="A461" s="7" t="inlineStr">
        <is>
          <t>ORD-2024-1086</t>
        </is>
      </c>
      <c r="B461" s="7" t="inlineStr">
        <is>
          <t>2024-07-06</t>
        </is>
      </c>
      <c r="C461" s="7" t="inlineStr">
        <is>
          <t>FUR-LGT-006</t>
        </is>
      </c>
      <c r="D461" s="7" t="inlineStr">
        <is>
          <t>Architect LED Desk Task Lamp</t>
        </is>
      </c>
      <c r="E461" s="7" t="inlineStr">
        <is>
          <t>Furniture</t>
        </is>
      </c>
      <c r="F461" s="7" t="inlineStr">
        <is>
          <t>Lighting</t>
        </is>
      </c>
      <c r="G461" s="7" t="inlineStr">
        <is>
          <t>West</t>
        </is>
      </c>
      <c r="H461" s="7" t="inlineStr">
        <is>
          <t>Washington</t>
        </is>
      </c>
      <c r="I461" s="7" t="inlineStr">
        <is>
          <t>Online</t>
        </is>
      </c>
      <c r="J461" s="7" t="inlineStr">
        <is>
          <t>Corporate</t>
        </is>
      </c>
      <c r="K461" s="8" t="n">
        <v>2</v>
      </c>
      <c r="L461" s="9" t="n">
        <v>69.98999999999999</v>
      </c>
      <c r="M461" s="10" t="n">
        <v>0.05</v>
      </c>
      <c r="N461" s="9" t="n">
        <v>43.39</v>
      </c>
      <c r="O461" s="9" t="n">
        <v>139.98</v>
      </c>
      <c r="P461" s="9" t="n">
        <v>7</v>
      </c>
      <c r="Q461" s="9" t="n">
        <v>132.98</v>
      </c>
      <c r="R461" s="9" t="n">
        <v>86.78</v>
      </c>
      <c r="S461" s="9" t="n">
        <v>46.2</v>
      </c>
      <c r="T461" s="10" t="n">
        <v>0.3474</v>
      </c>
    </row>
    <row r="462">
      <c r="A462" s="7" t="inlineStr">
        <is>
          <t>ORD-2024-1323</t>
        </is>
      </c>
      <c r="B462" s="7" t="inlineStr">
        <is>
          <t>2024-07-06</t>
        </is>
      </c>
      <c r="C462" s="7" t="inlineStr">
        <is>
          <t>FUR-BOK-005</t>
        </is>
      </c>
      <c r="D462" s="7" t="inlineStr">
        <is>
          <t>Modular 5-Tier Steel Bookcase</t>
        </is>
      </c>
      <c r="E462" s="7" t="inlineStr">
        <is>
          <t>Furniture</t>
        </is>
      </c>
      <c r="F462" s="7" t="inlineStr">
        <is>
          <t>Bookcases</t>
        </is>
      </c>
      <c r="G462" s="7" t="inlineStr">
        <is>
          <t>West</t>
        </is>
      </c>
      <c r="H462" s="7" t="inlineStr">
        <is>
          <t>Washington</t>
        </is>
      </c>
      <c r="I462" s="7" t="inlineStr">
        <is>
          <t>Retail Partner</t>
        </is>
      </c>
      <c r="J462" s="7" t="inlineStr">
        <is>
          <t>Consumer</t>
        </is>
      </c>
      <c r="K462" s="8" t="n">
        <v>2</v>
      </c>
      <c r="L462" s="9" t="n">
        <v>189.99</v>
      </c>
      <c r="M462" s="10" t="n">
        <v>0</v>
      </c>
      <c r="N462" s="9" t="n">
        <v>142.49</v>
      </c>
      <c r="O462" s="9" t="n">
        <v>379.98</v>
      </c>
      <c r="P462" s="9" t="n">
        <v>0</v>
      </c>
      <c r="Q462" s="9" t="n">
        <v>379.98</v>
      </c>
      <c r="R462" s="9" t="n">
        <v>284.98</v>
      </c>
      <c r="S462" s="9" t="n">
        <v>95</v>
      </c>
      <c r="T462" s="10" t="n">
        <v>0.25</v>
      </c>
    </row>
    <row r="463">
      <c r="A463" s="7" t="inlineStr">
        <is>
          <t>ORD-2024-1021</t>
        </is>
      </c>
      <c r="B463" s="7" t="inlineStr">
        <is>
          <t>2024-07-09</t>
        </is>
      </c>
      <c r="C463" s="7" t="inlineStr">
        <is>
          <t>TEC-ACC-007</t>
        </is>
      </c>
      <c r="D463" s="7" t="inlineStr">
        <is>
          <t>ErgoMechanical Wireless Keyboard</t>
        </is>
      </c>
      <c r="E463" s="7" t="inlineStr">
        <is>
          <t>Technology</t>
        </is>
      </c>
      <c r="F463" s="7" t="inlineStr">
        <is>
          <t>Audio &amp; Accessories</t>
        </is>
      </c>
      <c r="G463" s="7" t="inlineStr">
        <is>
          <t>West</t>
        </is>
      </c>
      <c r="H463" s="7" t="inlineStr">
        <is>
          <t>California</t>
        </is>
      </c>
      <c r="I463" s="7" t="inlineStr">
        <is>
          <t>Online</t>
        </is>
      </c>
      <c r="J463" s="7" t="inlineStr">
        <is>
          <t>Consumer</t>
        </is>
      </c>
      <c r="K463" s="8" t="n">
        <v>3</v>
      </c>
      <c r="L463" s="9" t="n">
        <v>109.99</v>
      </c>
      <c r="M463" s="10" t="n">
        <v>0</v>
      </c>
      <c r="N463" s="9" t="n">
        <v>65.98999999999999</v>
      </c>
      <c r="O463" s="9" t="n">
        <v>329.97</v>
      </c>
      <c r="P463" s="9" t="n">
        <v>0</v>
      </c>
      <c r="Q463" s="9" t="n">
        <v>329.97</v>
      </c>
      <c r="R463" s="9" t="n">
        <v>197.97</v>
      </c>
      <c r="S463" s="9" t="n">
        <v>132</v>
      </c>
      <c r="T463" s="10" t="n">
        <v>0.4</v>
      </c>
    </row>
    <row r="464">
      <c r="A464" s="7" t="inlineStr">
        <is>
          <t>ORD-2024-1021</t>
        </is>
      </c>
      <c r="B464" s="7" t="inlineStr">
        <is>
          <t>2024-07-09</t>
        </is>
      </c>
      <c r="C464" s="7" t="inlineStr">
        <is>
          <t>TEC-ACC-007</t>
        </is>
      </c>
      <c r="D464" s="7" t="inlineStr">
        <is>
          <t>ErgoMechanical Wireless Keyboard</t>
        </is>
      </c>
      <c r="E464" s="7" t="inlineStr">
        <is>
          <t>Technology</t>
        </is>
      </c>
      <c r="F464" s="7" t="inlineStr">
        <is>
          <t>Audio &amp; Accessories</t>
        </is>
      </c>
      <c r="G464" s="7" t="inlineStr">
        <is>
          <t>West</t>
        </is>
      </c>
      <c r="H464" s="7" t="inlineStr">
        <is>
          <t>California</t>
        </is>
      </c>
      <c r="I464" s="7" t="inlineStr">
        <is>
          <t>Online</t>
        </is>
      </c>
      <c r="J464" s="7" t="inlineStr">
        <is>
          <t>Consumer</t>
        </is>
      </c>
      <c r="K464" s="8" t="n">
        <v>4</v>
      </c>
      <c r="L464" s="9" t="n">
        <v>109.99</v>
      </c>
      <c r="M464" s="10" t="n">
        <v>0</v>
      </c>
      <c r="N464" s="9" t="n">
        <v>65.98999999999999</v>
      </c>
      <c r="O464" s="9" t="n">
        <v>439.96</v>
      </c>
      <c r="P464" s="9" t="n">
        <v>0</v>
      </c>
      <c r="Q464" s="9" t="n">
        <v>439.96</v>
      </c>
      <c r="R464" s="9" t="n">
        <v>263.96</v>
      </c>
      <c r="S464" s="9" t="n">
        <v>176</v>
      </c>
      <c r="T464" s="10" t="n">
        <v>0.4</v>
      </c>
    </row>
    <row r="465">
      <c r="A465" s="7" t="inlineStr">
        <is>
          <t>ORD-2024-1021</t>
        </is>
      </c>
      <c r="B465" s="7" t="inlineStr">
        <is>
          <t>2024-07-09</t>
        </is>
      </c>
      <c r="C465" s="7" t="inlineStr">
        <is>
          <t>FUR-BOK-005</t>
        </is>
      </c>
      <c r="D465" s="7" t="inlineStr">
        <is>
          <t>Modular 5-Tier Steel Bookcase</t>
        </is>
      </c>
      <c r="E465" s="7" t="inlineStr">
        <is>
          <t>Furniture</t>
        </is>
      </c>
      <c r="F465" s="7" t="inlineStr">
        <is>
          <t>Bookcases</t>
        </is>
      </c>
      <c r="G465" s="7" t="inlineStr">
        <is>
          <t>West</t>
        </is>
      </c>
      <c r="H465" s="7" t="inlineStr">
        <is>
          <t>California</t>
        </is>
      </c>
      <c r="I465" s="7" t="inlineStr">
        <is>
          <t>Online</t>
        </is>
      </c>
      <c r="J465" s="7" t="inlineStr">
        <is>
          <t>Consumer</t>
        </is>
      </c>
      <c r="K465" s="8" t="n">
        <v>4</v>
      </c>
      <c r="L465" s="9" t="n">
        <v>189.99</v>
      </c>
      <c r="M465" s="10" t="n">
        <v>0.05</v>
      </c>
      <c r="N465" s="9" t="n">
        <v>142.49</v>
      </c>
      <c r="O465" s="9" t="n">
        <v>759.96</v>
      </c>
      <c r="P465" s="9" t="n">
        <v>38</v>
      </c>
      <c r="Q465" s="9" t="n">
        <v>721.96</v>
      </c>
      <c r="R465" s="9" t="n">
        <v>569.96</v>
      </c>
      <c r="S465" s="9" t="n">
        <v>152</v>
      </c>
      <c r="T465" s="10" t="n">
        <v>0.2105</v>
      </c>
    </row>
    <row r="466">
      <c r="A466" s="7" t="inlineStr">
        <is>
          <t>ORD-2024-1075</t>
        </is>
      </c>
      <c r="B466" s="7" t="inlineStr">
        <is>
          <t>2024-07-09</t>
        </is>
      </c>
      <c r="C466" s="7" t="inlineStr">
        <is>
          <t>OFF-ART-006</t>
        </is>
      </c>
      <c r="D466" s="7" t="inlineStr">
        <is>
          <t>Professional Presentation Dry Erase Board</t>
        </is>
      </c>
      <c r="E466" s="7" t="inlineStr">
        <is>
          <t>Office Supplies</t>
        </is>
      </c>
      <c r="F466" s="7" t="inlineStr">
        <is>
          <t>Presentation &amp; Art</t>
        </is>
      </c>
      <c r="G466" s="7" t="inlineStr">
        <is>
          <t>East</t>
        </is>
      </c>
      <c r="H466" s="7" t="inlineStr">
        <is>
          <t>Massachusetts</t>
        </is>
      </c>
      <c r="I466" s="7" t="inlineStr">
        <is>
          <t>Direct Sales</t>
        </is>
      </c>
      <c r="J466" s="7" t="inlineStr">
        <is>
          <t>Home Office</t>
        </is>
      </c>
      <c r="K466" s="8" t="n">
        <v>2</v>
      </c>
      <c r="L466" s="9" t="n">
        <v>89.98999999999999</v>
      </c>
      <c r="M466" s="10" t="n">
        <v>0</v>
      </c>
      <c r="N466" s="9" t="n">
        <v>53.99</v>
      </c>
      <c r="O466" s="9" t="n">
        <v>179.98</v>
      </c>
      <c r="P466" s="9" t="n">
        <v>0</v>
      </c>
      <c r="Q466" s="9" t="n">
        <v>179.98</v>
      </c>
      <c r="R466" s="9" t="n">
        <v>107.98</v>
      </c>
      <c r="S466" s="9" t="n">
        <v>72</v>
      </c>
      <c r="T466" s="10" t="n">
        <v>0.4</v>
      </c>
    </row>
    <row r="467">
      <c r="A467" s="7" t="inlineStr">
        <is>
          <t>ORD-2024-1088</t>
        </is>
      </c>
      <c r="B467" s="7" t="inlineStr">
        <is>
          <t>2024-07-09</t>
        </is>
      </c>
      <c r="C467" s="7" t="inlineStr">
        <is>
          <t>TEC-TAB-004</t>
        </is>
      </c>
      <c r="D467" s="7" t="inlineStr">
        <is>
          <t>VisionPad Lite 8.5"</t>
        </is>
      </c>
      <c r="E467" s="7" t="inlineStr">
        <is>
          <t>Technology</t>
        </is>
      </c>
      <c r="F467" s="7" t="inlineStr">
        <is>
          <t>Phones &amp; Tablets</t>
        </is>
      </c>
      <c r="G467" s="7" t="inlineStr">
        <is>
          <t>South</t>
        </is>
      </c>
      <c r="H467" s="7" t="inlineStr">
        <is>
          <t>Georgia</t>
        </is>
      </c>
      <c r="I467" s="7" t="inlineStr">
        <is>
          <t>Online</t>
        </is>
      </c>
      <c r="J467" s="7" t="inlineStr">
        <is>
          <t>Corporate</t>
        </is>
      </c>
      <c r="K467" s="8" t="n">
        <v>5</v>
      </c>
      <c r="L467" s="9" t="n">
        <v>299.99</v>
      </c>
      <c r="M467" s="10" t="n">
        <v>0</v>
      </c>
      <c r="N467" s="9" t="n">
        <v>245.99</v>
      </c>
      <c r="O467" s="9" t="n">
        <v>1499.95</v>
      </c>
      <c r="P467" s="9" t="n">
        <v>0</v>
      </c>
      <c r="Q467" s="9" t="n">
        <v>1499.95</v>
      </c>
      <c r="R467" s="9" t="n">
        <v>1229.95</v>
      </c>
      <c r="S467" s="9" t="n">
        <v>270</v>
      </c>
      <c r="T467" s="10" t="n">
        <v>0.18</v>
      </c>
    </row>
    <row r="468">
      <c r="A468" s="7" t="inlineStr">
        <is>
          <t>ORD-2024-1088</t>
        </is>
      </c>
      <c r="B468" s="7" t="inlineStr">
        <is>
          <t>2024-07-09</t>
        </is>
      </c>
      <c r="C468" s="7" t="inlineStr">
        <is>
          <t>TEC-LAP-002</t>
        </is>
      </c>
      <c r="D468" s="7" t="inlineStr">
        <is>
          <t>Apex Gaming Laptop 17"</t>
        </is>
      </c>
      <c r="E468" s="7" t="inlineStr">
        <is>
          <t>Technology</t>
        </is>
      </c>
      <c r="F468" s="7" t="inlineStr">
        <is>
          <t>Laptops</t>
        </is>
      </c>
      <c r="G468" s="7" t="inlineStr">
        <is>
          <t>South</t>
        </is>
      </c>
      <c r="H468" s="7" t="inlineStr">
        <is>
          <t>Georgia</t>
        </is>
      </c>
      <c r="I468" s="7" t="inlineStr">
        <is>
          <t>Online</t>
        </is>
      </c>
      <c r="J468" s="7" t="inlineStr">
        <is>
          <t>Corporate</t>
        </is>
      </c>
      <c r="K468" s="8" t="n">
        <v>8</v>
      </c>
      <c r="L468" s="9" t="n">
        <v>1499.99</v>
      </c>
      <c r="M468" s="10" t="n">
        <v>0.2</v>
      </c>
      <c r="N468" s="9" t="n">
        <v>1259.99</v>
      </c>
      <c r="O468" s="9" t="n">
        <v>11999.92</v>
      </c>
      <c r="P468" s="9" t="n">
        <v>2399.98</v>
      </c>
      <c r="Q468" s="9" t="n">
        <v>9599.940000000001</v>
      </c>
      <c r="R468" s="9" t="n">
        <v>10079.92</v>
      </c>
      <c r="S468" s="9" t="n">
        <v>-479.98</v>
      </c>
      <c r="T468" s="10" t="n">
        <v>-0.05</v>
      </c>
    </row>
    <row r="469">
      <c r="A469" s="7" t="inlineStr">
        <is>
          <t>ORD-2024-1443</t>
        </is>
      </c>
      <c r="B469" s="7" t="inlineStr">
        <is>
          <t>2024-07-10</t>
        </is>
      </c>
      <c r="C469" s="7" t="inlineStr">
        <is>
          <t>TEC-TAB-003</t>
        </is>
      </c>
      <c r="D469" s="7" t="inlineStr">
        <is>
          <t>VisionPad Pro 11"</t>
        </is>
      </c>
      <c r="E469" s="7" t="inlineStr">
        <is>
          <t>Technology</t>
        </is>
      </c>
      <c r="F469" s="7" t="inlineStr">
        <is>
          <t>Phones &amp; Tablets</t>
        </is>
      </c>
      <c r="G469" s="7" t="inlineStr">
        <is>
          <t>West</t>
        </is>
      </c>
      <c r="H469" s="7" t="inlineStr">
        <is>
          <t>Colorado</t>
        </is>
      </c>
      <c r="I469" s="7" t="inlineStr">
        <is>
          <t>Direct Sales</t>
        </is>
      </c>
      <c r="J469" s="7" t="inlineStr">
        <is>
          <t>Corporate</t>
        </is>
      </c>
      <c r="K469" s="8" t="n">
        <v>7</v>
      </c>
      <c r="L469" s="9" t="n">
        <v>649.99</v>
      </c>
      <c r="M469" s="10" t="n">
        <v>0</v>
      </c>
      <c r="N469" s="9" t="n">
        <v>487.49</v>
      </c>
      <c r="O469" s="9" t="n">
        <v>4549.93</v>
      </c>
      <c r="P469" s="9" t="n">
        <v>0</v>
      </c>
      <c r="Q469" s="9" t="n">
        <v>4549.93</v>
      </c>
      <c r="R469" s="9" t="n">
        <v>3412.43</v>
      </c>
      <c r="S469" s="9" t="n">
        <v>1137.5</v>
      </c>
      <c r="T469" s="10" t="n">
        <v>0.25</v>
      </c>
    </row>
    <row r="470">
      <c r="A470" s="7" t="inlineStr">
        <is>
          <t>ORD-2024-1627</t>
        </is>
      </c>
      <c r="B470" s="7" t="inlineStr">
        <is>
          <t>2024-07-10</t>
        </is>
      </c>
      <c r="C470" s="7" t="inlineStr">
        <is>
          <t>OFF-BIN-005</t>
        </is>
      </c>
      <c r="D470" s="7" t="inlineStr">
        <is>
          <t>Heavy-Duty D-Ring Presentation Binder (6-Pk)</t>
        </is>
      </c>
      <c r="E470" s="7" t="inlineStr">
        <is>
          <t>Office Supplies</t>
        </is>
      </c>
      <c r="F470" s="7" t="inlineStr">
        <is>
          <t>Binders &amp; Fasteners</t>
        </is>
      </c>
      <c r="G470" s="7" t="inlineStr">
        <is>
          <t>East</t>
        </is>
      </c>
      <c r="H470" s="7" t="inlineStr">
        <is>
          <t>New Jersey</t>
        </is>
      </c>
      <c r="I470" s="7" t="inlineStr">
        <is>
          <t>Wholesale</t>
        </is>
      </c>
      <c r="J470" s="7" t="inlineStr">
        <is>
          <t>Consumer</t>
        </is>
      </c>
      <c r="K470" s="8" t="n">
        <v>8</v>
      </c>
      <c r="L470" s="9" t="n">
        <v>27.99</v>
      </c>
      <c r="M470" s="10" t="n">
        <v>0.15</v>
      </c>
      <c r="N470" s="9" t="n">
        <v>13.99</v>
      </c>
      <c r="O470" s="9" t="n">
        <v>223.92</v>
      </c>
      <c r="P470" s="9" t="n">
        <v>33.59</v>
      </c>
      <c r="Q470" s="9" t="n">
        <v>190.33</v>
      </c>
      <c r="R470" s="9" t="n">
        <v>111.92</v>
      </c>
      <c r="S470" s="9" t="n">
        <v>78.41</v>
      </c>
      <c r="T470" s="10" t="n">
        <v>0.412</v>
      </c>
    </row>
    <row r="471">
      <c r="A471" s="7" t="inlineStr">
        <is>
          <t>ORD-2024-1679</t>
        </is>
      </c>
      <c r="B471" s="7" t="inlineStr">
        <is>
          <t>2024-07-10</t>
        </is>
      </c>
      <c r="C471" s="7" t="inlineStr">
        <is>
          <t>OFF-STR-001</t>
        </is>
      </c>
      <c r="D471" s="7" t="inlineStr">
        <is>
          <t>SteelLock 3-Drawer File Cabinet</t>
        </is>
      </c>
      <c r="E471" s="7" t="inlineStr">
        <is>
          <t>Office Supplies</t>
        </is>
      </c>
      <c r="F471" s="7" t="inlineStr">
        <is>
          <t>Storage &amp; Organizers</t>
        </is>
      </c>
      <c r="G471" s="7" t="inlineStr">
        <is>
          <t>East</t>
        </is>
      </c>
      <c r="H471" s="7" t="inlineStr">
        <is>
          <t>New York</t>
        </is>
      </c>
      <c r="I471" s="7" t="inlineStr">
        <is>
          <t>Direct Sales</t>
        </is>
      </c>
      <c r="J471" s="7" t="inlineStr">
        <is>
          <t>Home Office</t>
        </is>
      </c>
      <c r="K471" s="8" t="n">
        <v>3</v>
      </c>
      <c r="L471" s="9" t="n">
        <v>169.99</v>
      </c>
      <c r="M471" s="10" t="n">
        <v>0</v>
      </c>
      <c r="N471" s="9" t="n">
        <v>115.59</v>
      </c>
      <c r="O471" s="9" t="n">
        <v>509.97</v>
      </c>
      <c r="P471" s="9" t="n">
        <v>0</v>
      </c>
      <c r="Q471" s="9" t="n">
        <v>509.97</v>
      </c>
      <c r="R471" s="9" t="n">
        <v>346.77</v>
      </c>
      <c r="S471" s="9" t="n">
        <v>163.2</v>
      </c>
      <c r="T471" s="10" t="n">
        <v>0.32</v>
      </c>
    </row>
    <row r="472">
      <c r="A472" s="7" t="inlineStr">
        <is>
          <t>ORD-2024-1206</t>
        </is>
      </c>
      <c r="B472" s="7" t="inlineStr">
        <is>
          <t>2024-07-11</t>
        </is>
      </c>
      <c r="C472" s="7" t="inlineStr">
        <is>
          <t>FUR-DSK-003</t>
        </is>
      </c>
      <c r="D472" s="7" t="inlineStr">
        <is>
          <t>ApexMotor Dual-Motor Standing Desk</t>
        </is>
      </c>
      <c r="E472" s="7" t="inlineStr">
        <is>
          <t>Furniture</t>
        </is>
      </c>
      <c r="F472" s="7" t="inlineStr">
        <is>
          <t>Desks &amp; Workstations</t>
        </is>
      </c>
      <c r="G472" s="7" t="inlineStr">
        <is>
          <t>Central</t>
        </is>
      </c>
      <c r="H472" s="7" t="inlineStr">
        <is>
          <t>Ohio</t>
        </is>
      </c>
      <c r="I472" s="7" t="inlineStr">
        <is>
          <t>Direct Sales</t>
        </is>
      </c>
      <c r="J472" s="7" t="inlineStr">
        <is>
          <t>Corporate</t>
        </is>
      </c>
      <c r="K472" s="8" t="n">
        <v>2</v>
      </c>
      <c r="L472" s="9" t="n">
        <v>549.99</v>
      </c>
      <c r="M472" s="10" t="n">
        <v>0</v>
      </c>
      <c r="N472" s="9" t="n">
        <v>439.99</v>
      </c>
      <c r="O472" s="9" t="n">
        <v>1099.98</v>
      </c>
      <c r="P472" s="9" t="n">
        <v>0</v>
      </c>
      <c r="Q472" s="9" t="n">
        <v>1099.98</v>
      </c>
      <c r="R472" s="9" t="n">
        <v>879.98</v>
      </c>
      <c r="S472" s="9" t="n">
        <v>220</v>
      </c>
      <c r="T472" s="10" t="n">
        <v>0.2</v>
      </c>
    </row>
    <row r="473">
      <c r="A473" s="7" t="inlineStr">
        <is>
          <t>ORD-2024-1485</t>
        </is>
      </c>
      <c r="B473" s="7" t="inlineStr">
        <is>
          <t>2024-07-11</t>
        </is>
      </c>
      <c r="C473" s="7" t="inlineStr">
        <is>
          <t>FUR-DSK-004</t>
        </is>
      </c>
      <c r="D473" s="7" t="inlineStr">
        <is>
          <t>Metro Compact Corner Workstation</t>
        </is>
      </c>
      <c r="E473" s="7" t="inlineStr">
        <is>
          <t>Furniture</t>
        </is>
      </c>
      <c r="F473" s="7" t="inlineStr">
        <is>
          <t>Desks &amp; Workstations</t>
        </is>
      </c>
      <c r="G473" s="7" t="inlineStr">
        <is>
          <t>Central</t>
        </is>
      </c>
      <c r="H473" s="7" t="inlineStr">
        <is>
          <t>Michigan</t>
        </is>
      </c>
      <c r="I473" s="7" t="inlineStr">
        <is>
          <t>Online</t>
        </is>
      </c>
      <c r="J473" s="7" t="inlineStr">
        <is>
          <t>Corporate</t>
        </is>
      </c>
      <c r="K473" s="8" t="n">
        <v>6</v>
      </c>
      <c r="L473" s="9" t="n">
        <v>329.99</v>
      </c>
      <c r="M473" s="10" t="n">
        <v>0</v>
      </c>
      <c r="N473" s="9" t="n">
        <v>250.79</v>
      </c>
      <c r="O473" s="9" t="n">
        <v>1979.94</v>
      </c>
      <c r="P473" s="9" t="n">
        <v>0</v>
      </c>
      <c r="Q473" s="9" t="n">
        <v>1979.94</v>
      </c>
      <c r="R473" s="9" t="n">
        <v>1504.74</v>
      </c>
      <c r="S473" s="9" t="n">
        <v>475.2</v>
      </c>
      <c r="T473" s="10" t="n">
        <v>0.24</v>
      </c>
    </row>
    <row r="474">
      <c r="A474" s="7" t="inlineStr">
        <is>
          <t>ORD-2024-1485</t>
        </is>
      </c>
      <c r="B474" s="7" t="inlineStr">
        <is>
          <t>2024-07-11</t>
        </is>
      </c>
      <c r="C474" s="7" t="inlineStr">
        <is>
          <t>FUR-CHA-001</t>
        </is>
      </c>
      <c r="D474" s="7" t="inlineStr">
        <is>
          <t>ErgoFlex Executive Mesh Chair</t>
        </is>
      </c>
      <c r="E474" s="7" t="inlineStr">
        <is>
          <t>Furniture</t>
        </is>
      </c>
      <c r="F474" s="7" t="inlineStr">
        <is>
          <t>Chairs</t>
        </is>
      </c>
      <c r="G474" s="7" t="inlineStr">
        <is>
          <t>Central</t>
        </is>
      </c>
      <c r="H474" s="7" t="inlineStr">
        <is>
          <t>Michigan</t>
        </is>
      </c>
      <c r="I474" s="7" t="inlineStr">
        <is>
          <t>Online</t>
        </is>
      </c>
      <c r="J474" s="7" t="inlineStr">
        <is>
          <t>Corporate</t>
        </is>
      </c>
      <c r="K474" s="8" t="n">
        <v>4</v>
      </c>
      <c r="L474" s="9" t="n">
        <v>389.99</v>
      </c>
      <c r="M474" s="10" t="n">
        <v>0.05</v>
      </c>
      <c r="N474" s="9" t="n">
        <v>331.49</v>
      </c>
      <c r="O474" s="9" t="n">
        <v>1559.96</v>
      </c>
      <c r="P474" s="9" t="n">
        <v>78</v>
      </c>
      <c r="Q474" s="9" t="n">
        <v>1481.96</v>
      </c>
      <c r="R474" s="9" t="n">
        <v>1325.96</v>
      </c>
      <c r="S474" s="9" t="n">
        <v>156</v>
      </c>
      <c r="T474" s="10" t="n">
        <v>0.1053</v>
      </c>
    </row>
    <row r="475">
      <c r="A475" s="7" t="inlineStr">
        <is>
          <t>ORD-2024-1485</t>
        </is>
      </c>
      <c r="B475" s="7" t="inlineStr">
        <is>
          <t>2024-07-11</t>
        </is>
      </c>
      <c r="C475" s="7" t="inlineStr">
        <is>
          <t>TEC-TAB-004</t>
        </is>
      </c>
      <c r="D475" s="7" t="inlineStr">
        <is>
          <t>VisionPad Lite 8.5"</t>
        </is>
      </c>
      <c r="E475" s="7" t="inlineStr">
        <is>
          <t>Technology</t>
        </is>
      </c>
      <c r="F475" s="7" t="inlineStr">
        <is>
          <t>Phones &amp; Tablets</t>
        </is>
      </c>
      <c r="G475" s="7" t="inlineStr">
        <is>
          <t>Central</t>
        </is>
      </c>
      <c r="H475" s="7" t="inlineStr">
        <is>
          <t>Michigan</t>
        </is>
      </c>
      <c r="I475" s="7" t="inlineStr">
        <is>
          <t>Online</t>
        </is>
      </c>
      <c r="J475" s="7" t="inlineStr">
        <is>
          <t>Corporate</t>
        </is>
      </c>
      <c r="K475" s="8" t="n">
        <v>6</v>
      </c>
      <c r="L475" s="9" t="n">
        <v>299.99</v>
      </c>
      <c r="M475" s="10" t="n">
        <v>0</v>
      </c>
      <c r="N475" s="9" t="n">
        <v>245.99</v>
      </c>
      <c r="O475" s="9" t="n">
        <v>1799.94</v>
      </c>
      <c r="P475" s="9" t="n">
        <v>0</v>
      </c>
      <c r="Q475" s="9" t="n">
        <v>1799.94</v>
      </c>
      <c r="R475" s="9" t="n">
        <v>1475.94</v>
      </c>
      <c r="S475" s="9" t="n">
        <v>324</v>
      </c>
      <c r="T475" s="10" t="n">
        <v>0.18</v>
      </c>
    </row>
    <row r="476">
      <c r="A476" s="7" t="inlineStr">
        <is>
          <t>ORD-2024-1016</t>
        </is>
      </c>
      <c r="B476" s="7" t="inlineStr">
        <is>
          <t>2024-07-12</t>
        </is>
      </c>
      <c r="C476" s="7" t="inlineStr">
        <is>
          <t>FUR-DSK-004</t>
        </is>
      </c>
      <c r="D476" s="7" t="inlineStr">
        <is>
          <t>Metro Compact Corner Workstation</t>
        </is>
      </c>
      <c r="E476" s="7" t="inlineStr">
        <is>
          <t>Furniture</t>
        </is>
      </c>
      <c r="F476" s="7" t="inlineStr">
        <is>
          <t>Desks &amp; Workstations</t>
        </is>
      </c>
      <c r="G476" s="7" t="inlineStr">
        <is>
          <t>West</t>
        </is>
      </c>
      <c r="H476" s="7" t="inlineStr">
        <is>
          <t>Washington</t>
        </is>
      </c>
      <c r="I476" s="7" t="inlineStr">
        <is>
          <t>Online</t>
        </is>
      </c>
      <c r="J476" s="7" t="inlineStr">
        <is>
          <t>Consumer</t>
        </is>
      </c>
      <c r="K476" s="8" t="n">
        <v>3</v>
      </c>
      <c r="L476" s="9" t="n">
        <v>329.99</v>
      </c>
      <c r="M476" s="10" t="n">
        <v>0</v>
      </c>
      <c r="N476" s="9" t="n">
        <v>250.79</v>
      </c>
      <c r="O476" s="9" t="n">
        <v>989.97</v>
      </c>
      <c r="P476" s="9" t="n">
        <v>0</v>
      </c>
      <c r="Q476" s="9" t="n">
        <v>989.97</v>
      </c>
      <c r="R476" s="9" t="n">
        <v>752.37</v>
      </c>
      <c r="S476" s="9" t="n">
        <v>237.6</v>
      </c>
      <c r="T476" s="10" t="n">
        <v>0.24</v>
      </c>
    </row>
    <row r="477">
      <c r="A477" s="7" t="inlineStr">
        <is>
          <t>ORD-2024-1090</t>
        </is>
      </c>
      <c r="B477" s="7" t="inlineStr">
        <is>
          <t>2024-07-12</t>
        </is>
      </c>
      <c r="C477" s="7" t="inlineStr">
        <is>
          <t>TEC-ACC-008</t>
        </is>
      </c>
      <c r="D477" s="7" t="inlineStr">
        <is>
          <t>Precision Laser Bluetooth Mouse</t>
        </is>
      </c>
      <c r="E477" s="7" t="inlineStr">
        <is>
          <t>Technology</t>
        </is>
      </c>
      <c r="F477" s="7" t="inlineStr">
        <is>
          <t>Audio &amp; Accessories</t>
        </is>
      </c>
      <c r="G477" s="7" t="inlineStr">
        <is>
          <t>South</t>
        </is>
      </c>
      <c r="H477" s="7" t="inlineStr">
        <is>
          <t>North Carolina</t>
        </is>
      </c>
      <c r="I477" s="7" t="inlineStr">
        <is>
          <t>Direct Sales</t>
        </is>
      </c>
      <c r="J477" s="7" t="inlineStr">
        <is>
          <t>Consumer</t>
        </is>
      </c>
      <c r="K477" s="8" t="n">
        <v>2</v>
      </c>
      <c r="L477" s="9" t="n">
        <v>49.99</v>
      </c>
      <c r="M477" s="10" t="n">
        <v>0</v>
      </c>
      <c r="N477" s="9" t="n">
        <v>27.49</v>
      </c>
      <c r="O477" s="9" t="n">
        <v>99.98</v>
      </c>
      <c r="P477" s="9" t="n">
        <v>0</v>
      </c>
      <c r="Q477" s="9" t="n">
        <v>99.98</v>
      </c>
      <c r="R477" s="9" t="n">
        <v>54.98</v>
      </c>
      <c r="S477" s="9" t="n">
        <v>45</v>
      </c>
      <c r="T477" s="10" t="n">
        <v>0.4501</v>
      </c>
    </row>
    <row r="478">
      <c r="A478" s="7" t="inlineStr">
        <is>
          <t>ORD-2024-1427</t>
        </is>
      </c>
      <c r="B478" s="7" t="inlineStr">
        <is>
          <t>2024-07-12</t>
        </is>
      </c>
      <c r="C478" s="7" t="inlineStr">
        <is>
          <t>OFF-STR-001</t>
        </is>
      </c>
      <c r="D478" s="7" t="inlineStr">
        <is>
          <t>SteelLock 3-Drawer File Cabinet</t>
        </is>
      </c>
      <c r="E478" s="7" t="inlineStr">
        <is>
          <t>Office Supplies</t>
        </is>
      </c>
      <c r="F478" s="7" t="inlineStr">
        <is>
          <t>Storage &amp; Organizers</t>
        </is>
      </c>
      <c r="G478" s="7" t="inlineStr">
        <is>
          <t>East</t>
        </is>
      </c>
      <c r="H478" s="7" t="inlineStr">
        <is>
          <t>Massachusetts</t>
        </is>
      </c>
      <c r="I478" s="7" t="inlineStr">
        <is>
          <t>Online</t>
        </is>
      </c>
      <c r="J478" s="7" t="inlineStr">
        <is>
          <t>Consumer</t>
        </is>
      </c>
      <c r="K478" s="8" t="n">
        <v>2</v>
      </c>
      <c r="L478" s="9" t="n">
        <v>169.99</v>
      </c>
      <c r="M478" s="10" t="n">
        <v>0</v>
      </c>
      <c r="N478" s="9" t="n">
        <v>115.59</v>
      </c>
      <c r="O478" s="9" t="n">
        <v>339.98</v>
      </c>
      <c r="P478" s="9" t="n">
        <v>0</v>
      </c>
      <c r="Q478" s="9" t="n">
        <v>339.98</v>
      </c>
      <c r="R478" s="9" t="n">
        <v>231.18</v>
      </c>
      <c r="S478" s="9" t="n">
        <v>108.8</v>
      </c>
      <c r="T478" s="10" t="n">
        <v>0.32</v>
      </c>
    </row>
    <row r="479">
      <c r="A479" s="7" t="inlineStr">
        <is>
          <t>ORD-2024-1459</t>
        </is>
      </c>
      <c r="B479" s="7" t="inlineStr">
        <is>
          <t>2024-07-13</t>
        </is>
      </c>
      <c r="C479" s="7" t="inlineStr">
        <is>
          <t>OFF-BIN-005</t>
        </is>
      </c>
      <c r="D479" s="7" t="inlineStr">
        <is>
          <t>Heavy-Duty D-Ring Presentation Binder (6-Pk)</t>
        </is>
      </c>
      <c r="E479" s="7" t="inlineStr">
        <is>
          <t>Office Supplies</t>
        </is>
      </c>
      <c r="F479" s="7" t="inlineStr">
        <is>
          <t>Binders &amp; Fasteners</t>
        </is>
      </c>
      <c r="G479" s="7" t="inlineStr">
        <is>
          <t>East</t>
        </is>
      </c>
      <c r="H479" s="7" t="inlineStr">
        <is>
          <t>New York</t>
        </is>
      </c>
      <c r="I479" s="7" t="inlineStr">
        <is>
          <t>Direct Sales</t>
        </is>
      </c>
      <c r="J479" s="7" t="inlineStr">
        <is>
          <t>Consumer</t>
        </is>
      </c>
      <c r="K479" s="8" t="n">
        <v>2</v>
      </c>
      <c r="L479" s="9" t="n">
        <v>27.99</v>
      </c>
      <c r="M479" s="10" t="n">
        <v>0.05</v>
      </c>
      <c r="N479" s="9" t="n">
        <v>13.99</v>
      </c>
      <c r="O479" s="9" t="n">
        <v>55.98</v>
      </c>
      <c r="P479" s="9" t="n">
        <v>2.8</v>
      </c>
      <c r="Q479" s="9" t="n">
        <v>53.18</v>
      </c>
      <c r="R479" s="9" t="n">
        <v>27.98</v>
      </c>
      <c r="S479" s="9" t="n">
        <v>25.2</v>
      </c>
      <c r="T479" s="10" t="n">
        <v>0.4739</v>
      </c>
    </row>
    <row r="480">
      <c r="A480" s="7" t="inlineStr">
        <is>
          <t>ORD-2024-1463</t>
        </is>
      </c>
      <c r="B480" s="7" t="inlineStr">
        <is>
          <t>2024-07-13</t>
        </is>
      </c>
      <c r="C480" s="7" t="inlineStr">
        <is>
          <t>FUR-DSK-003</t>
        </is>
      </c>
      <c r="D480" s="7" t="inlineStr">
        <is>
          <t>ApexMotor Dual-Motor Standing Desk</t>
        </is>
      </c>
      <c r="E480" s="7" t="inlineStr">
        <is>
          <t>Furniture</t>
        </is>
      </c>
      <c r="F480" s="7" t="inlineStr">
        <is>
          <t>Desks &amp; Workstations</t>
        </is>
      </c>
      <c r="G480" s="7" t="inlineStr">
        <is>
          <t>South</t>
        </is>
      </c>
      <c r="H480" s="7" t="inlineStr">
        <is>
          <t>North Carolina</t>
        </is>
      </c>
      <c r="I480" s="7" t="inlineStr">
        <is>
          <t>Retail Partner</t>
        </is>
      </c>
      <c r="J480" s="7" t="inlineStr">
        <is>
          <t>Corporate</t>
        </is>
      </c>
      <c r="K480" s="8" t="n">
        <v>6</v>
      </c>
      <c r="L480" s="9" t="n">
        <v>549.99</v>
      </c>
      <c r="M480" s="10" t="n">
        <v>0</v>
      </c>
      <c r="N480" s="9" t="n">
        <v>439.99</v>
      </c>
      <c r="O480" s="9" t="n">
        <v>3299.94</v>
      </c>
      <c r="P480" s="9" t="n">
        <v>0</v>
      </c>
      <c r="Q480" s="9" t="n">
        <v>3299.94</v>
      </c>
      <c r="R480" s="9" t="n">
        <v>2639.94</v>
      </c>
      <c r="S480" s="9" t="n">
        <v>660</v>
      </c>
      <c r="T480" s="10" t="n">
        <v>0.2</v>
      </c>
    </row>
    <row r="481">
      <c r="A481" s="7" t="inlineStr">
        <is>
          <t>ORD-2024-1463</t>
        </is>
      </c>
      <c r="B481" s="7" t="inlineStr">
        <is>
          <t>2024-07-13</t>
        </is>
      </c>
      <c r="C481" s="7" t="inlineStr">
        <is>
          <t>FUR-DSK-004</t>
        </is>
      </c>
      <c r="D481" s="7" t="inlineStr">
        <is>
          <t>Metro Compact Corner Workstation</t>
        </is>
      </c>
      <c r="E481" s="7" t="inlineStr">
        <is>
          <t>Furniture</t>
        </is>
      </c>
      <c r="F481" s="7" t="inlineStr">
        <is>
          <t>Desks &amp; Workstations</t>
        </is>
      </c>
      <c r="G481" s="7" t="inlineStr">
        <is>
          <t>South</t>
        </is>
      </c>
      <c r="H481" s="7" t="inlineStr">
        <is>
          <t>North Carolina</t>
        </is>
      </c>
      <c r="I481" s="7" t="inlineStr">
        <is>
          <t>Retail Partner</t>
        </is>
      </c>
      <c r="J481" s="7" t="inlineStr">
        <is>
          <t>Corporate</t>
        </is>
      </c>
      <c r="K481" s="8" t="n">
        <v>8</v>
      </c>
      <c r="L481" s="9" t="n">
        <v>329.99</v>
      </c>
      <c r="M481" s="10" t="n">
        <v>0.1</v>
      </c>
      <c r="N481" s="9" t="n">
        <v>250.79</v>
      </c>
      <c r="O481" s="9" t="n">
        <v>2639.92</v>
      </c>
      <c r="P481" s="9" t="n">
        <v>263.99</v>
      </c>
      <c r="Q481" s="9" t="n">
        <v>2375.93</v>
      </c>
      <c r="R481" s="9" t="n">
        <v>2006.32</v>
      </c>
      <c r="S481" s="9" t="n">
        <v>369.61</v>
      </c>
      <c r="T481" s="10" t="n">
        <v>0.1556</v>
      </c>
    </row>
    <row r="482">
      <c r="A482" s="7" t="inlineStr">
        <is>
          <t>ORD-2024-1599</t>
        </is>
      </c>
      <c r="B482" s="7" t="inlineStr">
        <is>
          <t>2024-07-13</t>
        </is>
      </c>
      <c r="C482" s="7" t="inlineStr">
        <is>
          <t>TEC-TAB-003</t>
        </is>
      </c>
      <c r="D482" s="7" t="inlineStr">
        <is>
          <t>VisionPad Pro 11"</t>
        </is>
      </c>
      <c r="E482" s="7" t="inlineStr">
        <is>
          <t>Technology</t>
        </is>
      </c>
      <c r="F482" s="7" t="inlineStr">
        <is>
          <t>Phones &amp; Tablets</t>
        </is>
      </c>
      <c r="G482" s="7" t="inlineStr">
        <is>
          <t>West</t>
        </is>
      </c>
      <c r="H482" s="7" t="inlineStr">
        <is>
          <t>Washington</t>
        </is>
      </c>
      <c r="I482" s="7" t="inlineStr">
        <is>
          <t>Direct Sales</t>
        </is>
      </c>
      <c r="J482" s="7" t="inlineStr">
        <is>
          <t>Consumer</t>
        </is>
      </c>
      <c r="K482" s="8" t="n">
        <v>3</v>
      </c>
      <c r="L482" s="9" t="n">
        <v>649.99</v>
      </c>
      <c r="M482" s="10" t="n">
        <v>0</v>
      </c>
      <c r="N482" s="9" t="n">
        <v>487.49</v>
      </c>
      <c r="O482" s="9" t="n">
        <v>1949.97</v>
      </c>
      <c r="P482" s="9" t="n">
        <v>0</v>
      </c>
      <c r="Q482" s="9" t="n">
        <v>1949.97</v>
      </c>
      <c r="R482" s="9" t="n">
        <v>1462.47</v>
      </c>
      <c r="S482" s="9" t="n">
        <v>487.5</v>
      </c>
      <c r="T482" s="10" t="n">
        <v>0.25</v>
      </c>
    </row>
    <row r="483">
      <c r="A483" s="7" t="inlineStr">
        <is>
          <t>ORD-2024-1267</t>
        </is>
      </c>
      <c r="B483" s="7" t="inlineStr">
        <is>
          <t>2024-07-14</t>
        </is>
      </c>
      <c r="C483" s="7" t="inlineStr">
        <is>
          <t>TEC-ACC-005</t>
        </is>
      </c>
      <c r="D483" s="7" t="inlineStr">
        <is>
          <t>UltraWireless Noise-Canceling Headset</t>
        </is>
      </c>
      <c r="E483" s="7" t="inlineStr">
        <is>
          <t>Technology</t>
        </is>
      </c>
      <c r="F483" s="7" t="inlineStr">
        <is>
          <t>Audio &amp; Accessories</t>
        </is>
      </c>
      <c r="G483" s="7" t="inlineStr">
        <is>
          <t>West</t>
        </is>
      </c>
      <c r="H483" s="7" t="inlineStr">
        <is>
          <t>California</t>
        </is>
      </c>
      <c r="I483" s="7" t="inlineStr">
        <is>
          <t>Direct Sales</t>
        </is>
      </c>
      <c r="J483" s="7" t="inlineStr">
        <is>
          <t>Consumer</t>
        </is>
      </c>
      <c r="K483" s="8" t="n">
        <v>1</v>
      </c>
      <c r="L483" s="9" t="n">
        <v>179.99</v>
      </c>
      <c r="M483" s="10" t="n">
        <v>0.05</v>
      </c>
      <c r="N483" s="9" t="n">
        <v>111.59</v>
      </c>
      <c r="O483" s="9" t="n">
        <v>179.99</v>
      </c>
      <c r="P483" s="9" t="n">
        <v>9</v>
      </c>
      <c r="Q483" s="9" t="n">
        <v>170.99</v>
      </c>
      <c r="R483" s="9" t="n">
        <v>111.59</v>
      </c>
      <c r="S483" s="9" t="n">
        <v>59.4</v>
      </c>
      <c r="T483" s="10" t="n">
        <v>0.3474</v>
      </c>
    </row>
    <row r="484">
      <c r="A484" s="7" t="inlineStr">
        <is>
          <t>ORD-2024-1476</t>
        </is>
      </c>
      <c r="B484" s="7" t="inlineStr">
        <is>
          <t>2024-07-14</t>
        </is>
      </c>
      <c r="C484" s="7" t="inlineStr">
        <is>
          <t>FUR-LGT-006</t>
        </is>
      </c>
      <c r="D484" s="7" t="inlineStr">
        <is>
          <t>Architect LED Desk Task Lamp</t>
        </is>
      </c>
      <c r="E484" s="7" t="inlineStr">
        <is>
          <t>Furniture</t>
        </is>
      </c>
      <c r="F484" s="7" t="inlineStr">
        <is>
          <t>Lighting</t>
        </is>
      </c>
      <c r="G484" s="7" t="inlineStr">
        <is>
          <t>South</t>
        </is>
      </c>
      <c r="H484" s="7" t="inlineStr">
        <is>
          <t>Georgia</t>
        </is>
      </c>
      <c r="I484" s="7" t="inlineStr">
        <is>
          <t>Online</t>
        </is>
      </c>
      <c r="J484" s="7" t="inlineStr">
        <is>
          <t>Corporate</t>
        </is>
      </c>
      <c r="K484" s="8" t="n">
        <v>7</v>
      </c>
      <c r="L484" s="9" t="n">
        <v>69.98999999999999</v>
      </c>
      <c r="M484" s="10" t="n">
        <v>0.15</v>
      </c>
      <c r="N484" s="9" t="n">
        <v>43.39</v>
      </c>
      <c r="O484" s="9" t="n">
        <v>489.93</v>
      </c>
      <c r="P484" s="9" t="n">
        <v>73.48999999999999</v>
      </c>
      <c r="Q484" s="9" t="n">
        <v>416.44</v>
      </c>
      <c r="R484" s="9" t="n">
        <v>303.73</v>
      </c>
      <c r="S484" s="9" t="n">
        <v>112.71</v>
      </c>
      <c r="T484" s="10" t="n">
        <v>0.2707</v>
      </c>
    </row>
    <row r="485">
      <c r="A485" s="7" t="inlineStr">
        <is>
          <t>ORD-2024-1108</t>
        </is>
      </c>
      <c r="B485" s="7" t="inlineStr">
        <is>
          <t>2024-07-15</t>
        </is>
      </c>
      <c r="C485" s="7" t="inlineStr">
        <is>
          <t>OFF-PAP-003</t>
        </is>
      </c>
      <c r="D485" s="7" t="inlineStr">
        <is>
          <t>UltraWhite Premium Multipurpose Paper (Case)</t>
        </is>
      </c>
      <c r="E485" s="7" t="inlineStr">
        <is>
          <t>Office Supplies</t>
        </is>
      </c>
      <c r="F485" s="7" t="inlineStr">
        <is>
          <t>Paper Products</t>
        </is>
      </c>
      <c r="G485" s="7" t="inlineStr">
        <is>
          <t>East</t>
        </is>
      </c>
      <c r="H485" s="7" t="inlineStr">
        <is>
          <t>Pennsylvania</t>
        </is>
      </c>
      <c r="I485" s="7" t="inlineStr">
        <is>
          <t>Online</t>
        </is>
      </c>
      <c r="J485" s="7" t="inlineStr">
        <is>
          <t>Consumer</t>
        </is>
      </c>
      <c r="K485" s="8" t="n">
        <v>4</v>
      </c>
      <c r="L485" s="9" t="n">
        <v>54.99</v>
      </c>
      <c r="M485" s="10" t="n">
        <v>0</v>
      </c>
      <c r="N485" s="9" t="n">
        <v>31.89</v>
      </c>
      <c r="O485" s="9" t="n">
        <v>219.96</v>
      </c>
      <c r="P485" s="9" t="n">
        <v>0</v>
      </c>
      <c r="Q485" s="9" t="n">
        <v>219.96</v>
      </c>
      <c r="R485" s="9" t="n">
        <v>127.56</v>
      </c>
      <c r="S485" s="9" t="n">
        <v>92.40000000000001</v>
      </c>
      <c r="T485" s="10" t="n">
        <v>0.4201</v>
      </c>
    </row>
    <row r="486">
      <c r="A486" s="7" t="inlineStr">
        <is>
          <t>ORD-2024-1289</t>
        </is>
      </c>
      <c r="B486" s="7" t="inlineStr">
        <is>
          <t>2024-07-15</t>
        </is>
      </c>
      <c r="C486" s="7" t="inlineStr">
        <is>
          <t>OFF-ART-006</t>
        </is>
      </c>
      <c r="D486" s="7" t="inlineStr">
        <is>
          <t>Professional Presentation Dry Erase Board</t>
        </is>
      </c>
      <c r="E486" s="7" t="inlineStr">
        <is>
          <t>Office Supplies</t>
        </is>
      </c>
      <c r="F486" s="7" t="inlineStr">
        <is>
          <t>Presentation &amp; Art</t>
        </is>
      </c>
      <c r="G486" s="7" t="inlineStr">
        <is>
          <t>East</t>
        </is>
      </c>
      <c r="H486" s="7" t="inlineStr">
        <is>
          <t>Pennsylvania</t>
        </is>
      </c>
      <c r="I486" s="7" t="inlineStr">
        <is>
          <t>Direct Sales</t>
        </is>
      </c>
      <c r="J486" s="7" t="inlineStr">
        <is>
          <t>Home Office</t>
        </is>
      </c>
      <c r="K486" s="8" t="n">
        <v>1</v>
      </c>
      <c r="L486" s="9" t="n">
        <v>89.98999999999999</v>
      </c>
      <c r="M486" s="10" t="n">
        <v>0</v>
      </c>
      <c r="N486" s="9" t="n">
        <v>53.99</v>
      </c>
      <c r="O486" s="9" t="n">
        <v>89.98999999999999</v>
      </c>
      <c r="P486" s="9" t="n">
        <v>0</v>
      </c>
      <c r="Q486" s="9" t="n">
        <v>89.98999999999999</v>
      </c>
      <c r="R486" s="9" t="n">
        <v>53.99</v>
      </c>
      <c r="S486" s="9" t="n">
        <v>36</v>
      </c>
      <c r="T486" s="10" t="n">
        <v>0.4</v>
      </c>
    </row>
    <row r="487">
      <c r="A487" s="7" t="inlineStr">
        <is>
          <t>ORD-2024-1699</t>
        </is>
      </c>
      <c r="B487" s="7" t="inlineStr">
        <is>
          <t>2024-07-15</t>
        </is>
      </c>
      <c r="C487" s="7" t="inlineStr">
        <is>
          <t>FUR-LGT-006</t>
        </is>
      </c>
      <c r="D487" s="7" t="inlineStr">
        <is>
          <t>Architect LED Desk Task Lamp</t>
        </is>
      </c>
      <c r="E487" s="7" t="inlineStr">
        <is>
          <t>Furniture</t>
        </is>
      </c>
      <c r="F487" s="7" t="inlineStr">
        <is>
          <t>Lighting</t>
        </is>
      </c>
      <c r="G487" s="7" t="inlineStr">
        <is>
          <t>South</t>
        </is>
      </c>
      <c r="H487" s="7" t="inlineStr">
        <is>
          <t>Florida</t>
        </is>
      </c>
      <c r="I487" s="7" t="inlineStr">
        <is>
          <t>Online</t>
        </is>
      </c>
      <c r="J487" s="7" t="inlineStr">
        <is>
          <t>Corporate</t>
        </is>
      </c>
      <c r="K487" s="8" t="n">
        <v>3</v>
      </c>
      <c r="L487" s="9" t="n">
        <v>69.98999999999999</v>
      </c>
      <c r="M487" s="10" t="n">
        <v>0.05</v>
      </c>
      <c r="N487" s="9" t="n">
        <v>43.39</v>
      </c>
      <c r="O487" s="9" t="n">
        <v>209.97</v>
      </c>
      <c r="P487" s="9" t="n">
        <v>10.5</v>
      </c>
      <c r="Q487" s="9" t="n">
        <v>199.47</v>
      </c>
      <c r="R487" s="9" t="n">
        <v>130.17</v>
      </c>
      <c r="S487" s="9" t="n">
        <v>69.3</v>
      </c>
      <c r="T487" s="10" t="n">
        <v>0.3474</v>
      </c>
    </row>
    <row r="488">
      <c r="A488" s="7" t="inlineStr">
        <is>
          <t>ORD-2024-1317</t>
        </is>
      </c>
      <c r="B488" s="7" t="inlineStr">
        <is>
          <t>2024-07-16</t>
        </is>
      </c>
      <c r="C488" s="7" t="inlineStr">
        <is>
          <t>FUR-LGT-006</t>
        </is>
      </c>
      <c r="D488" s="7" t="inlineStr">
        <is>
          <t>Architect LED Desk Task Lamp</t>
        </is>
      </c>
      <c r="E488" s="7" t="inlineStr">
        <is>
          <t>Furniture</t>
        </is>
      </c>
      <c r="F488" s="7" t="inlineStr">
        <is>
          <t>Lighting</t>
        </is>
      </c>
      <c r="G488" s="7" t="inlineStr">
        <is>
          <t>West</t>
        </is>
      </c>
      <c r="H488" s="7" t="inlineStr">
        <is>
          <t>Colorado</t>
        </is>
      </c>
      <c r="I488" s="7" t="inlineStr">
        <is>
          <t>Retail Partner</t>
        </is>
      </c>
      <c r="J488" s="7" t="inlineStr">
        <is>
          <t>Home Office</t>
        </is>
      </c>
      <c r="K488" s="8" t="n">
        <v>3</v>
      </c>
      <c r="L488" s="9" t="n">
        <v>69.98999999999999</v>
      </c>
      <c r="M488" s="10" t="n">
        <v>0.05</v>
      </c>
      <c r="N488" s="9" t="n">
        <v>43.39</v>
      </c>
      <c r="O488" s="9" t="n">
        <v>209.97</v>
      </c>
      <c r="P488" s="9" t="n">
        <v>10.5</v>
      </c>
      <c r="Q488" s="9" t="n">
        <v>199.47</v>
      </c>
      <c r="R488" s="9" t="n">
        <v>130.17</v>
      </c>
      <c r="S488" s="9" t="n">
        <v>69.3</v>
      </c>
      <c r="T488" s="10" t="n">
        <v>0.3474</v>
      </c>
    </row>
    <row r="489">
      <c r="A489" s="7" t="inlineStr">
        <is>
          <t>ORD-2024-1057</t>
        </is>
      </c>
      <c r="B489" s="7" t="inlineStr">
        <is>
          <t>2024-07-18</t>
        </is>
      </c>
      <c r="C489" s="7" t="inlineStr">
        <is>
          <t>TEC-TAB-003</t>
        </is>
      </c>
      <c r="D489" s="7" t="inlineStr">
        <is>
          <t>VisionPad Pro 11"</t>
        </is>
      </c>
      <c r="E489" s="7" t="inlineStr">
        <is>
          <t>Technology</t>
        </is>
      </c>
      <c r="F489" s="7" t="inlineStr">
        <is>
          <t>Phones &amp; Tablets</t>
        </is>
      </c>
      <c r="G489" s="7" t="inlineStr">
        <is>
          <t>East</t>
        </is>
      </c>
      <c r="H489" s="7" t="inlineStr">
        <is>
          <t>New York</t>
        </is>
      </c>
      <c r="I489" s="7" t="inlineStr">
        <is>
          <t>Wholesale</t>
        </is>
      </c>
      <c r="J489" s="7" t="inlineStr">
        <is>
          <t>Consumer</t>
        </is>
      </c>
      <c r="K489" s="8" t="n">
        <v>8</v>
      </c>
      <c r="L489" s="9" t="n">
        <v>649.99</v>
      </c>
      <c r="M489" s="10" t="n">
        <v>0.2</v>
      </c>
      <c r="N489" s="9" t="n">
        <v>487.49</v>
      </c>
      <c r="O489" s="9" t="n">
        <v>5199.92</v>
      </c>
      <c r="P489" s="9" t="n">
        <v>1039.98</v>
      </c>
      <c r="Q489" s="9" t="n">
        <v>4159.94</v>
      </c>
      <c r="R489" s="9" t="n">
        <v>3899.92</v>
      </c>
      <c r="S489" s="9" t="n">
        <v>260.02</v>
      </c>
      <c r="T489" s="10" t="n">
        <v>0.0625</v>
      </c>
    </row>
    <row r="490">
      <c r="A490" s="7" t="inlineStr">
        <is>
          <t>ORD-2024-1057</t>
        </is>
      </c>
      <c r="B490" s="7" t="inlineStr">
        <is>
          <t>2024-07-18</t>
        </is>
      </c>
      <c r="C490" s="7" t="inlineStr">
        <is>
          <t>TEC-ACC-006</t>
        </is>
      </c>
      <c r="D490" s="7" t="inlineStr">
        <is>
          <t>MultiPort Thunderbolt 4 Dock</t>
        </is>
      </c>
      <c r="E490" s="7" t="inlineStr">
        <is>
          <t>Technology</t>
        </is>
      </c>
      <c r="F490" s="7" t="inlineStr">
        <is>
          <t>Audio &amp; Accessories</t>
        </is>
      </c>
      <c r="G490" s="7" t="inlineStr">
        <is>
          <t>East</t>
        </is>
      </c>
      <c r="H490" s="7" t="inlineStr">
        <is>
          <t>New York</t>
        </is>
      </c>
      <c r="I490" s="7" t="inlineStr">
        <is>
          <t>Wholesale</t>
        </is>
      </c>
      <c r="J490" s="7" t="inlineStr">
        <is>
          <t>Consumer</t>
        </is>
      </c>
      <c r="K490" s="8" t="n">
        <v>11</v>
      </c>
      <c r="L490" s="9" t="n">
        <v>149.99</v>
      </c>
      <c r="M490" s="10" t="n">
        <v>0.1</v>
      </c>
      <c r="N490" s="9" t="n">
        <v>98.98999999999999</v>
      </c>
      <c r="O490" s="9" t="n">
        <v>1649.89</v>
      </c>
      <c r="P490" s="9" t="n">
        <v>164.99</v>
      </c>
      <c r="Q490" s="9" t="n">
        <v>1484.9</v>
      </c>
      <c r="R490" s="9" t="n">
        <v>1088.89</v>
      </c>
      <c r="S490" s="9" t="n">
        <v>396.01</v>
      </c>
      <c r="T490" s="10" t="n">
        <v>0.2667</v>
      </c>
    </row>
    <row r="491">
      <c r="A491" s="7" t="inlineStr">
        <is>
          <t>ORD-2024-1057</t>
        </is>
      </c>
      <c r="B491" s="7" t="inlineStr">
        <is>
          <t>2024-07-18</t>
        </is>
      </c>
      <c r="C491" s="7" t="inlineStr">
        <is>
          <t>OFF-STR-002</t>
        </is>
      </c>
      <c r="D491" s="7" t="inlineStr">
        <is>
          <t>Stackable Heavy-Duty Storage Bins (4-Pk)</t>
        </is>
      </c>
      <c r="E491" s="7" t="inlineStr">
        <is>
          <t>Office Supplies</t>
        </is>
      </c>
      <c r="F491" s="7" t="inlineStr">
        <is>
          <t>Storage &amp; Organizers</t>
        </is>
      </c>
      <c r="G491" s="7" t="inlineStr">
        <is>
          <t>East</t>
        </is>
      </c>
      <c r="H491" s="7" t="inlineStr">
        <is>
          <t>New York</t>
        </is>
      </c>
      <c r="I491" s="7" t="inlineStr">
        <is>
          <t>Wholesale</t>
        </is>
      </c>
      <c r="J491" s="7" t="inlineStr">
        <is>
          <t>Consumer</t>
        </is>
      </c>
      <c r="K491" s="8" t="n">
        <v>12</v>
      </c>
      <c r="L491" s="9" t="n">
        <v>44.99</v>
      </c>
      <c r="M491" s="10" t="n">
        <v>0.1</v>
      </c>
      <c r="N491" s="9" t="n">
        <v>24.74</v>
      </c>
      <c r="O491" s="9" t="n">
        <v>539.88</v>
      </c>
      <c r="P491" s="9" t="n">
        <v>53.99</v>
      </c>
      <c r="Q491" s="9" t="n">
        <v>485.89</v>
      </c>
      <c r="R491" s="9" t="n">
        <v>296.88</v>
      </c>
      <c r="S491" s="9" t="n">
        <v>189.01</v>
      </c>
      <c r="T491" s="10" t="n">
        <v>0.389</v>
      </c>
    </row>
    <row r="492">
      <c r="A492" s="7" t="inlineStr">
        <is>
          <t>ORD-2024-1276</t>
        </is>
      </c>
      <c r="B492" s="7" t="inlineStr">
        <is>
          <t>2024-07-18</t>
        </is>
      </c>
      <c r="C492" s="7" t="inlineStr">
        <is>
          <t>TEC-LAP-002</t>
        </is>
      </c>
      <c r="D492" s="7" t="inlineStr">
        <is>
          <t>Apex Gaming Laptop 17"</t>
        </is>
      </c>
      <c r="E492" s="7" t="inlineStr">
        <is>
          <t>Technology</t>
        </is>
      </c>
      <c r="F492" s="7" t="inlineStr">
        <is>
          <t>Laptops</t>
        </is>
      </c>
      <c r="G492" s="7" t="inlineStr">
        <is>
          <t>Central</t>
        </is>
      </c>
      <c r="H492" s="7" t="inlineStr">
        <is>
          <t>Ohio</t>
        </is>
      </c>
      <c r="I492" s="7" t="inlineStr">
        <is>
          <t>Online</t>
        </is>
      </c>
      <c r="J492" s="7" t="inlineStr">
        <is>
          <t>Corporate</t>
        </is>
      </c>
      <c r="K492" s="8" t="n">
        <v>5</v>
      </c>
      <c r="L492" s="9" t="n">
        <v>1499.99</v>
      </c>
      <c r="M492" s="10" t="n">
        <v>0.15</v>
      </c>
      <c r="N492" s="9" t="n">
        <v>1259.99</v>
      </c>
      <c r="O492" s="9" t="n">
        <v>7499.95</v>
      </c>
      <c r="P492" s="9" t="n">
        <v>1124.99</v>
      </c>
      <c r="Q492" s="9" t="n">
        <v>6374.96</v>
      </c>
      <c r="R492" s="9" t="n">
        <v>6299.95</v>
      </c>
      <c r="S492" s="9" t="n">
        <v>75.01000000000001</v>
      </c>
      <c r="T492" s="10" t="n">
        <v>0.0118</v>
      </c>
    </row>
    <row r="493">
      <c r="A493" s="7" t="inlineStr">
        <is>
          <t>ORD-2024-1497</t>
        </is>
      </c>
      <c r="B493" s="7" t="inlineStr">
        <is>
          <t>2024-07-18</t>
        </is>
      </c>
      <c r="C493" s="7" t="inlineStr">
        <is>
          <t>TEC-ACC-006</t>
        </is>
      </c>
      <c r="D493" s="7" t="inlineStr">
        <is>
          <t>MultiPort Thunderbolt 4 Dock</t>
        </is>
      </c>
      <c r="E493" s="7" t="inlineStr">
        <is>
          <t>Technology</t>
        </is>
      </c>
      <c r="F493" s="7" t="inlineStr">
        <is>
          <t>Audio &amp; Accessories</t>
        </is>
      </c>
      <c r="G493" s="7" t="inlineStr">
        <is>
          <t>Central</t>
        </is>
      </c>
      <c r="H493" s="7" t="inlineStr">
        <is>
          <t>Illinois</t>
        </is>
      </c>
      <c r="I493" s="7" t="inlineStr">
        <is>
          <t>Online</t>
        </is>
      </c>
      <c r="J493" s="7" t="inlineStr">
        <is>
          <t>Consumer</t>
        </is>
      </c>
      <c r="K493" s="8" t="n">
        <v>4</v>
      </c>
      <c r="L493" s="9" t="n">
        <v>149.99</v>
      </c>
      <c r="M493" s="10" t="n">
        <v>0</v>
      </c>
      <c r="N493" s="9" t="n">
        <v>98.98999999999999</v>
      </c>
      <c r="O493" s="9" t="n">
        <v>599.96</v>
      </c>
      <c r="P493" s="9" t="n">
        <v>0</v>
      </c>
      <c r="Q493" s="9" t="n">
        <v>599.96</v>
      </c>
      <c r="R493" s="9" t="n">
        <v>395.96</v>
      </c>
      <c r="S493" s="9" t="n">
        <v>204</v>
      </c>
      <c r="T493" s="10" t="n">
        <v>0.34</v>
      </c>
    </row>
    <row r="494">
      <c r="A494" s="7" t="inlineStr">
        <is>
          <t>ORD-2024-1631</t>
        </is>
      </c>
      <c r="B494" s="7" t="inlineStr">
        <is>
          <t>2024-07-18</t>
        </is>
      </c>
      <c r="C494" s="7" t="inlineStr">
        <is>
          <t>OFF-STR-001</t>
        </is>
      </c>
      <c r="D494" s="7" t="inlineStr">
        <is>
          <t>SteelLock 3-Drawer File Cabinet</t>
        </is>
      </c>
      <c r="E494" s="7" t="inlineStr">
        <is>
          <t>Office Supplies</t>
        </is>
      </c>
      <c r="F494" s="7" t="inlineStr">
        <is>
          <t>Storage &amp; Organizers</t>
        </is>
      </c>
      <c r="G494" s="7" t="inlineStr">
        <is>
          <t>Central</t>
        </is>
      </c>
      <c r="H494" s="7" t="inlineStr">
        <is>
          <t>Illinois</t>
        </is>
      </c>
      <c r="I494" s="7" t="inlineStr">
        <is>
          <t>Online</t>
        </is>
      </c>
      <c r="J494" s="7" t="inlineStr">
        <is>
          <t>Corporate</t>
        </is>
      </c>
      <c r="K494" s="8" t="n">
        <v>7</v>
      </c>
      <c r="L494" s="9" t="n">
        <v>169.99</v>
      </c>
      <c r="M494" s="10" t="n">
        <v>0.1</v>
      </c>
      <c r="N494" s="9" t="n">
        <v>115.59</v>
      </c>
      <c r="O494" s="9" t="n">
        <v>1189.93</v>
      </c>
      <c r="P494" s="9" t="n">
        <v>118.99</v>
      </c>
      <c r="Q494" s="9" t="n">
        <v>1070.94</v>
      </c>
      <c r="R494" s="9" t="n">
        <v>809.13</v>
      </c>
      <c r="S494" s="9" t="n">
        <v>261.81</v>
      </c>
      <c r="T494" s="10" t="n">
        <v>0.2445</v>
      </c>
    </row>
    <row r="495">
      <c r="A495" s="7" t="inlineStr">
        <is>
          <t>ORD-2024-1636</t>
        </is>
      </c>
      <c r="B495" s="7" t="inlineStr">
        <is>
          <t>2024-07-18</t>
        </is>
      </c>
      <c r="C495" s="7" t="inlineStr">
        <is>
          <t>OFF-PAP-004</t>
        </is>
      </c>
      <c r="D495" s="7" t="inlineStr">
        <is>
          <t>EcoRecycled Copy Paper (5 Reams)</t>
        </is>
      </c>
      <c r="E495" s="7" t="inlineStr">
        <is>
          <t>Office Supplies</t>
        </is>
      </c>
      <c r="F495" s="7" t="inlineStr">
        <is>
          <t>Paper Products</t>
        </is>
      </c>
      <c r="G495" s="7" t="inlineStr">
        <is>
          <t>East</t>
        </is>
      </c>
      <c r="H495" s="7" t="inlineStr">
        <is>
          <t>New Jersey</t>
        </is>
      </c>
      <c r="I495" s="7" t="inlineStr">
        <is>
          <t>Online</t>
        </is>
      </c>
      <c r="J495" s="7" t="inlineStr">
        <is>
          <t>Corporate</t>
        </is>
      </c>
      <c r="K495" s="8" t="n">
        <v>2</v>
      </c>
      <c r="L495" s="9" t="n">
        <v>32.99</v>
      </c>
      <c r="M495" s="10" t="n">
        <v>0</v>
      </c>
      <c r="N495" s="9" t="n">
        <v>19.79</v>
      </c>
      <c r="O495" s="9" t="n">
        <v>65.98</v>
      </c>
      <c r="P495" s="9" t="n">
        <v>0</v>
      </c>
      <c r="Q495" s="9" t="n">
        <v>65.98</v>
      </c>
      <c r="R495" s="9" t="n">
        <v>39.58</v>
      </c>
      <c r="S495" s="9" t="n">
        <v>26.4</v>
      </c>
      <c r="T495" s="10" t="n">
        <v>0.4001</v>
      </c>
    </row>
    <row r="496">
      <c r="A496" s="7" t="inlineStr">
        <is>
          <t>ORD-2024-1636</t>
        </is>
      </c>
      <c r="B496" s="7" t="inlineStr">
        <is>
          <t>2024-07-18</t>
        </is>
      </c>
      <c r="C496" s="7" t="inlineStr">
        <is>
          <t>FUR-DSK-004</t>
        </is>
      </c>
      <c r="D496" s="7" t="inlineStr">
        <is>
          <t>Metro Compact Corner Workstation</t>
        </is>
      </c>
      <c r="E496" s="7" t="inlineStr">
        <is>
          <t>Furniture</t>
        </is>
      </c>
      <c r="F496" s="7" t="inlineStr">
        <is>
          <t>Desks &amp; Workstations</t>
        </is>
      </c>
      <c r="G496" s="7" t="inlineStr">
        <is>
          <t>East</t>
        </is>
      </c>
      <c r="H496" s="7" t="inlineStr">
        <is>
          <t>New Jersey</t>
        </is>
      </c>
      <c r="I496" s="7" t="inlineStr">
        <is>
          <t>Online</t>
        </is>
      </c>
      <c r="J496" s="7" t="inlineStr">
        <is>
          <t>Corporate</t>
        </is>
      </c>
      <c r="K496" s="8" t="n">
        <v>7</v>
      </c>
      <c r="L496" s="9" t="n">
        <v>329.99</v>
      </c>
      <c r="M496" s="10" t="n">
        <v>0.1</v>
      </c>
      <c r="N496" s="9" t="n">
        <v>250.79</v>
      </c>
      <c r="O496" s="9" t="n">
        <v>2309.93</v>
      </c>
      <c r="P496" s="9" t="n">
        <v>230.99</v>
      </c>
      <c r="Q496" s="9" t="n">
        <v>2078.94</v>
      </c>
      <c r="R496" s="9" t="n">
        <v>1755.53</v>
      </c>
      <c r="S496" s="9" t="n">
        <v>323.41</v>
      </c>
      <c r="T496" s="10" t="n">
        <v>0.1556</v>
      </c>
    </row>
    <row r="497">
      <c r="A497" s="7" t="inlineStr">
        <is>
          <t>ORD-2024-1696</t>
        </is>
      </c>
      <c r="B497" s="7" t="inlineStr">
        <is>
          <t>2024-07-18</t>
        </is>
      </c>
      <c r="C497" s="7" t="inlineStr">
        <is>
          <t>OFF-BIN-005</t>
        </is>
      </c>
      <c r="D497" s="7" t="inlineStr">
        <is>
          <t>Heavy-Duty D-Ring Presentation Binder (6-Pk)</t>
        </is>
      </c>
      <c r="E497" s="7" t="inlineStr">
        <is>
          <t>Office Supplies</t>
        </is>
      </c>
      <c r="F497" s="7" t="inlineStr">
        <is>
          <t>Binders &amp; Fasteners</t>
        </is>
      </c>
      <c r="G497" s="7" t="inlineStr">
        <is>
          <t>West</t>
        </is>
      </c>
      <c r="H497" s="7" t="inlineStr">
        <is>
          <t>Washington</t>
        </is>
      </c>
      <c r="I497" s="7" t="inlineStr">
        <is>
          <t>Online</t>
        </is>
      </c>
      <c r="J497" s="7" t="inlineStr">
        <is>
          <t>Consumer</t>
        </is>
      </c>
      <c r="K497" s="8" t="n">
        <v>4</v>
      </c>
      <c r="L497" s="9" t="n">
        <v>27.99</v>
      </c>
      <c r="M497" s="10" t="n">
        <v>0.05</v>
      </c>
      <c r="N497" s="9" t="n">
        <v>13.99</v>
      </c>
      <c r="O497" s="9" t="n">
        <v>111.96</v>
      </c>
      <c r="P497" s="9" t="n">
        <v>5.6</v>
      </c>
      <c r="Q497" s="9" t="n">
        <v>106.36</v>
      </c>
      <c r="R497" s="9" t="n">
        <v>55.96</v>
      </c>
      <c r="S497" s="9" t="n">
        <v>50.4</v>
      </c>
      <c r="T497" s="10" t="n">
        <v>0.4739</v>
      </c>
    </row>
    <row r="498">
      <c r="A498" s="7" t="inlineStr">
        <is>
          <t>ORD-2024-1696</t>
        </is>
      </c>
      <c r="B498" s="7" t="inlineStr">
        <is>
          <t>2024-07-18</t>
        </is>
      </c>
      <c r="C498" s="7" t="inlineStr">
        <is>
          <t>FUR-DSK-003</t>
        </is>
      </c>
      <c r="D498" s="7" t="inlineStr">
        <is>
          <t>ApexMotor Dual-Motor Standing Desk</t>
        </is>
      </c>
      <c r="E498" s="7" t="inlineStr">
        <is>
          <t>Furniture</t>
        </is>
      </c>
      <c r="F498" s="7" t="inlineStr">
        <is>
          <t>Desks &amp; Workstations</t>
        </is>
      </c>
      <c r="G498" s="7" t="inlineStr">
        <is>
          <t>West</t>
        </is>
      </c>
      <c r="H498" s="7" t="inlineStr">
        <is>
          <t>Washington</t>
        </is>
      </c>
      <c r="I498" s="7" t="inlineStr">
        <is>
          <t>Online</t>
        </is>
      </c>
      <c r="J498" s="7" t="inlineStr">
        <is>
          <t>Consumer</t>
        </is>
      </c>
      <c r="K498" s="8" t="n">
        <v>1</v>
      </c>
      <c r="L498" s="9" t="n">
        <v>549.99</v>
      </c>
      <c r="M498" s="10" t="n">
        <v>0</v>
      </c>
      <c r="N498" s="9" t="n">
        <v>439.99</v>
      </c>
      <c r="O498" s="9" t="n">
        <v>549.99</v>
      </c>
      <c r="P498" s="9" t="n">
        <v>0</v>
      </c>
      <c r="Q498" s="9" t="n">
        <v>549.99</v>
      </c>
      <c r="R498" s="9" t="n">
        <v>439.99</v>
      </c>
      <c r="S498" s="9" t="n">
        <v>110</v>
      </c>
      <c r="T498" s="10" t="n">
        <v>0.2</v>
      </c>
    </row>
    <row r="499">
      <c r="A499" s="7" t="inlineStr">
        <is>
          <t>ORD-2024-1241</t>
        </is>
      </c>
      <c r="B499" s="7" t="inlineStr">
        <is>
          <t>2024-07-19</t>
        </is>
      </c>
      <c r="C499" s="7" t="inlineStr">
        <is>
          <t>TEC-ACC-006</t>
        </is>
      </c>
      <c r="D499" s="7" t="inlineStr">
        <is>
          <t>MultiPort Thunderbolt 4 Dock</t>
        </is>
      </c>
      <c r="E499" s="7" t="inlineStr">
        <is>
          <t>Technology</t>
        </is>
      </c>
      <c r="F499" s="7" t="inlineStr">
        <is>
          <t>Audio &amp; Accessories</t>
        </is>
      </c>
      <c r="G499" s="7" t="inlineStr">
        <is>
          <t>West</t>
        </is>
      </c>
      <c r="H499" s="7" t="inlineStr">
        <is>
          <t>Washington</t>
        </is>
      </c>
      <c r="I499" s="7" t="inlineStr">
        <is>
          <t>Online</t>
        </is>
      </c>
      <c r="J499" s="7" t="inlineStr">
        <is>
          <t>Corporate</t>
        </is>
      </c>
      <c r="K499" s="8" t="n">
        <v>3</v>
      </c>
      <c r="L499" s="9" t="n">
        <v>149.99</v>
      </c>
      <c r="M499" s="10" t="n">
        <v>0</v>
      </c>
      <c r="N499" s="9" t="n">
        <v>98.98999999999999</v>
      </c>
      <c r="O499" s="9" t="n">
        <v>449.97</v>
      </c>
      <c r="P499" s="9" t="n">
        <v>0</v>
      </c>
      <c r="Q499" s="9" t="n">
        <v>449.97</v>
      </c>
      <c r="R499" s="9" t="n">
        <v>296.97</v>
      </c>
      <c r="S499" s="9" t="n">
        <v>153</v>
      </c>
      <c r="T499" s="10" t="n">
        <v>0.34</v>
      </c>
    </row>
    <row r="500">
      <c r="A500" s="7" t="inlineStr">
        <is>
          <t>ORD-2024-1478</t>
        </is>
      </c>
      <c r="B500" s="7" t="inlineStr">
        <is>
          <t>2024-07-20</t>
        </is>
      </c>
      <c r="C500" s="7" t="inlineStr">
        <is>
          <t>TEC-LAP-002</t>
        </is>
      </c>
      <c r="D500" s="7" t="inlineStr">
        <is>
          <t>Apex Gaming Laptop 17"</t>
        </is>
      </c>
      <c r="E500" s="7" t="inlineStr">
        <is>
          <t>Technology</t>
        </is>
      </c>
      <c r="F500" s="7" t="inlineStr">
        <is>
          <t>Laptops</t>
        </is>
      </c>
      <c r="G500" s="7" t="inlineStr">
        <is>
          <t>West</t>
        </is>
      </c>
      <c r="H500" s="7" t="inlineStr">
        <is>
          <t>Colorado</t>
        </is>
      </c>
      <c r="I500" s="7" t="inlineStr">
        <is>
          <t>Online</t>
        </is>
      </c>
      <c r="J500" s="7" t="inlineStr">
        <is>
          <t>Corporate</t>
        </is>
      </c>
      <c r="K500" s="8" t="n">
        <v>7</v>
      </c>
      <c r="L500" s="9" t="n">
        <v>1499.99</v>
      </c>
      <c r="M500" s="10" t="n">
        <v>0.15</v>
      </c>
      <c r="N500" s="9" t="n">
        <v>1259.99</v>
      </c>
      <c r="O500" s="9" t="n">
        <v>10499.93</v>
      </c>
      <c r="P500" s="9" t="n">
        <v>1574.99</v>
      </c>
      <c r="Q500" s="9" t="n">
        <v>8924.940000000001</v>
      </c>
      <c r="R500" s="9" t="n">
        <v>8819.93</v>
      </c>
      <c r="S500" s="9" t="n">
        <v>105.01</v>
      </c>
      <c r="T500" s="10" t="n">
        <v>0.0118</v>
      </c>
    </row>
    <row r="501">
      <c r="A501" s="7" t="inlineStr">
        <is>
          <t>ORD-2024-1589</t>
        </is>
      </c>
      <c r="B501" s="7" t="inlineStr">
        <is>
          <t>2024-07-21</t>
        </is>
      </c>
      <c r="C501" s="7" t="inlineStr">
        <is>
          <t>TEC-TAB-003</t>
        </is>
      </c>
      <c r="D501" s="7" t="inlineStr">
        <is>
          <t>VisionPad Pro 11"</t>
        </is>
      </c>
      <c r="E501" s="7" t="inlineStr">
        <is>
          <t>Technology</t>
        </is>
      </c>
      <c r="F501" s="7" t="inlineStr">
        <is>
          <t>Phones &amp; Tablets</t>
        </is>
      </c>
      <c r="G501" s="7" t="inlineStr">
        <is>
          <t>East</t>
        </is>
      </c>
      <c r="H501" s="7" t="inlineStr">
        <is>
          <t>New York</t>
        </is>
      </c>
      <c r="I501" s="7" t="inlineStr">
        <is>
          <t>Wholesale</t>
        </is>
      </c>
      <c r="J501" s="7" t="inlineStr">
        <is>
          <t>Home Office</t>
        </is>
      </c>
      <c r="K501" s="8" t="n">
        <v>11</v>
      </c>
      <c r="L501" s="9" t="n">
        <v>649.99</v>
      </c>
      <c r="M501" s="10" t="n">
        <v>0.1</v>
      </c>
      <c r="N501" s="9" t="n">
        <v>487.49</v>
      </c>
      <c r="O501" s="9" t="n">
        <v>7149.89</v>
      </c>
      <c r="P501" s="9" t="n">
        <v>714.99</v>
      </c>
      <c r="Q501" s="9" t="n">
        <v>6434.9</v>
      </c>
      <c r="R501" s="9" t="n">
        <v>5362.39</v>
      </c>
      <c r="S501" s="9" t="n">
        <v>1072.51</v>
      </c>
      <c r="T501" s="10" t="n">
        <v>0.1667</v>
      </c>
    </row>
    <row r="502">
      <c r="A502" s="7" t="inlineStr">
        <is>
          <t>ORD-2024-1589</t>
        </is>
      </c>
      <c r="B502" s="7" t="inlineStr">
        <is>
          <t>2024-07-21</t>
        </is>
      </c>
      <c r="C502" s="7" t="inlineStr">
        <is>
          <t>FUR-BOK-005</t>
        </is>
      </c>
      <c r="D502" s="7" t="inlineStr">
        <is>
          <t>Modular 5-Tier Steel Bookcase</t>
        </is>
      </c>
      <c r="E502" s="7" t="inlineStr">
        <is>
          <t>Furniture</t>
        </is>
      </c>
      <c r="F502" s="7" t="inlineStr">
        <is>
          <t>Bookcases</t>
        </is>
      </c>
      <c r="G502" s="7" t="inlineStr">
        <is>
          <t>East</t>
        </is>
      </c>
      <c r="H502" s="7" t="inlineStr">
        <is>
          <t>New York</t>
        </is>
      </c>
      <c r="I502" s="7" t="inlineStr">
        <is>
          <t>Wholesale</t>
        </is>
      </c>
      <c r="J502" s="7" t="inlineStr">
        <is>
          <t>Home Office</t>
        </is>
      </c>
      <c r="K502" s="8" t="n">
        <v>11</v>
      </c>
      <c r="L502" s="9" t="n">
        <v>189.99</v>
      </c>
      <c r="M502" s="10" t="n">
        <v>0.15</v>
      </c>
      <c r="N502" s="9" t="n">
        <v>142.49</v>
      </c>
      <c r="O502" s="9" t="n">
        <v>2089.89</v>
      </c>
      <c r="P502" s="9" t="n">
        <v>313.48</v>
      </c>
      <c r="Q502" s="9" t="n">
        <v>1776.41</v>
      </c>
      <c r="R502" s="9" t="n">
        <v>1567.39</v>
      </c>
      <c r="S502" s="9" t="n">
        <v>209.02</v>
      </c>
      <c r="T502" s="10" t="n">
        <v>0.1177</v>
      </c>
    </row>
    <row r="503">
      <c r="A503" s="7" t="inlineStr">
        <is>
          <t>ORD-2024-1102</t>
        </is>
      </c>
      <c r="B503" s="7" t="inlineStr">
        <is>
          <t>2024-07-22</t>
        </is>
      </c>
      <c r="C503" s="7" t="inlineStr">
        <is>
          <t>FUR-DSK-003</t>
        </is>
      </c>
      <c r="D503" s="7" t="inlineStr">
        <is>
          <t>ApexMotor Dual-Motor Standing Desk</t>
        </is>
      </c>
      <c r="E503" s="7" t="inlineStr">
        <is>
          <t>Furniture</t>
        </is>
      </c>
      <c r="F503" s="7" t="inlineStr">
        <is>
          <t>Desks &amp; Workstations</t>
        </is>
      </c>
      <c r="G503" s="7" t="inlineStr">
        <is>
          <t>West</t>
        </is>
      </c>
      <c r="H503" s="7" t="inlineStr">
        <is>
          <t>Colorado</t>
        </is>
      </c>
      <c r="I503" s="7" t="inlineStr">
        <is>
          <t>Online</t>
        </is>
      </c>
      <c r="J503" s="7" t="inlineStr">
        <is>
          <t>Consumer</t>
        </is>
      </c>
      <c r="K503" s="8" t="n">
        <v>4</v>
      </c>
      <c r="L503" s="9" t="n">
        <v>549.99</v>
      </c>
      <c r="M503" s="10" t="n">
        <v>0.05</v>
      </c>
      <c r="N503" s="9" t="n">
        <v>439.99</v>
      </c>
      <c r="O503" s="9" t="n">
        <v>2199.96</v>
      </c>
      <c r="P503" s="9" t="n">
        <v>110</v>
      </c>
      <c r="Q503" s="9" t="n">
        <v>2089.96</v>
      </c>
      <c r="R503" s="9" t="n">
        <v>1759.96</v>
      </c>
      <c r="S503" s="9" t="n">
        <v>330</v>
      </c>
      <c r="T503" s="10" t="n">
        <v>0.1579</v>
      </c>
    </row>
    <row r="504">
      <c r="A504" s="7" t="inlineStr">
        <is>
          <t>ORD-2024-1115</t>
        </is>
      </c>
      <c r="B504" s="7" t="inlineStr">
        <is>
          <t>2024-07-23</t>
        </is>
      </c>
      <c r="C504" s="7" t="inlineStr">
        <is>
          <t>TEC-TAB-004</t>
        </is>
      </c>
      <c r="D504" s="7" t="inlineStr">
        <is>
          <t>VisionPad Lite 8.5"</t>
        </is>
      </c>
      <c r="E504" s="7" t="inlineStr">
        <is>
          <t>Technology</t>
        </is>
      </c>
      <c r="F504" s="7" t="inlineStr">
        <is>
          <t>Phones &amp; Tablets</t>
        </is>
      </c>
      <c r="G504" s="7" t="inlineStr">
        <is>
          <t>Central</t>
        </is>
      </c>
      <c r="H504" s="7" t="inlineStr">
        <is>
          <t>Illinois</t>
        </is>
      </c>
      <c r="I504" s="7" t="inlineStr">
        <is>
          <t>Direct Sales</t>
        </is>
      </c>
      <c r="J504" s="7" t="inlineStr">
        <is>
          <t>Consumer</t>
        </is>
      </c>
      <c r="K504" s="8" t="n">
        <v>4</v>
      </c>
      <c r="L504" s="9" t="n">
        <v>299.99</v>
      </c>
      <c r="M504" s="10" t="n">
        <v>0</v>
      </c>
      <c r="N504" s="9" t="n">
        <v>245.99</v>
      </c>
      <c r="O504" s="9" t="n">
        <v>1199.96</v>
      </c>
      <c r="P504" s="9" t="n">
        <v>0</v>
      </c>
      <c r="Q504" s="9" t="n">
        <v>1199.96</v>
      </c>
      <c r="R504" s="9" t="n">
        <v>983.96</v>
      </c>
      <c r="S504" s="9" t="n">
        <v>216</v>
      </c>
      <c r="T504" s="10" t="n">
        <v>0.18</v>
      </c>
    </row>
    <row r="505">
      <c r="A505" s="7" t="inlineStr">
        <is>
          <t>ORD-2024-1700</t>
        </is>
      </c>
      <c r="B505" s="7" t="inlineStr">
        <is>
          <t>2024-07-23</t>
        </is>
      </c>
      <c r="C505" s="7" t="inlineStr">
        <is>
          <t>OFF-DSK-007</t>
        </is>
      </c>
      <c r="D505" s="7" t="inlineStr">
        <is>
          <t>Gel Ergo Mouse Pad &amp; Wrist Rest Combo</t>
        </is>
      </c>
      <c r="E505" s="7" t="inlineStr">
        <is>
          <t>Office Supplies</t>
        </is>
      </c>
      <c r="F505" s="7" t="inlineStr">
        <is>
          <t>Desk Supplies</t>
        </is>
      </c>
      <c r="G505" s="7" t="inlineStr">
        <is>
          <t>East</t>
        </is>
      </c>
      <c r="H505" s="7" t="inlineStr">
        <is>
          <t>Pennsylvania</t>
        </is>
      </c>
      <c r="I505" s="7" t="inlineStr">
        <is>
          <t>Retail Partner</t>
        </is>
      </c>
      <c r="J505" s="7" t="inlineStr">
        <is>
          <t>Home Office</t>
        </is>
      </c>
      <c r="K505" s="8" t="n">
        <v>3</v>
      </c>
      <c r="L505" s="9" t="n">
        <v>21.99</v>
      </c>
      <c r="M505" s="10" t="n">
        <v>0</v>
      </c>
      <c r="N505" s="9" t="n">
        <v>10.56</v>
      </c>
      <c r="O505" s="9" t="n">
        <v>65.97</v>
      </c>
      <c r="P505" s="9" t="n">
        <v>0</v>
      </c>
      <c r="Q505" s="9" t="n">
        <v>65.97</v>
      </c>
      <c r="R505" s="9" t="n">
        <v>31.68</v>
      </c>
      <c r="S505" s="9" t="n">
        <v>34.29</v>
      </c>
      <c r="T505" s="10" t="n">
        <v>0.5198</v>
      </c>
    </row>
    <row r="506">
      <c r="A506" s="7" t="inlineStr">
        <is>
          <t>ORD-2024-1700</t>
        </is>
      </c>
      <c r="B506" s="7" t="inlineStr">
        <is>
          <t>2024-07-23</t>
        </is>
      </c>
      <c r="C506" s="7" t="inlineStr">
        <is>
          <t>TEC-ACC-006</t>
        </is>
      </c>
      <c r="D506" s="7" t="inlineStr">
        <is>
          <t>MultiPort Thunderbolt 4 Dock</t>
        </is>
      </c>
      <c r="E506" s="7" t="inlineStr">
        <is>
          <t>Technology</t>
        </is>
      </c>
      <c r="F506" s="7" t="inlineStr">
        <is>
          <t>Audio &amp; Accessories</t>
        </is>
      </c>
      <c r="G506" s="7" t="inlineStr">
        <is>
          <t>East</t>
        </is>
      </c>
      <c r="H506" s="7" t="inlineStr">
        <is>
          <t>Pennsylvania</t>
        </is>
      </c>
      <c r="I506" s="7" t="inlineStr">
        <is>
          <t>Retail Partner</t>
        </is>
      </c>
      <c r="J506" s="7" t="inlineStr">
        <is>
          <t>Home Office</t>
        </is>
      </c>
      <c r="K506" s="8" t="n">
        <v>3</v>
      </c>
      <c r="L506" s="9" t="n">
        <v>149.99</v>
      </c>
      <c r="M506" s="10" t="n">
        <v>0.05</v>
      </c>
      <c r="N506" s="9" t="n">
        <v>98.98999999999999</v>
      </c>
      <c r="O506" s="9" t="n">
        <v>449.97</v>
      </c>
      <c r="P506" s="9" t="n">
        <v>22.5</v>
      </c>
      <c r="Q506" s="9" t="n">
        <v>427.47</v>
      </c>
      <c r="R506" s="9" t="n">
        <v>296.97</v>
      </c>
      <c r="S506" s="9" t="n">
        <v>130.5</v>
      </c>
      <c r="T506" s="10" t="n">
        <v>0.3053</v>
      </c>
    </row>
    <row r="507">
      <c r="A507" s="7" t="inlineStr">
        <is>
          <t>ORD-2024-1394</t>
        </is>
      </c>
      <c r="B507" s="7" t="inlineStr">
        <is>
          <t>2024-07-24</t>
        </is>
      </c>
      <c r="C507" s="7" t="inlineStr">
        <is>
          <t>OFF-BIN-005</t>
        </is>
      </c>
      <c r="D507" s="7" t="inlineStr">
        <is>
          <t>Heavy-Duty D-Ring Presentation Binder (6-Pk)</t>
        </is>
      </c>
      <c r="E507" s="7" t="inlineStr">
        <is>
          <t>Office Supplies</t>
        </is>
      </c>
      <c r="F507" s="7" t="inlineStr">
        <is>
          <t>Binders &amp; Fasteners</t>
        </is>
      </c>
      <c r="G507" s="7" t="inlineStr">
        <is>
          <t>Central</t>
        </is>
      </c>
      <c r="H507" s="7" t="inlineStr">
        <is>
          <t>Illinois</t>
        </is>
      </c>
      <c r="I507" s="7" t="inlineStr">
        <is>
          <t>Wholesale</t>
        </is>
      </c>
      <c r="J507" s="7" t="inlineStr">
        <is>
          <t>Consumer</t>
        </is>
      </c>
      <c r="K507" s="8" t="n">
        <v>10</v>
      </c>
      <c r="L507" s="9" t="n">
        <v>27.99</v>
      </c>
      <c r="M507" s="10" t="n">
        <v>0.15</v>
      </c>
      <c r="N507" s="9" t="n">
        <v>13.99</v>
      </c>
      <c r="O507" s="9" t="n">
        <v>279.9</v>
      </c>
      <c r="P507" s="9" t="n">
        <v>41.98</v>
      </c>
      <c r="Q507" s="9" t="n">
        <v>237.92</v>
      </c>
      <c r="R507" s="9" t="n">
        <v>139.9</v>
      </c>
      <c r="S507" s="9" t="n">
        <v>98.02</v>
      </c>
      <c r="T507" s="10" t="n">
        <v>0.412</v>
      </c>
    </row>
    <row r="508">
      <c r="A508" s="7" t="inlineStr">
        <is>
          <t>ORD-2024-1394</t>
        </is>
      </c>
      <c r="B508" s="7" t="inlineStr">
        <is>
          <t>2024-07-24</t>
        </is>
      </c>
      <c r="C508" s="7" t="inlineStr">
        <is>
          <t>TEC-ACC-005</t>
        </is>
      </c>
      <c r="D508" s="7" t="inlineStr">
        <is>
          <t>UltraWireless Noise-Canceling Headset</t>
        </is>
      </c>
      <c r="E508" s="7" t="inlineStr">
        <is>
          <t>Technology</t>
        </is>
      </c>
      <c r="F508" s="7" t="inlineStr">
        <is>
          <t>Audio &amp; Accessories</t>
        </is>
      </c>
      <c r="G508" s="7" t="inlineStr">
        <is>
          <t>Central</t>
        </is>
      </c>
      <c r="H508" s="7" t="inlineStr">
        <is>
          <t>Illinois</t>
        </is>
      </c>
      <c r="I508" s="7" t="inlineStr">
        <is>
          <t>Wholesale</t>
        </is>
      </c>
      <c r="J508" s="7" t="inlineStr">
        <is>
          <t>Consumer</t>
        </is>
      </c>
      <c r="K508" s="8" t="n">
        <v>5</v>
      </c>
      <c r="L508" s="9" t="n">
        <v>179.99</v>
      </c>
      <c r="M508" s="10" t="n">
        <v>0.15</v>
      </c>
      <c r="N508" s="9" t="n">
        <v>111.59</v>
      </c>
      <c r="O508" s="9" t="n">
        <v>899.95</v>
      </c>
      <c r="P508" s="9" t="n">
        <v>134.99</v>
      </c>
      <c r="Q508" s="9" t="n">
        <v>764.96</v>
      </c>
      <c r="R508" s="9" t="n">
        <v>557.95</v>
      </c>
      <c r="S508" s="9" t="n">
        <v>207.01</v>
      </c>
      <c r="T508" s="10" t="n">
        <v>0.2706</v>
      </c>
    </row>
    <row r="509">
      <c r="A509" s="7" t="inlineStr">
        <is>
          <t>ORD-2024-1260</t>
        </is>
      </c>
      <c r="B509" s="7" t="inlineStr">
        <is>
          <t>2024-07-25</t>
        </is>
      </c>
      <c r="C509" s="7" t="inlineStr">
        <is>
          <t>OFF-DSK-008</t>
        </is>
      </c>
      <c r="D509" s="7" t="inlineStr">
        <is>
          <t>Steel Desktop Mesh Organizer Caddy</t>
        </is>
      </c>
      <c r="E509" s="7" t="inlineStr">
        <is>
          <t>Office Supplies</t>
        </is>
      </c>
      <c r="F509" s="7" t="inlineStr">
        <is>
          <t>Desk Supplies</t>
        </is>
      </c>
      <c r="G509" s="7" t="inlineStr">
        <is>
          <t>East</t>
        </is>
      </c>
      <c r="H509" s="7" t="inlineStr">
        <is>
          <t>Pennsylvania</t>
        </is>
      </c>
      <c r="I509" s="7" t="inlineStr">
        <is>
          <t>Direct Sales</t>
        </is>
      </c>
      <c r="J509" s="7" t="inlineStr">
        <is>
          <t>Home Office</t>
        </is>
      </c>
      <c r="K509" s="8" t="n">
        <v>4</v>
      </c>
      <c r="L509" s="9" t="n">
        <v>18.99</v>
      </c>
      <c r="M509" s="10" t="n">
        <v>0.15</v>
      </c>
      <c r="N509" s="9" t="n">
        <v>8.550000000000001</v>
      </c>
      <c r="O509" s="9" t="n">
        <v>75.95999999999999</v>
      </c>
      <c r="P509" s="9" t="n">
        <v>11.39</v>
      </c>
      <c r="Q509" s="9" t="n">
        <v>64.56999999999999</v>
      </c>
      <c r="R509" s="9" t="n">
        <v>34.2</v>
      </c>
      <c r="S509" s="9" t="n">
        <v>30.37</v>
      </c>
      <c r="T509" s="10" t="n">
        <v>0.4703</v>
      </c>
    </row>
    <row r="510">
      <c r="A510" s="7" t="inlineStr">
        <is>
          <t>ORD-2024-1400</t>
        </is>
      </c>
      <c r="B510" s="7" t="inlineStr">
        <is>
          <t>2024-07-25</t>
        </is>
      </c>
      <c r="C510" s="7" t="inlineStr">
        <is>
          <t>FUR-CHA-002</t>
        </is>
      </c>
      <c r="D510" s="7" t="inlineStr">
        <is>
          <t>AeroTask Operator Task Chair</t>
        </is>
      </c>
      <c r="E510" s="7" t="inlineStr">
        <is>
          <t>Furniture</t>
        </is>
      </c>
      <c r="F510" s="7" t="inlineStr">
        <is>
          <t>Chairs</t>
        </is>
      </c>
      <c r="G510" s="7" t="inlineStr">
        <is>
          <t>East</t>
        </is>
      </c>
      <c r="H510" s="7" t="inlineStr">
        <is>
          <t>Pennsylvania</t>
        </is>
      </c>
      <c r="I510" s="7" t="inlineStr">
        <is>
          <t>Online</t>
        </is>
      </c>
      <c r="J510" s="7" t="inlineStr">
        <is>
          <t>Consumer</t>
        </is>
      </c>
      <c r="K510" s="8" t="n">
        <v>3</v>
      </c>
      <c r="L510" s="9" t="n">
        <v>219.99</v>
      </c>
      <c r="M510" s="10" t="n">
        <v>0.1</v>
      </c>
      <c r="N510" s="9" t="n">
        <v>171.59</v>
      </c>
      <c r="O510" s="9" t="n">
        <v>659.97</v>
      </c>
      <c r="P510" s="9" t="n">
        <v>66</v>
      </c>
      <c r="Q510" s="9" t="n">
        <v>593.97</v>
      </c>
      <c r="R510" s="9" t="n">
        <v>514.77</v>
      </c>
      <c r="S510" s="9" t="n">
        <v>79.2</v>
      </c>
      <c r="T510" s="10" t="n">
        <v>0.1333</v>
      </c>
    </row>
    <row r="511">
      <c r="A511" s="7" t="inlineStr">
        <is>
          <t>ORD-2024-1484</t>
        </is>
      </c>
      <c r="B511" s="7" t="inlineStr">
        <is>
          <t>2024-07-25</t>
        </is>
      </c>
      <c r="C511" s="7" t="inlineStr">
        <is>
          <t>TEC-ACC-007</t>
        </is>
      </c>
      <c r="D511" s="7" t="inlineStr">
        <is>
          <t>ErgoMechanical Wireless Keyboard</t>
        </is>
      </c>
      <c r="E511" s="7" t="inlineStr">
        <is>
          <t>Technology</t>
        </is>
      </c>
      <c r="F511" s="7" t="inlineStr">
        <is>
          <t>Audio &amp; Accessories</t>
        </is>
      </c>
      <c r="G511" s="7" t="inlineStr">
        <is>
          <t>West</t>
        </is>
      </c>
      <c r="H511" s="7" t="inlineStr">
        <is>
          <t>Oregon</t>
        </is>
      </c>
      <c r="I511" s="7" t="inlineStr">
        <is>
          <t>Direct Sales</t>
        </is>
      </c>
      <c r="J511" s="7" t="inlineStr">
        <is>
          <t>Consumer</t>
        </is>
      </c>
      <c r="K511" s="8" t="n">
        <v>4</v>
      </c>
      <c r="L511" s="9" t="n">
        <v>109.99</v>
      </c>
      <c r="M511" s="10" t="n">
        <v>0.15</v>
      </c>
      <c r="N511" s="9" t="n">
        <v>65.98999999999999</v>
      </c>
      <c r="O511" s="9" t="n">
        <v>439.96</v>
      </c>
      <c r="P511" s="9" t="n">
        <v>65.98999999999999</v>
      </c>
      <c r="Q511" s="9" t="n">
        <v>373.97</v>
      </c>
      <c r="R511" s="9" t="n">
        <v>263.96</v>
      </c>
      <c r="S511" s="9" t="n">
        <v>110.01</v>
      </c>
      <c r="T511" s="10" t="n">
        <v>0.2942</v>
      </c>
    </row>
    <row r="512">
      <c r="A512" s="7" t="inlineStr">
        <is>
          <t>ORD-2024-1656</t>
        </is>
      </c>
      <c r="B512" s="7" t="inlineStr">
        <is>
          <t>2024-07-25</t>
        </is>
      </c>
      <c r="C512" s="7" t="inlineStr">
        <is>
          <t>OFF-BIN-005</t>
        </is>
      </c>
      <c r="D512" s="7" t="inlineStr">
        <is>
          <t>Heavy-Duty D-Ring Presentation Binder (6-Pk)</t>
        </is>
      </c>
      <c r="E512" s="7" t="inlineStr">
        <is>
          <t>Office Supplies</t>
        </is>
      </c>
      <c r="F512" s="7" t="inlineStr">
        <is>
          <t>Binders &amp; Fasteners</t>
        </is>
      </c>
      <c r="G512" s="7" t="inlineStr">
        <is>
          <t>East</t>
        </is>
      </c>
      <c r="H512" s="7" t="inlineStr">
        <is>
          <t>New York</t>
        </is>
      </c>
      <c r="I512" s="7" t="inlineStr">
        <is>
          <t>Wholesale</t>
        </is>
      </c>
      <c r="J512" s="7" t="inlineStr">
        <is>
          <t>Home Office</t>
        </is>
      </c>
      <c r="K512" s="8" t="n">
        <v>6</v>
      </c>
      <c r="L512" s="9" t="n">
        <v>27.99</v>
      </c>
      <c r="M512" s="10" t="n">
        <v>0.2</v>
      </c>
      <c r="N512" s="9" t="n">
        <v>13.99</v>
      </c>
      <c r="O512" s="9" t="n">
        <v>167.94</v>
      </c>
      <c r="P512" s="9" t="n">
        <v>33.59</v>
      </c>
      <c r="Q512" s="9" t="n">
        <v>134.35</v>
      </c>
      <c r="R512" s="9" t="n">
        <v>83.94</v>
      </c>
      <c r="S512" s="9" t="n">
        <v>50.41</v>
      </c>
      <c r="T512" s="10" t="n">
        <v>0.3752</v>
      </c>
    </row>
    <row r="513">
      <c r="A513" s="7" t="inlineStr">
        <is>
          <t>ORD-2024-1652</t>
        </is>
      </c>
      <c r="B513" s="7" t="inlineStr">
        <is>
          <t>2024-07-26</t>
        </is>
      </c>
      <c r="C513" s="7" t="inlineStr">
        <is>
          <t>OFF-DSK-007</t>
        </is>
      </c>
      <c r="D513" s="7" t="inlineStr">
        <is>
          <t>Gel Ergo Mouse Pad &amp; Wrist Rest Combo</t>
        </is>
      </c>
      <c r="E513" s="7" t="inlineStr">
        <is>
          <t>Office Supplies</t>
        </is>
      </c>
      <c r="F513" s="7" t="inlineStr">
        <is>
          <t>Desk Supplies</t>
        </is>
      </c>
      <c r="G513" s="7" t="inlineStr">
        <is>
          <t>Central</t>
        </is>
      </c>
      <c r="H513" s="7" t="inlineStr">
        <is>
          <t>Michigan</t>
        </is>
      </c>
      <c r="I513" s="7" t="inlineStr">
        <is>
          <t>Retail Partner</t>
        </is>
      </c>
      <c r="J513" s="7" t="inlineStr">
        <is>
          <t>Consumer</t>
        </is>
      </c>
      <c r="K513" s="8" t="n">
        <v>2</v>
      </c>
      <c r="L513" s="9" t="n">
        <v>21.99</v>
      </c>
      <c r="M513" s="10" t="n">
        <v>0.05</v>
      </c>
      <c r="N513" s="9" t="n">
        <v>10.56</v>
      </c>
      <c r="O513" s="9" t="n">
        <v>43.98</v>
      </c>
      <c r="P513" s="9" t="n">
        <v>2.2</v>
      </c>
      <c r="Q513" s="9" t="n">
        <v>41.78</v>
      </c>
      <c r="R513" s="9" t="n">
        <v>21.12</v>
      </c>
      <c r="S513" s="9" t="n">
        <v>20.66</v>
      </c>
      <c r="T513" s="10" t="n">
        <v>0.4945</v>
      </c>
    </row>
    <row r="514">
      <c r="A514" s="7" t="inlineStr">
        <is>
          <t>ORD-2024-1374</t>
        </is>
      </c>
      <c r="B514" s="7" t="inlineStr">
        <is>
          <t>2024-07-28</t>
        </is>
      </c>
      <c r="C514" s="7" t="inlineStr">
        <is>
          <t>TEC-LAP-002</t>
        </is>
      </c>
      <c r="D514" s="7" t="inlineStr">
        <is>
          <t>Apex Gaming Laptop 17"</t>
        </is>
      </c>
      <c r="E514" s="7" t="inlineStr">
        <is>
          <t>Technology</t>
        </is>
      </c>
      <c r="F514" s="7" t="inlineStr">
        <is>
          <t>Laptops</t>
        </is>
      </c>
      <c r="G514" s="7" t="inlineStr">
        <is>
          <t>Central</t>
        </is>
      </c>
      <c r="H514" s="7" t="inlineStr">
        <is>
          <t>Ohio</t>
        </is>
      </c>
      <c r="I514" s="7" t="inlineStr">
        <is>
          <t>Retail Partner</t>
        </is>
      </c>
      <c r="J514" s="7" t="inlineStr">
        <is>
          <t>Home Office</t>
        </is>
      </c>
      <c r="K514" s="8" t="n">
        <v>-3</v>
      </c>
      <c r="L514" s="9" t="n">
        <v>1499.99</v>
      </c>
      <c r="M514" s="10" t="n">
        <v>0.15</v>
      </c>
      <c r="N514" s="9" t="n">
        <v>1259.99</v>
      </c>
      <c r="O514" s="9" t="n">
        <v>5999.96</v>
      </c>
      <c r="P514" s="9" t="n">
        <v>899.99</v>
      </c>
      <c r="Q514" s="9" t="n">
        <v>5099.97</v>
      </c>
      <c r="R514" s="9" t="n">
        <v>5039.96</v>
      </c>
      <c r="S514" s="9" t="n">
        <v>60.01</v>
      </c>
      <c r="T514" s="10" t="n">
        <v>0.0118</v>
      </c>
    </row>
    <row r="515">
      <c r="A515" s="7" t="inlineStr">
        <is>
          <t>ORD-2024-1374</t>
        </is>
      </c>
      <c r="B515" s="7" t="inlineStr">
        <is>
          <t>2024-07-28</t>
        </is>
      </c>
      <c r="C515" s="7" t="inlineStr">
        <is>
          <t>FUR-DSK-004</t>
        </is>
      </c>
      <c r="D515" s="7" t="inlineStr">
        <is>
          <t>Metro Compact Corner Workstation</t>
        </is>
      </c>
      <c r="E515" s="7" t="inlineStr">
        <is>
          <t>Furniture</t>
        </is>
      </c>
      <c r="F515" s="7" t="inlineStr">
        <is>
          <t>Desks &amp; Workstations</t>
        </is>
      </c>
      <c r="G515" s="7" t="inlineStr">
        <is>
          <t>Central</t>
        </is>
      </c>
      <c r="H515" s="7" t="inlineStr">
        <is>
          <t>Ohio</t>
        </is>
      </c>
      <c r="I515" s="7" t="inlineStr">
        <is>
          <t>Retail Partner</t>
        </is>
      </c>
      <c r="J515" s="7" t="inlineStr">
        <is>
          <t>Home Office</t>
        </is>
      </c>
      <c r="K515" s="8" t="n">
        <v>1</v>
      </c>
      <c r="L515" s="9" t="n">
        <v>329.99</v>
      </c>
      <c r="M515" s="10" t="n">
        <v>0</v>
      </c>
      <c r="N515" s="9" t="n">
        <v>250.79</v>
      </c>
      <c r="O515" s="9" t="n">
        <v>329.99</v>
      </c>
      <c r="P515" s="9" t="n">
        <v>0</v>
      </c>
      <c r="Q515" s="9" t="n">
        <v>329.99</v>
      </c>
      <c r="R515" s="9" t="n">
        <v>250.79</v>
      </c>
      <c r="S515" s="9" t="n">
        <v>79.2</v>
      </c>
      <c r="T515" s="10" t="n">
        <v>0.24</v>
      </c>
    </row>
    <row r="516">
      <c r="A516" s="7" t="inlineStr">
        <is>
          <t>ORD-2024-1435</t>
        </is>
      </c>
      <c r="B516" s="7" t="inlineStr">
        <is>
          <t>2024-07-28</t>
        </is>
      </c>
      <c r="C516" s="7" t="inlineStr">
        <is>
          <t>FUR-CHA-001</t>
        </is>
      </c>
      <c r="D516" s="7" t="inlineStr">
        <is>
          <t>ErgoFlex Executive Mesh Chair</t>
        </is>
      </c>
      <c r="E516" s="7" t="inlineStr">
        <is>
          <t>Furniture</t>
        </is>
      </c>
      <c r="F516" s="7" t="inlineStr">
        <is>
          <t>Chairs</t>
        </is>
      </c>
      <c r="G516" s="7" t="inlineStr">
        <is>
          <t>West</t>
        </is>
      </c>
      <c r="H516" s="7" t="inlineStr">
        <is>
          <t>California</t>
        </is>
      </c>
      <c r="I516" s="7" t="inlineStr">
        <is>
          <t>Online</t>
        </is>
      </c>
      <c r="J516" s="7" t="inlineStr">
        <is>
          <t>Consumer</t>
        </is>
      </c>
      <c r="K516" s="8" t="n">
        <v>2</v>
      </c>
      <c r="L516" s="9" t="n">
        <v>389.99</v>
      </c>
      <c r="M516" s="10" t="n">
        <v>0.05</v>
      </c>
      <c r="N516" s="9" t="n">
        <v>331.49</v>
      </c>
      <c r="O516" s="9" t="n">
        <v>779.98</v>
      </c>
      <c r="P516" s="9" t="n">
        <v>39</v>
      </c>
      <c r="Q516" s="9" t="n">
        <v>740.98</v>
      </c>
      <c r="R516" s="9" t="n">
        <v>662.98</v>
      </c>
      <c r="S516" s="9" t="n">
        <v>78</v>
      </c>
      <c r="T516" s="10" t="n">
        <v>0.1053</v>
      </c>
    </row>
    <row r="517">
      <c r="A517" s="7" t="inlineStr">
        <is>
          <t>ORD-2024-1099</t>
        </is>
      </c>
      <c r="B517" s="7" t="inlineStr">
        <is>
          <t>2024-07-30</t>
        </is>
      </c>
      <c r="C517" s="7" t="inlineStr">
        <is>
          <t>FUR-DSK-004</t>
        </is>
      </c>
      <c r="D517" s="7" t="inlineStr">
        <is>
          <t>Metro Compact Corner Workstation</t>
        </is>
      </c>
      <c r="E517" s="7" t="inlineStr">
        <is>
          <t>Furniture</t>
        </is>
      </c>
      <c r="F517" s="7" t="inlineStr">
        <is>
          <t>Desks &amp; Workstations</t>
        </is>
      </c>
      <c r="G517" s="7" t="inlineStr">
        <is>
          <t>East</t>
        </is>
      </c>
      <c r="H517" s="7" t="inlineStr">
        <is>
          <t>Pennsylvania</t>
        </is>
      </c>
      <c r="I517" s="7" t="inlineStr">
        <is>
          <t>Online</t>
        </is>
      </c>
      <c r="J517" s="7" t="inlineStr">
        <is>
          <t>Consumer</t>
        </is>
      </c>
      <c r="K517" s="8" t="n">
        <v>4</v>
      </c>
      <c r="L517" s="9" t="n">
        <v>329.99</v>
      </c>
      <c r="M517" s="10" t="n">
        <v>0</v>
      </c>
      <c r="N517" s="9" t="n">
        <v>250.79</v>
      </c>
      <c r="O517" s="9" t="n">
        <v>1319.96</v>
      </c>
      <c r="P517" s="9" t="n">
        <v>0</v>
      </c>
      <c r="Q517" s="9" t="n">
        <v>1319.96</v>
      </c>
      <c r="R517" s="9" t="n">
        <v>1003.16</v>
      </c>
      <c r="S517" s="9" t="n">
        <v>316.8</v>
      </c>
      <c r="T517" s="10" t="n">
        <v>0.24</v>
      </c>
    </row>
    <row r="518">
      <c r="A518" s="7" t="inlineStr">
        <is>
          <t>ORD-2024-1192</t>
        </is>
      </c>
      <c r="B518" s="7" t="inlineStr">
        <is>
          <t>2024-07-30</t>
        </is>
      </c>
      <c r="C518" s="7" t="inlineStr">
        <is>
          <t>TEC-ACC-005</t>
        </is>
      </c>
      <c r="D518" s="7" t="inlineStr">
        <is>
          <t>UltraWireless Noise-Canceling Headset</t>
        </is>
      </c>
      <c r="E518" s="7" t="inlineStr">
        <is>
          <t>Technology</t>
        </is>
      </c>
      <c r="F518" s="7" t="inlineStr">
        <is>
          <t>Audio &amp; Accessories</t>
        </is>
      </c>
      <c r="G518" s="7" t="inlineStr">
        <is>
          <t>Central</t>
        </is>
      </c>
      <c r="H518" s="7" t="inlineStr">
        <is>
          <t>Ohio</t>
        </is>
      </c>
      <c r="I518" s="7" t="inlineStr">
        <is>
          <t>Online</t>
        </is>
      </c>
      <c r="J518" s="7" t="inlineStr">
        <is>
          <t>Consumer</t>
        </is>
      </c>
      <c r="K518" s="8" t="n">
        <v>1</v>
      </c>
      <c r="L518" s="9" t="n">
        <v>179.99</v>
      </c>
      <c r="M518" s="10" t="n">
        <v>0</v>
      </c>
      <c r="N518" s="9" t="n">
        <v>111.59</v>
      </c>
      <c r="O518" s="9" t="n">
        <v>179.99</v>
      </c>
      <c r="P518" s="9" t="n">
        <v>0</v>
      </c>
      <c r="Q518" s="9" t="n">
        <v>179.99</v>
      </c>
      <c r="R518" s="9" t="n">
        <v>111.59</v>
      </c>
      <c r="S518" s="9" t="n">
        <v>68.40000000000001</v>
      </c>
      <c r="T518" s="10" t="n">
        <v>0.38</v>
      </c>
    </row>
    <row r="519">
      <c r="A519" s="7" t="inlineStr">
        <is>
          <t>ORD-2024-1192</t>
        </is>
      </c>
      <c r="B519" s="7" t="inlineStr">
        <is>
          <t>2024-07-30</t>
        </is>
      </c>
      <c r="C519" s="7" t="inlineStr">
        <is>
          <t>TEC-LAP-002</t>
        </is>
      </c>
      <c r="D519" s="7" t="inlineStr">
        <is>
          <t>Apex Gaming Laptop 17"</t>
        </is>
      </c>
      <c r="E519" s="7" t="inlineStr">
        <is>
          <t>Technology</t>
        </is>
      </c>
      <c r="F519" s="7" t="inlineStr">
        <is>
          <t>Laptops</t>
        </is>
      </c>
      <c r="G519" s="7" t="inlineStr">
        <is>
          <t>Central</t>
        </is>
      </c>
      <c r="H519" s="7" t="inlineStr">
        <is>
          <t>Ohio</t>
        </is>
      </c>
      <c r="I519" s="7" t="inlineStr">
        <is>
          <t>Online</t>
        </is>
      </c>
      <c r="J519" s="7" t="inlineStr">
        <is>
          <t>Consumer</t>
        </is>
      </c>
      <c r="K519" s="8" t="n">
        <v>2</v>
      </c>
      <c r="L519" s="9" t="n">
        <v>1499.99</v>
      </c>
      <c r="M519" s="10" t="n">
        <v>0.25</v>
      </c>
      <c r="N519" s="9" t="n">
        <v>1259.99</v>
      </c>
      <c r="O519" s="9" t="n">
        <v>2999.98</v>
      </c>
      <c r="P519" s="9" t="n">
        <v>750</v>
      </c>
      <c r="Q519" s="9" t="n">
        <v>2249.98</v>
      </c>
      <c r="R519" s="9" t="n">
        <v>2519.98</v>
      </c>
      <c r="S519" s="9" t="n">
        <v>-270</v>
      </c>
      <c r="T519" s="10" t="n">
        <v>-0.12</v>
      </c>
    </row>
    <row r="520">
      <c r="A520" s="7" t="inlineStr">
        <is>
          <t>ORD-2024-1192</t>
        </is>
      </c>
      <c r="B520" s="7" t="inlineStr">
        <is>
          <t>2024-07-30</t>
        </is>
      </c>
      <c r="C520" s="7" t="inlineStr">
        <is>
          <t>FUR-CHA-002</t>
        </is>
      </c>
      <c r="D520" s="7" t="inlineStr">
        <is>
          <t>AeroTask Operator Task Chair</t>
        </is>
      </c>
      <c r="E520" s="7" t="inlineStr">
        <is>
          <t>Furniture</t>
        </is>
      </c>
      <c r="F520" s="7" t="inlineStr">
        <is>
          <t>Chairs</t>
        </is>
      </c>
      <c r="G520" s="7" t="inlineStr">
        <is>
          <t>Central</t>
        </is>
      </c>
      <c r="H520" s="7" t="inlineStr">
        <is>
          <t>Ohio</t>
        </is>
      </c>
      <c r="I520" s="7" t="inlineStr">
        <is>
          <t>Online</t>
        </is>
      </c>
      <c r="J520" s="7" t="inlineStr">
        <is>
          <t>Consumer</t>
        </is>
      </c>
      <c r="K520" s="8" t="n">
        <v>3</v>
      </c>
      <c r="L520" s="9" t="n">
        <v>219.99</v>
      </c>
      <c r="M520" s="10" t="n">
        <v>0</v>
      </c>
      <c r="N520" s="9" t="n">
        <v>171.59</v>
      </c>
      <c r="O520" s="9" t="n">
        <v>659.97</v>
      </c>
      <c r="P520" s="9" t="n">
        <v>0</v>
      </c>
      <c r="Q520" s="9" t="n">
        <v>659.97</v>
      </c>
      <c r="R520" s="9" t="n">
        <v>514.77</v>
      </c>
      <c r="S520" s="9" t="n">
        <v>145.2</v>
      </c>
      <c r="T520" s="10" t="n">
        <v>0.22</v>
      </c>
    </row>
    <row r="521">
      <c r="A521" s="7" t="inlineStr">
        <is>
          <t>ORD-2024-1192</t>
        </is>
      </c>
      <c r="B521" s="7" t="inlineStr">
        <is>
          <t>2024-07-30</t>
        </is>
      </c>
      <c r="C521" s="7" t="inlineStr">
        <is>
          <t>OFF-STR-001</t>
        </is>
      </c>
      <c r="D521" s="7" t="inlineStr">
        <is>
          <t>SteelLock 3-Drawer File Cabinet</t>
        </is>
      </c>
      <c r="E521" s="7" t="inlineStr">
        <is>
          <t>Office Supplies</t>
        </is>
      </c>
      <c r="F521" s="7" t="inlineStr">
        <is>
          <t>Storage &amp; Organizers</t>
        </is>
      </c>
      <c r="G521" s="7" t="inlineStr">
        <is>
          <t>Central</t>
        </is>
      </c>
      <c r="H521" s="7" t="inlineStr">
        <is>
          <t>Ohio</t>
        </is>
      </c>
      <c r="I521" s="7" t="inlineStr">
        <is>
          <t>Online</t>
        </is>
      </c>
      <c r="J521" s="7" t="inlineStr">
        <is>
          <t>Consumer</t>
        </is>
      </c>
      <c r="K521" s="8" t="n">
        <v>1</v>
      </c>
      <c r="L521" s="9" t="n">
        <v>169.99</v>
      </c>
      <c r="M521" s="10" t="n">
        <v>0</v>
      </c>
      <c r="N521" s="9" t="n">
        <v>115.59</v>
      </c>
      <c r="O521" s="9" t="n">
        <v>169.99</v>
      </c>
      <c r="P521" s="9" t="n">
        <v>0</v>
      </c>
      <c r="Q521" s="9" t="n">
        <v>169.99</v>
      </c>
      <c r="R521" s="9" t="n">
        <v>115.59</v>
      </c>
      <c r="S521" s="9" t="n">
        <v>54.4</v>
      </c>
      <c r="T521" s="10" t="n">
        <v>0.32</v>
      </c>
    </row>
    <row r="522">
      <c r="A522" s="7" t="inlineStr">
        <is>
          <t>ORD-2024-1379</t>
        </is>
      </c>
      <c r="B522" s="7" t="inlineStr">
        <is>
          <t>2024-07-30</t>
        </is>
      </c>
      <c r="C522" s="7" t="inlineStr">
        <is>
          <t>FUR-LGT-006</t>
        </is>
      </c>
      <c r="D522" s="7" t="inlineStr">
        <is>
          <t>Architect LED Desk Task Lamp</t>
        </is>
      </c>
      <c r="E522" s="7" t="inlineStr">
        <is>
          <t>Furniture</t>
        </is>
      </c>
      <c r="F522" s="7" t="inlineStr">
        <is>
          <t>Lighting</t>
        </is>
      </c>
      <c r="G522" s="7" t="inlineStr">
        <is>
          <t>Central</t>
        </is>
      </c>
      <c r="H522" s="7" t="inlineStr">
        <is>
          <t>Illinois</t>
        </is>
      </c>
      <c r="I522" s="7" t="inlineStr">
        <is>
          <t>Online</t>
        </is>
      </c>
      <c r="J522" s="7" t="inlineStr">
        <is>
          <t>Corporate</t>
        </is>
      </c>
      <c r="K522" s="8" t="n">
        <v>2</v>
      </c>
      <c r="L522" s="9" t="n">
        <v>69.98999999999999</v>
      </c>
      <c r="M522" s="10" t="n">
        <v>0</v>
      </c>
      <c r="N522" s="9" t="n">
        <v>43.39</v>
      </c>
      <c r="O522" s="9" t="n">
        <v>139.98</v>
      </c>
      <c r="P522" s="9" t="n">
        <v>0</v>
      </c>
      <c r="Q522" s="9" t="n">
        <v>139.98</v>
      </c>
      <c r="R522" s="9" t="n">
        <v>86.78</v>
      </c>
      <c r="S522" s="9" t="n">
        <v>53.2</v>
      </c>
      <c r="T522" s="10" t="n">
        <v>0.3801</v>
      </c>
    </row>
    <row r="523">
      <c r="A523" s="7" t="inlineStr">
        <is>
          <t>ORD-2024-1232</t>
        </is>
      </c>
      <c r="B523" s="7" t="inlineStr">
        <is>
          <t>2024-07-31</t>
        </is>
      </c>
      <c r="C523" s="7" t="inlineStr">
        <is>
          <t>OFF-DSK-007</t>
        </is>
      </c>
      <c r="D523" s="7" t="inlineStr">
        <is>
          <t>Gel Ergo Mouse Pad &amp; Wrist Rest Combo</t>
        </is>
      </c>
      <c r="E523" s="7" t="inlineStr">
        <is>
          <t>Office Supplies</t>
        </is>
      </c>
      <c r="F523" s="7" t="inlineStr">
        <is>
          <t>Desk Supplies</t>
        </is>
      </c>
      <c r="G523" s="7" t="inlineStr">
        <is>
          <t>Central</t>
        </is>
      </c>
      <c r="H523" s="7" t="inlineStr">
        <is>
          <t>Ohio</t>
        </is>
      </c>
      <c r="I523" s="7" t="inlineStr">
        <is>
          <t>Online</t>
        </is>
      </c>
      <c r="J523" s="7" t="inlineStr">
        <is>
          <t>Corporate</t>
        </is>
      </c>
      <c r="K523" s="8" t="n">
        <v>7</v>
      </c>
      <c r="L523" s="9" t="n">
        <v>21.99</v>
      </c>
      <c r="M523" s="10" t="n">
        <v>0</v>
      </c>
      <c r="N523" s="9" t="n">
        <v>10.56</v>
      </c>
      <c r="O523" s="9" t="n">
        <v>153.93</v>
      </c>
      <c r="P523" s="9" t="n">
        <v>0</v>
      </c>
      <c r="Q523" s="9" t="n">
        <v>153.93</v>
      </c>
      <c r="R523" s="9" t="n">
        <v>73.92</v>
      </c>
      <c r="S523" s="9" t="n">
        <v>80.01000000000001</v>
      </c>
      <c r="T523" s="10" t="n">
        <v>0.5198</v>
      </c>
    </row>
    <row r="524">
      <c r="A524" s="7" t="inlineStr">
        <is>
          <t>ORD-2024-1454</t>
        </is>
      </c>
      <c r="B524" s="7" t="inlineStr">
        <is>
          <t>2024-07-31</t>
        </is>
      </c>
      <c r="C524" s="7" t="inlineStr">
        <is>
          <t>TEC-ACC-007</t>
        </is>
      </c>
      <c r="D524" s="7" t="inlineStr">
        <is>
          <t>ErgoMechanical Wireless Keyboard</t>
        </is>
      </c>
      <c r="E524" s="7" t="inlineStr">
        <is>
          <t>Technology</t>
        </is>
      </c>
      <c r="F524" s="7" t="inlineStr">
        <is>
          <t>Audio &amp; Accessories</t>
        </is>
      </c>
      <c r="G524" s="7" t="inlineStr">
        <is>
          <t>West</t>
        </is>
      </c>
      <c r="H524" s="7" t="inlineStr">
        <is>
          <t>Washington</t>
        </is>
      </c>
      <c r="I524" s="7" t="inlineStr">
        <is>
          <t>Online</t>
        </is>
      </c>
      <c r="J524" s="7" t="inlineStr">
        <is>
          <t>Corporate</t>
        </is>
      </c>
      <c r="K524" s="8" t="n">
        <v>6</v>
      </c>
      <c r="L524" s="9" t="n">
        <v>109.99</v>
      </c>
      <c r="M524" s="10" t="n">
        <v>0</v>
      </c>
      <c r="N524" s="9" t="n">
        <v>65.98999999999999</v>
      </c>
      <c r="O524" s="9" t="n">
        <v>659.9400000000001</v>
      </c>
      <c r="P524" s="9" t="n">
        <v>0</v>
      </c>
      <c r="Q524" s="9" t="n">
        <v>659.9400000000001</v>
      </c>
      <c r="R524" s="9" t="n">
        <v>395.94</v>
      </c>
      <c r="S524" s="9" t="n">
        <v>264</v>
      </c>
      <c r="T524" s="10" t="n">
        <v>0.4</v>
      </c>
    </row>
    <row r="525">
      <c r="A525" s="7" t="inlineStr">
        <is>
          <t>ORD-2024-1045</t>
        </is>
      </c>
      <c r="B525" s="7" t="inlineStr">
        <is>
          <t>2024-08-01</t>
        </is>
      </c>
      <c r="C525" s="7" t="inlineStr">
        <is>
          <t>OFF-DSK-007</t>
        </is>
      </c>
      <c r="D525" s="7" t="inlineStr">
        <is>
          <t>Gel Ergo Mouse Pad &amp; Wrist Rest Combo</t>
        </is>
      </c>
      <c r="E525" s="7" t="inlineStr">
        <is>
          <t>Office Supplies</t>
        </is>
      </c>
      <c r="F525" s="7" t="inlineStr">
        <is>
          <t>Desk Supplies</t>
        </is>
      </c>
      <c r="G525" s="7" t="inlineStr">
        <is>
          <t>East</t>
        </is>
      </c>
      <c r="H525" s="7" t="inlineStr">
        <is>
          <t>New York</t>
        </is>
      </c>
      <c r="I525" s="7" t="inlineStr">
        <is>
          <t>Online</t>
        </is>
      </c>
      <c r="J525" s="7" t="inlineStr">
        <is>
          <t>Corporate</t>
        </is>
      </c>
      <c r="K525" s="8" t="n">
        <v>2</v>
      </c>
      <c r="L525" s="9" t="n">
        <v>21.99</v>
      </c>
      <c r="M525" s="10" t="n">
        <v>0</v>
      </c>
      <c r="N525" s="9" t="n">
        <v>10.56</v>
      </c>
      <c r="O525" s="9" t="n">
        <v>43.98</v>
      </c>
      <c r="P525" s="9" t="n">
        <v>0</v>
      </c>
      <c r="Q525" s="9" t="n">
        <v>43.98</v>
      </c>
      <c r="R525" s="9" t="n">
        <v>21.12</v>
      </c>
      <c r="S525" s="9" t="n">
        <v>22.86</v>
      </c>
      <c r="T525" s="10" t="n">
        <v>0.5198</v>
      </c>
    </row>
    <row r="526">
      <c r="A526" s="7" t="inlineStr">
        <is>
          <t>ORD-2024-1580</t>
        </is>
      </c>
      <c r="B526" s="7" t="inlineStr">
        <is>
          <t>2024-08-01</t>
        </is>
      </c>
      <c r="C526" s="7" t="inlineStr">
        <is>
          <t>OFF-PAP-004</t>
        </is>
      </c>
      <c r="D526" s="7" t="inlineStr">
        <is>
          <t>EcoRecycled Copy Paper (5 Reams)</t>
        </is>
      </c>
      <c r="E526" s="7" t="inlineStr">
        <is>
          <t>Office Supplies</t>
        </is>
      </c>
      <c r="F526" s="7" t="inlineStr">
        <is>
          <t>Paper Products</t>
        </is>
      </c>
      <c r="G526" s="7" t="inlineStr">
        <is>
          <t>Central</t>
        </is>
      </c>
      <c r="H526" s="7" t="inlineStr">
        <is>
          <t>Illinois</t>
        </is>
      </c>
      <c r="I526" s="7" t="inlineStr">
        <is>
          <t>Online</t>
        </is>
      </c>
      <c r="J526" s="7" t="inlineStr">
        <is>
          <t>Consumer</t>
        </is>
      </c>
      <c r="K526" s="8" t="n">
        <v>4</v>
      </c>
      <c r="L526" s="9" t="n">
        <v>32.99</v>
      </c>
      <c r="M526" s="10" t="n">
        <v>0.15</v>
      </c>
      <c r="N526" s="9" t="n">
        <v>19.79</v>
      </c>
      <c r="O526" s="9" t="n">
        <v>131.96</v>
      </c>
      <c r="P526" s="9" t="n">
        <v>19.79</v>
      </c>
      <c r="Q526" s="9" t="n">
        <v>112.17</v>
      </c>
      <c r="R526" s="9" t="n">
        <v>79.16</v>
      </c>
      <c r="S526" s="9" t="n">
        <v>33.01</v>
      </c>
      <c r="T526" s="10" t="n">
        <v>0.2943</v>
      </c>
    </row>
    <row r="527">
      <c r="A527" s="7" t="inlineStr">
        <is>
          <t>ORD-2024-1697</t>
        </is>
      </c>
      <c r="B527" s="7" t="inlineStr">
        <is>
          <t>2024-08-02</t>
        </is>
      </c>
      <c r="C527" s="7" t="inlineStr">
        <is>
          <t>OFF-DSK-007</t>
        </is>
      </c>
      <c r="D527" s="7" t="inlineStr">
        <is>
          <t>Gel Ergo Mouse Pad &amp; Wrist Rest Combo</t>
        </is>
      </c>
      <c r="E527" s="7" t="inlineStr">
        <is>
          <t>Office Supplies</t>
        </is>
      </c>
      <c r="F527" s="7" t="inlineStr">
        <is>
          <t>Desk Supplies</t>
        </is>
      </c>
      <c r="G527" s="7" t="inlineStr">
        <is>
          <t>South</t>
        </is>
      </c>
      <c r="H527" s="7" t="inlineStr">
        <is>
          <t>Florida</t>
        </is>
      </c>
      <c r="I527" s="7" t="inlineStr">
        <is>
          <t>Online</t>
        </is>
      </c>
      <c r="J527" s="7" t="inlineStr">
        <is>
          <t>Consumer</t>
        </is>
      </c>
      <c r="K527" s="8" t="n">
        <v>4</v>
      </c>
      <c r="L527" s="9" t="n">
        <v>21.99</v>
      </c>
      <c r="M527" s="10" t="n">
        <v>0.05</v>
      </c>
      <c r="N527" s="9" t="n">
        <v>10.56</v>
      </c>
      <c r="O527" s="9" t="n">
        <v>87.95999999999999</v>
      </c>
      <c r="P527" s="9" t="n">
        <v>4.4</v>
      </c>
      <c r="Q527" s="9" t="n">
        <v>83.56</v>
      </c>
      <c r="R527" s="9" t="n">
        <v>42.24</v>
      </c>
      <c r="S527" s="9" t="n">
        <v>41.32</v>
      </c>
      <c r="T527" s="10" t="n">
        <v>0.4945</v>
      </c>
    </row>
    <row r="528">
      <c r="A528" s="7" t="inlineStr">
        <is>
          <t>ORD-2024-1066</t>
        </is>
      </c>
      <c r="B528" s="7" t="inlineStr">
        <is>
          <t>2024-08-03</t>
        </is>
      </c>
      <c r="C528" s="7" t="inlineStr">
        <is>
          <t>OFF-DSK-008</t>
        </is>
      </c>
      <c r="D528" s="7" t="inlineStr">
        <is>
          <t>Steel Desktop Mesh Organizer Caddy</t>
        </is>
      </c>
      <c r="E528" s="7" t="inlineStr">
        <is>
          <t>Office Supplies</t>
        </is>
      </c>
      <c r="F528" s="7" t="inlineStr">
        <is>
          <t>Desk Supplies</t>
        </is>
      </c>
      <c r="G528" s="7" t="inlineStr">
        <is>
          <t>West</t>
        </is>
      </c>
      <c r="H528" s="7" t="inlineStr">
        <is>
          <t>Colorado</t>
        </is>
      </c>
      <c r="I528" s="7" t="inlineStr">
        <is>
          <t>Direct Sales</t>
        </is>
      </c>
      <c r="J528" s="7" t="inlineStr">
        <is>
          <t>Consumer</t>
        </is>
      </c>
      <c r="K528" s="8" t="n">
        <v>3</v>
      </c>
      <c r="L528" s="9" t="n">
        <v>18.99</v>
      </c>
      <c r="M528" s="10" t="n">
        <v>0</v>
      </c>
      <c r="N528" s="9" t="n">
        <v>8.550000000000001</v>
      </c>
      <c r="O528" s="9" t="n">
        <v>56.97</v>
      </c>
      <c r="P528" s="9" t="n">
        <v>0</v>
      </c>
      <c r="Q528" s="9" t="n">
        <v>56.97</v>
      </c>
      <c r="R528" s="9" t="n">
        <v>25.65</v>
      </c>
      <c r="S528" s="9" t="n">
        <v>31.32</v>
      </c>
      <c r="T528" s="10" t="n">
        <v>0.5498</v>
      </c>
    </row>
    <row r="529">
      <c r="A529" s="7" t="inlineStr">
        <is>
          <t>ORD-2024-1066</t>
        </is>
      </c>
      <c r="B529" s="7" t="inlineStr">
        <is>
          <t>2024-08-03</t>
        </is>
      </c>
      <c r="C529" s="7" t="inlineStr">
        <is>
          <t>FUR-CHA-001</t>
        </is>
      </c>
      <c r="D529" s="7" t="inlineStr">
        <is>
          <t>ErgoFlex Executive Mesh Chair</t>
        </is>
      </c>
      <c r="E529" s="7" t="inlineStr">
        <is>
          <t>Furniture</t>
        </is>
      </c>
      <c r="F529" s="7" t="inlineStr">
        <is>
          <t>Chairs</t>
        </is>
      </c>
      <c r="G529" s="7" t="inlineStr">
        <is>
          <t>West</t>
        </is>
      </c>
      <c r="H529" s="7" t="inlineStr">
        <is>
          <t>Colorado</t>
        </is>
      </c>
      <c r="I529" s="7" t="inlineStr">
        <is>
          <t>Direct Sales</t>
        </is>
      </c>
      <c r="J529" s="7" t="inlineStr">
        <is>
          <t>Consumer</t>
        </is>
      </c>
      <c r="K529" s="8" t="n">
        <v>2</v>
      </c>
      <c r="L529" s="9" t="n">
        <v>389.99</v>
      </c>
      <c r="M529" s="10" t="n">
        <v>0.05</v>
      </c>
      <c r="N529" s="9" t="n">
        <v>331.49</v>
      </c>
      <c r="O529" s="9" t="n">
        <v>779.98</v>
      </c>
      <c r="P529" s="9" t="n">
        <v>39</v>
      </c>
      <c r="Q529" s="9" t="n">
        <v>740.98</v>
      </c>
      <c r="R529" s="9" t="n">
        <v>662.98</v>
      </c>
      <c r="S529" s="9" t="n">
        <v>78</v>
      </c>
      <c r="T529" s="10" t="n">
        <v>0.1053</v>
      </c>
    </row>
    <row r="530">
      <c r="A530" s="7" t="inlineStr">
        <is>
          <t>ORD-2024-1521</t>
        </is>
      </c>
      <c r="B530" s="7" t="inlineStr">
        <is>
          <t>2024-08-03</t>
        </is>
      </c>
      <c r="C530" s="7" t="inlineStr">
        <is>
          <t>TEC-LAP-002</t>
        </is>
      </c>
      <c r="D530" s="7" t="inlineStr">
        <is>
          <t>Apex Gaming Laptop 17"</t>
        </is>
      </c>
      <c r="E530" s="7" t="inlineStr">
        <is>
          <t>Technology</t>
        </is>
      </c>
      <c r="F530" s="7" t="inlineStr">
        <is>
          <t>Laptops</t>
        </is>
      </c>
      <c r="G530" s="7" t="inlineStr">
        <is>
          <t>West</t>
        </is>
      </c>
      <c r="H530" s="7" t="inlineStr">
        <is>
          <t>California</t>
        </is>
      </c>
      <c r="I530" s="7" t="inlineStr">
        <is>
          <t>Retail Partner</t>
        </is>
      </c>
      <c r="J530" s="7" t="inlineStr">
        <is>
          <t>Corporate</t>
        </is>
      </c>
      <c r="K530" s="8" t="n">
        <v>8</v>
      </c>
      <c r="L530" s="9" t="n">
        <v>1499.99</v>
      </c>
      <c r="M530" s="10" t="n">
        <v>0.1</v>
      </c>
      <c r="N530" s="9" t="n">
        <v>1259.99</v>
      </c>
      <c r="O530" s="9" t="n">
        <v>11999.92</v>
      </c>
      <c r="P530" s="9" t="n">
        <v>1199.99</v>
      </c>
      <c r="Q530" s="9" t="n">
        <v>10799.93</v>
      </c>
      <c r="R530" s="9" t="n">
        <v>10079.92</v>
      </c>
      <c r="S530" s="9" t="n">
        <v>720.01</v>
      </c>
      <c r="T530" s="10" t="n">
        <v>0.0667</v>
      </c>
    </row>
    <row r="531">
      <c r="A531" s="7" t="inlineStr">
        <is>
          <t>ORD-2024-1422</t>
        </is>
      </c>
      <c r="B531" s="7" t="inlineStr">
        <is>
          <t>2024-08-05</t>
        </is>
      </c>
      <c r="C531" s="7" t="inlineStr">
        <is>
          <t>OFF-STR-001</t>
        </is>
      </c>
      <c r="D531" s="7" t="inlineStr">
        <is>
          <t>SteelLock 3-Drawer File Cabinet</t>
        </is>
      </c>
      <c r="E531" s="7" t="inlineStr">
        <is>
          <t>Office Supplies</t>
        </is>
      </c>
      <c r="F531" s="7" t="inlineStr">
        <is>
          <t>Storage &amp; Organizers</t>
        </is>
      </c>
      <c r="G531" s="7" t="inlineStr">
        <is>
          <t>East</t>
        </is>
      </c>
      <c r="H531" s="7" t="inlineStr">
        <is>
          <t>New York</t>
        </is>
      </c>
      <c r="I531" s="7" t="inlineStr">
        <is>
          <t>Online</t>
        </is>
      </c>
      <c r="J531" s="7" t="inlineStr">
        <is>
          <t>Corporate</t>
        </is>
      </c>
      <c r="K531" s="8" t="n">
        <v>3</v>
      </c>
      <c r="L531" s="9" t="n">
        <v>169.99</v>
      </c>
      <c r="M531" s="10" t="n">
        <v>0</v>
      </c>
      <c r="N531" s="9" t="n">
        <v>115.59</v>
      </c>
      <c r="O531" s="9" t="n">
        <v>509.97</v>
      </c>
      <c r="P531" s="9" t="n">
        <v>0</v>
      </c>
      <c r="Q531" s="9" t="n">
        <v>509.97</v>
      </c>
      <c r="R531" s="9" t="n">
        <v>346.77</v>
      </c>
      <c r="S531" s="9" t="n">
        <v>163.2</v>
      </c>
      <c r="T531" s="10" t="n">
        <v>0.32</v>
      </c>
    </row>
    <row r="532">
      <c r="A532" s="7" t="inlineStr">
        <is>
          <t>ORD-2024-1422</t>
        </is>
      </c>
      <c r="B532" s="7" t="inlineStr">
        <is>
          <t>2024-08-05</t>
        </is>
      </c>
      <c r="C532" s="7" t="inlineStr">
        <is>
          <t>OFF-STR-001</t>
        </is>
      </c>
      <c r="D532" s="7" t="inlineStr">
        <is>
          <t>SteelLock 3-Drawer File Cabinet</t>
        </is>
      </c>
      <c r="E532" s="7" t="inlineStr">
        <is>
          <t>Office Supplies</t>
        </is>
      </c>
      <c r="F532" s="7" t="inlineStr">
        <is>
          <t>Storage &amp; Organizers</t>
        </is>
      </c>
      <c r="G532" s="7" t="inlineStr">
        <is>
          <t>East</t>
        </is>
      </c>
      <c r="H532" s="7" t="inlineStr">
        <is>
          <t>New York</t>
        </is>
      </c>
      <c r="I532" s="7" t="inlineStr">
        <is>
          <t>Online</t>
        </is>
      </c>
      <c r="J532" s="7" t="inlineStr">
        <is>
          <t>Corporate</t>
        </is>
      </c>
      <c r="K532" s="8" t="n">
        <v>2</v>
      </c>
      <c r="L532" s="9" t="n">
        <v>169.99</v>
      </c>
      <c r="M532" s="10" t="n">
        <v>0.05</v>
      </c>
      <c r="N532" s="9" t="n">
        <v>115.59</v>
      </c>
      <c r="O532" s="9" t="n">
        <v>339.98</v>
      </c>
      <c r="P532" s="9" t="n">
        <v>17</v>
      </c>
      <c r="Q532" s="9" t="n">
        <v>322.98</v>
      </c>
      <c r="R532" s="9" t="n">
        <v>231.18</v>
      </c>
      <c r="S532" s="9" t="n">
        <v>91.8</v>
      </c>
      <c r="T532" s="10" t="n">
        <v>0.2842</v>
      </c>
    </row>
    <row r="533">
      <c r="A533" s="7" t="inlineStr">
        <is>
          <t>ORD-2024-1422</t>
        </is>
      </c>
      <c r="B533" s="7" t="inlineStr">
        <is>
          <t>2024-08-05</t>
        </is>
      </c>
      <c r="C533" s="7" t="inlineStr">
        <is>
          <t>OFF-DSK-008</t>
        </is>
      </c>
      <c r="D533" s="7" t="inlineStr">
        <is>
          <t>Steel Desktop Mesh Organizer Caddy</t>
        </is>
      </c>
      <c r="E533" s="7" t="inlineStr">
        <is>
          <t>Office Supplies</t>
        </is>
      </c>
      <c r="F533" s="7" t="inlineStr">
        <is>
          <t>Desk Supplies</t>
        </is>
      </c>
      <c r="G533" s="7" t="inlineStr">
        <is>
          <t>East</t>
        </is>
      </c>
      <c r="H533" s="7" t="inlineStr">
        <is>
          <t>New York</t>
        </is>
      </c>
      <c r="I533" s="7" t="inlineStr">
        <is>
          <t>Online</t>
        </is>
      </c>
      <c r="J533" s="7" t="inlineStr">
        <is>
          <t>Corporate</t>
        </is>
      </c>
      <c r="K533" s="8" t="n">
        <v>8</v>
      </c>
      <c r="L533" s="9" t="n">
        <v>18.99</v>
      </c>
      <c r="M533" s="10" t="n">
        <v>0</v>
      </c>
      <c r="N533" s="9" t="n">
        <v>8.550000000000001</v>
      </c>
      <c r="O533" s="9" t="n">
        <v>151.92</v>
      </c>
      <c r="P533" s="9" t="n">
        <v>0</v>
      </c>
      <c r="Q533" s="9" t="n">
        <v>151.92</v>
      </c>
      <c r="R533" s="9" t="n">
        <v>68.40000000000001</v>
      </c>
      <c r="S533" s="9" t="n">
        <v>83.52</v>
      </c>
      <c r="T533" s="10" t="n">
        <v>0.5498</v>
      </c>
    </row>
    <row r="534">
      <c r="A534" s="7" t="inlineStr">
        <is>
          <t>ORD-2024-1507</t>
        </is>
      </c>
      <c r="B534" s="7" t="inlineStr">
        <is>
          <t>2024-08-06</t>
        </is>
      </c>
      <c r="C534" s="7" t="inlineStr">
        <is>
          <t>FUR-LGT-006</t>
        </is>
      </c>
      <c r="D534" s="7" t="inlineStr">
        <is>
          <t>Architect LED Desk Task Lamp</t>
        </is>
      </c>
      <c r="E534" s="7" t="inlineStr">
        <is>
          <t>Furniture</t>
        </is>
      </c>
      <c r="F534" s="7" t="inlineStr">
        <is>
          <t>Lighting</t>
        </is>
      </c>
      <c r="G534" s="7" t="inlineStr">
        <is>
          <t>East</t>
        </is>
      </c>
      <c r="H534" s="7" t="inlineStr">
        <is>
          <t>New Jersey</t>
        </is>
      </c>
      <c r="I534" s="7" t="inlineStr">
        <is>
          <t>Online</t>
        </is>
      </c>
      <c r="J534" s="7" t="inlineStr">
        <is>
          <t>Consumer</t>
        </is>
      </c>
      <c r="K534" s="8" t="n">
        <v>3</v>
      </c>
      <c r="L534" s="9" t="n">
        <v>69.98999999999999</v>
      </c>
      <c r="M534" s="10" t="n">
        <v>0</v>
      </c>
      <c r="N534" s="9" t="n">
        <v>43.39</v>
      </c>
      <c r="O534" s="9" t="n">
        <v>209.97</v>
      </c>
      <c r="P534" s="9" t="n">
        <v>0</v>
      </c>
      <c r="Q534" s="9" t="n">
        <v>209.97</v>
      </c>
      <c r="R534" s="9" t="n">
        <v>130.17</v>
      </c>
      <c r="S534" s="9" t="n">
        <v>79.8</v>
      </c>
      <c r="T534" s="10" t="n">
        <v>0.3801</v>
      </c>
    </row>
    <row r="535">
      <c r="A535" s="7" t="inlineStr">
        <is>
          <t>ORD-2024-1509</t>
        </is>
      </c>
      <c r="B535" s="7" t="inlineStr">
        <is>
          <t>2024-08-06</t>
        </is>
      </c>
      <c r="C535" s="7" t="inlineStr">
        <is>
          <t>OFF-STR-002</t>
        </is>
      </c>
      <c r="D535" s="7" t="inlineStr">
        <is>
          <t>Stackable Heavy-Duty Storage Bins (4-Pk)</t>
        </is>
      </c>
      <c r="E535" s="7" t="inlineStr">
        <is>
          <t>Office Supplies</t>
        </is>
      </c>
      <c r="F535" s="7" t="inlineStr">
        <is>
          <t>Storage &amp; Organizers</t>
        </is>
      </c>
      <c r="G535" s="7" t="inlineStr">
        <is>
          <t>Central</t>
        </is>
      </c>
      <c r="H535" s="7" t="inlineStr">
        <is>
          <t>Texas</t>
        </is>
      </c>
      <c r="I535" s="7" t="inlineStr">
        <is>
          <t>Retail Partner</t>
        </is>
      </c>
      <c r="J535" s="7" t="inlineStr">
        <is>
          <t>Consumer</t>
        </is>
      </c>
      <c r="K535" s="8" t="n">
        <v>3</v>
      </c>
      <c r="L535" s="9" t="n">
        <v>44.99</v>
      </c>
      <c r="M535" s="10" t="n">
        <v>0</v>
      </c>
      <c r="N535" s="9" t="n">
        <v>24.74</v>
      </c>
      <c r="O535" s="9" t="n">
        <v>134.97</v>
      </c>
      <c r="P535" s="9" t="n">
        <v>0</v>
      </c>
      <c r="Q535" s="9" t="n">
        <v>134.97</v>
      </c>
      <c r="R535" s="9" t="n">
        <v>74.22</v>
      </c>
      <c r="S535" s="9" t="n">
        <v>60.75</v>
      </c>
      <c r="T535" s="10" t="n">
        <v>0.4501</v>
      </c>
    </row>
    <row r="536">
      <c r="A536" s="7" t="inlineStr">
        <is>
          <t>ORD-2024-1619</t>
        </is>
      </c>
      <c r="B536" s="7" t="inlineStr">
        <is>
          <t>2024-08-06</t>
        </is>
      </c>
      <c r="C536" s="7" t="inlineStr">
        <is>
          <t>FUR-CHA-001</t>
        </is>
      </c>
      <c r="D536" s="7" t="inlineStr">
        <is>
          <t>ErgoFlex Executive Mesh Chair</t>
        </is>
      </c>
      <c r="E536" s="7" t="inlineStr">
        <is>
          <t>Furniture</t>
        </is>
      </c>
      <c r="F536" s="7" t="inlineStr">
        <is>
          <t>Chairs</t>
        </is>
      </c>
      <c r="G536" s="7" t="inlineStr">
        <is>
          <t>East</t>
        </is>
      </c>
      <c r="H536" s="7" t="inlineStr">
        <is>
          <t>New Jersey</t>
        </is>
      </c>
      <c r="I536" s="7" t="inlineStr">
        <is>
          <t>Online</t>
        </is>
      </c>
      <c r="J536" s="7" t="inlineStr">
        <is>
          <t>Consumer</t>
        </is>
      </c>
      <c r="K536" s="8" t="n">
        <v>4</v>
      </c>
      <c r="L536" s="9" t="n">
        <v>389.99</v>
      </c>
      <c r="M536" s="10" t="n">
        <v>0.15</v>
      </c>
      <c r="N536" s="9" t="n">
        <v>331.49</v>
      </c>
      <c r="O536" s="9" t="n">
        <v>1559.96</v>
      </c>
      <c r="P536" s="9" t="n">
        <v>233.99</v>
      </c>
      <c r="Q536" s="9" t="n">
        <v>1325.97</v>
      </c>
      <c r="R536" s="9" t="n">
        <v>1325.96</v>
      </c>
      <c r="S536" s="9" t="n">
        <v>0.01</v>
      </c>
      <c r="T536" s="10" t="n">
        <v>0</v>
      </c>
    </row>
    <row r="537">
      <c r="A537" s="7" t="inlineStr">
        <is>
          <t>ORD-2024-1017</t>
        </is>
      </c>
      <c r="B537" s="7" t="inlineStr">
        <is>
          <t>2024-08-07</t>
        </is>
      </c>
      <c r="C537" s="7" t="inlineStr">
        <is>
          <t>OFF-DSK-008</t>
        </is>
      </c>
      <c r="D537" s="7" t="inlineStr">
        <is>
          <t>Steel Desktop Mesh Organizer Caddy</t>
        </is>
      </c>
      <c r="E537" s="7" t="inlineStr">
        <is>
          <t>Office Supplies</t>
        </is>
      </c>
      <c r="F537" s="7" t="inlineStr">
        <is>
          <t>Desk Supplies</t>
        </is>
      </c>
      <c r="G537" s="7" t="inlineStr">
        <is>
          <t>South</t>
        </is>
      </c>
      <c r="H537" s="7" t="inlineStr">
        <is>
          <t>North Carolina</t>
        </is>
      </c>
      <c r="I537" s="7" t="inlineStr">
        <is>
          <t>Online</t>
        </is>
      </c>
      <c r="J537" s="7" t="inlineStr">
        <is>
          <t>Consumer</t>
        </is>
      </c>
      <c r="K537" s="8" t="n">
        <v>1</v>
      </c>
      <c r="L537" s="9" t="n">
        <v>18.99</v>
      </c>
      <c r="M537" s="10" t="n">
        <v>0</v>
      </c>
      <c r="N537" s="9" t="n">
        <v>8.550000000000001</v>
      </c>
      <c r="O537" s="9" t="n">
        <v>18.99</v>
      </c>
      <c r="P537" s="9" t="n">
        <v>0</v>
      </c>
      <c r="Q537" s="9" t="n">
        <v>18.99</v>
      </c>
      <c r="R537" s="9" t="n">
        <v>8.550000000000001</v>
      </c>
      <c r="S537" s="9" t="n">
        <v>10.44</v>
      </c>
      <c r="T537" s="10" t="n">
        <v>0.5498</v>
      </c>
    </row>
    <row r="538">
      <c r="A538" s="7" t="inlineStr">
        <is>
          <t>ORD-2024-1017</t>
        </is>
      </c>
      <c r="B538" s="7" t="inlineStr">
        <is>
          <t>2024-08-07</t>
        </is>
      </c>
      <c r="C538" s="7" t="inlineStr">
        <is>
          <t>OFF-ART-006</t>
        </is>
      </c>
      <c r="D538" s="7" t="inlineStr">
        <is>
          <t>Professional Presentation Dry Erase Board</t>
        </is>
      </c>
      <c r="E538" s="7" t="inlineStr">
        <is>
          <t>Office Supplies</t>
        </is>
      </c>
      <c r="F538" s="7" t="inlineStr">
        <is>
          <t>Presentation &amp; Art</t>
        </is>
      </c>
      <c r="G538" s="7" t="inlineStr">
        <is>
          <t>South</t>
        </is>
      </c>
      <c r="H538" s="7" t="inlineStr">
        <is>
          <t>North Carolina</t>
        </is>
      </c>
      <c r="I538" s="7" t="inlineStr">
        <is>
          <t>Online</t>
        </is>
      </c>
      <c r="J538" s="7" t="inlineStr">
        <is>
          <t>Consumer</t>
        </is>
      </c>
      <c r="K538" s="8" t="n">
        <v>2</v>
      </c>
      <c r="L538" s="9" t="n">
        <v>89.98999999999999</v>
      </c>
      <c r="M538" s="10" t="n">
        <v>0</v>
      </c>
      <c r="N538" s="9" t="n">
        <v>53.99</v>
      </c>
      <c r="O538" s="9" t="n">
        <v>179.98</v>
      </c>
      <c r="P538" s="9" t="n">
        <v>0</v>
      </c>
      <c r="Q538" s="9" t="n">
        <v>179.98</v>
      </c>
      <c r="R538" s="9" t="n">
        <v>107.98</v>
      </c>
      <c r="S538" s="9" t="n">
        <v>72</v>
      </c>
      <c r="T538" s="10" t="n">
        <v>0.4</v>
      </c>
    </row>
    <row r="539">
      <c r="A539" s="7" t="inlineStr">
        <is>
          <t>ORD-2024-1705</t>
        </is>
      </c>
      <c r="B539" s="7" t="inlineStr">
        <is>
          <t>2024-08-07</t>
        </is>
      </c>
      <c r="C539" s="7" t="inlineStr">
        <is>
          <t>TEC-TAB-003</t>
        </is>
      </c>
      <c r="D539" s="7" t="inlineStr">
        <is>
          <t>VisionPad Pro 11"</t>
        </is>
      </c>
      <c r="E539" s="7" t="inlineStr">
        <is>
          <t>Technology</t>
        </is>
      </c>
      <c r="F539" s="7" t="inlineStr">
        <is>
          <t>Phones &amp; Tablets</t>
        </is>
      </c>
      <c r="G539" s="7" t="inlineStr">
        <is>
          <t>East</t>
        </is>
      </c>
      <c r="H539" s="7" t="inlineStr">
        <is>
          <t>New Jersey</t>
        </is>
      </c>
      <c r="I539" s="7" t="inlineStr">
        <is>
          <t>Direct Sales</t>
        </is>
      </c>
      <c r="J539" s="7" t="inlineStr">
        <is>
          <t>Consumer</t>
        </is>
      </c>
      <c r="K539" s="8" t="n">
        <v>2</v>
      </c>
      <c r="L539" s="9" t="n">
        <v>649.99</v>
      </c>
      <c r="M539" s="10" t="n">
        <v>0</v>
      </c>
      <c r="N539" s="9" t="n">
        <v>487.49</v>
      </c>
      <c r="O539" s="9" t="n">
        <v>1299.98</v>
      </c>
      <c r="P539" s="9" t="n">
        <v>0</v>
      </c>
      <c r="Q539" s="9" t="n">
        <v>1299.98</v>
      </c>
      <c r="R539" s="9" t="n">
        <v>974.98</v>
      </c>
      <c r="S539" s="9" t="n">
        <v>325</v>
      </c>
      <c r="T539" s="10" t="n">
        <v>0.25</v>
      </c>
    </row>
    <row r="540">
      <c r="A540" s="7" t="inlineStr">
        <is>
          <t>ORD-2024-1043</t>
        </is>
      </c>
      <c r="B540" s="7" t="inlineStr">
        <is>
          <t>2024-08-08</t>
        </is>
      </c>
      <c r="C540" s="7" t="inlineStr">
        <is>
          <t>FUR-DSK-003</t>
        </is>
      </c>
      <c r="D540" s="7" t="inlineStr">
        <is>
          <t>ApexMotor Dual-Motor Standing Desk</t>
        </is>
      </c>
      <c r="E540" s="7" t="inlineStr">
        <is>
          <t>Furniture</t>
        </is>
      </c>
      <c r="F540" s="7" t="inlineStr">
        <is>
          <t>Desks &amp; Workstations</t>
        </is>
      </c>
      <c r="G540" s="7" t="inlineStr">
        <is>
          <t>East</t>
        </is>
      </c>
      <c r="H540" s="7" t="inlineStr">
        <is>
          <t>New York</t>
        </is>
      </c>
      <c r="I540" s="7" t="inlineStr">
        <is>
          <t>Retail Partner</t>
        </is>
      </c>
      <c r="J540" s="7" t="inlineStr">
        <is>
          <t>Corporate</t>
        </is>
      </c>
      <c r="K540" s="8" t="n">
        <v>2</v>
      </c>
      <c r="L540" s="9" t="n">
        <v>549.99</v>
      </c>
      <c r="M540" s="10" t="n">
        <v>0.05</v>
      </c>
      <c r="N540" s="9" t="n">
        <v>439.99</v>
      </c>
      <c r="O540" s="9" t="n">
        <v>1099.98</v>
      </c>
      <c r="P540" s="9" t="n">
        <v>55</v>
      </c>
      <c r="Q540" s="9" t="n">
        <v>1044.98</v>
      </c>
      <c r="R540" s="9" t="n">
        <v>879.98</v>
      </c>
      <c r="S540" s="9" t="n">
        <v>165</v>
      </c>
      <c r="T540" s="10" t="n">
        <v>0.1579</v>
      </c>
    </row>
    <row r="541">
      <c r="A541" s="7" t="inlineStr">
        <is>
          <t>ORD-2024-1124</t>
        </is>
      </c>
      <c r="B541" s="7" t="inlineStr">
        <is>
          <t>2024-08-08</t>
        </is>
      </c>
      <c r="C541" s="7" t="inlineStr">
        <is>
          <t>FUR-DSK-003</t>
        </is>
      </c>
      <c r="D541" s="7" t="inlineStr">
        <is>
          <t>ApexMotor Dual-Motor Standing Desk</t>
        </is>
      </c>
      <c r="E541" s="7" t="inlineStr">
        <is>
          <t>Furniture</t>
        </is>
      </c>
      <c r="F541" s="7" t="inlineStr">
        <is>
          <t>Desks &amp; Workstations</t>
        </is>
      </c>
      <c r="G541" s="7" t="inlineStr">
        <is>
          <t>East</t>
        </is>
      </c>
      <c r="H541" s="7" t="inlineStr">
        <is>
          <t>Massachusetts</t>
        </is>
      </c>
      <c r="I541" s="7" t="inlineStr">
        <is>
          <t>Online</t>
        </is>
      </c>
      <c r="J541" s="7" t="inlineStr">
        <is>
          <t>Home Office</t>
        </is>
      </c>
      <c r="K541" s="8" t="n">
        <v>3</v>
      </c>
      <c r="L541" s="9" t="n">
        <v>549.99</v>
      </c>
      <c r="M541" s="10" t="n">
        <v>0.05</v>
      </c>
      <c r="N541" s="9" t="n">
        <v>439.99</v>
      </c>
      <c r="O541" s="9" t="n">
        <v>1649.97</v>
      </c>
      <c r="P541" s="9" t="n">
        <v>82.5</v>
      </c>
      <c r="Q541" s="9" t="n">
        <v>1567.47</v>
      </c>
      <c r="R541" s="9" t="n">
        <v>1319.97</v>
      </c>
      <c r="S541" s="9" t="n">
        <v>247.5</v>
      </c>
      <c r="T541" s="10" t="n">
        <v>0.1579</v>
      </c>
    </row>
    <row r="542">
      <c r="A542" s="7" t="inlineStr">
        <is>
          <t>ORD-2024-1124</t>
        </is>
      </c>
      <c r="B542" s="7" t="inlineStr">
        <is>
          <t>2024-08-08</t>
        </is>
      </c>
      <c r="C542" s="7" t="inlineStr">
        <is>
          <t>OFF-PAP-004</t>
        </is>
      </c>
      <c r="D542" s="7" t="inlineStr">
        <is>
          <t>EcoRecycled Copy Paper (5 Reams)</t>
        </is>
      </c>
      <c r="E542" s="7" t="inlineStr">
        <is>
          <t>Office Supplies</t>
        </is>
      </c>
      <c r="F542" s="7" t="inlineStr">
        <is>
          <t>Paper Products</t>
        </is>
      </c>
      <c r="G542" s="7" t="inlineStr">
        <is>
          <t>East</t>
        </is>
      </c>
      <c r="H542" s="7" t="inlineStr">
        <is>
          <t>Massachusetts</t>
        </is>
      </c>
      <c r="I542" s="7" t="inlineStr">
        <is>
          <t>Online</t>
        </is>
      </c>
      <c r="J542" s="7" t="inlineStr">
        <is>
          <t>Home Office</t>
        </is>
      </c>
      <c r="K542" s="8" t="n">
        <v>1</v>
      </c>
      <c r="L542" s="9" t="n">
        <v>32.99</v>
      </c>
      <c r="M542" s="10" t="n">
        <v>0.05</v>
      </c>
      <c r="N542" s="9" t="n">
        <v>19.79</v>
      </c>
      <c r="O542" s="9" t="n">
        <v>32.99</v>
      </c>
      <c r="P542" s="9" t="n">
        <v>1.65</v>
      </c>
      <c r="Q542" s="9" t="n">
        <v>31.34</v>
      </c>
      <c r="R542" s="9" t="n">
        <v>19.79</v>
      </c>
      <c r="S542" s="9" t="n">
        <v>11.55</v>
      </c>
      <c r="T542" s="10" t="n">
        <v>0.3685</v>
      </c>
    </row>
    <row r="543">
      <c r="A543" s="7" t="inlineStr">
        <is>
          <t>ORD-2024-1124</t>
        </is>
      </c>
      <c r="B543" s="7" t="inlineStr">
        <is>
          <t>2024-08-08</t>
        </is>
      </c>
      <c r="C543" s="7" t="inlineStr">
        <is>
          <t>TEC-ACC-005</t>
        </is>
      </c>
      <c r="D543" s="7" t="inlineStr">
        <is>
          <t>UltraWireless Noise-Canceling Headset</t>
        </is>
      </c>
      <c r="E543" s="7" t="inlineStr">
        <is>
          <t>Technology</t>
        </is>
      </c>
      <c r="F543" s="7" t="inlineStr">
        <is>
          <t>Audio &amp; Accessories</t>
        </is>
      </c>
      <c r="G543" s="7" t="inlineStr">
        <is>
          <t>East</t>
        </is>
      </c>
      <c r="H543" s="7" t="inlineStr">
        <is>
          <t>Massachusetts</t>
        </is>
      </c>
      <c r="I543" s="7" t="inlineStr">
        <is>
          <t>Online</t>
        </is>
      </c>
      <c r="J543" s="7" t="inlineStr">
        <is>
          <t>Home Office</t>
        </is>
      </c>
      <c r="K543" s="8" t="n">
        <v>2</v>
      </c>
      <c r="L543" s="9" t="n">
        <v>179.99</v>
      </c>
      <c r="M543" s="10" t="n">
        <v>0.1</v>
      </c>
      <c r="N543" s="9" t="n">
        <v>111.59</v>
      </c>
      <c r="O543" s="9" t="n">
        <v>359.98</v>
      </c>
      <c r="P543" s="9" t="n">
        <v>36</v>
      </c>
      <c r="Q543" s="9" t="n">
        <v>323.98</v>
      </c>
      <c r="R543" s="9" t="n">
        <v>223.18</v>
      </c>
      <c r="S543" s="9" t="n">
        <v>100.8</v>
      </c>
      <c r="T543" s="10" t="n">
        <v>0.3111</v>
      </c>
    </row>
    <row r="544">
      <c r="A544" s="7" t="inlineStr">
        <is>
          <t>ORD-2024-1492</t>
        </is>
      </c>
      <c r="B544" s="7" t="inlineStr">
        <is>
          <t>2024-08-08</t>
        </is>
      </c>
      <c r="C544" s="7" t="inlineStr">
        <is>
          <t>TEC-LAP-002</t>
        </is>
      </c>
      <c r="D544" s="7" t="inlineStr">
        <is>
          <t>Apex Gaming Laptop 17"</t>
        </is>
      </c>
      <c r="E544" s="7" t="inlineStr">
        <is>
          <t>Technology</t>
        </is>
      </c>
      <c r="F544" s="7" t="inlineStr">
        <is>
          <t>Laptops</t>
        </is>
      </c>
      <c r="G544" s="7" t="inlineStr">
        <is>
          <t>West</t>
        </is>
      </c>
      <c r="H544" s="7" t="inlineStr">
        <is>
          <t>Washington</t>
        </is>
      </c>
      <c r="I544" s="7" t="inlineStr">
        <is>
          <t>Online</t>
        </is>
      </c>
      <c r="J544" s="7" t="inlineStr">
        <is>
          <t>Home Office</t>
        </is>
      </c>
      <c r="K544" s="8" t="n">
        <v>1</v>
      </c>
      <c r="L544" s="9" t="n">
        <v>1499.99</v>
      </c>
      <c r="M544" s="10" t="n">
        <v>0.2</v>
      </c>
      <c r="N544" s="9" t="n">
        <v>1259.99</v>
      </c>
      <c r="O544" s="9" t="n">
        <v>1499.99</v>
      </c>
      <c r="P544" s="9" t="n">
        <v>300</v>
      </c>
      <c r="Q544" s="9" t="n">
        <v>1199.99</v>
      </c>
      <c r="R544" s="9" t="n">
        <v>1259.99</v>
      </c>
      <c r="S544" s="9" t="n">
        <v>-60</v>
      </c>
      <c r="T544" s="10" t="n">
        <v>-0.05</v>
      </c>
    </row>
    <row r="545">
      <c r="A545" s="7" t="inlineStr">
        <is>
          <t>ORD-2024-1336</t>
        </is>
      </c>
      <c r="B545" s="7" t="inlineStr">
        <is>
          <t>2024-08-09</t>
        </is>
      </c>
      <c r="C545" s="7" t="inlineStr">
        <is>
          <t>TEC-ACC-006</t>
        </is>
      </c>
      <c r="D545" s="7" t="inlineStr">
        <is>
          <t>MultiPort Thunderbolt 4 Dock</t>
        </is>
      </c>
      <c r="E545" s="7" t="inlineStr">
        <is>
          <t>Technology</t>
        </is>
      </c>
      <c r="F545" s="7" t="inlineStr">
        <is>
          <t>Audio &amp; Accessories</t>
        </is>
      </c>
      <c r="G545" s="7" t="inlineStr">
        <is>
          <t>Central</t>
        </is>
      </c>
      <c r="H545" s="7" t="inlineStr">
        <is>
          <t>Texas</t>
        </is>
      </c>
      <c r="I545" s="7" t="inlineStr">
        <is>
          <t>Direct Sales</t>
        </is>
      </c>
      <c r="J545" s="7" t="inlineStr">
        <is>
          <t>Consumer</t>
        </is>
      </c>
      <c r="K545" s="8" t="n">
        <v>2</v>
      </c>
      <c r="L545" s="9" t="n">
        <v>149.99</v>
      </c>
      <c r="M545" s="10" t="n">
        <v>0.1</v>
      </c>
      <c r="N545" s="9" t="n">
        <v>98.98999999999999</v>
      </c>
      <c r="O545" s="9" t="n">
        <v>299.98</v>
      </c>
      <c r="P545" s="9" t="n">
        <v>30</v>
      </c>
      <c r="Q545" s="9" t="n">
        <v>269.98</v>
      </c>
      <c r="R545" s="9" t="n">
        <v>197.98</v>
      </c>
      <c r="S545" s="9" t="n">
        <v>72</v>
      </c>
      <c r="T545" s="10" t="n">
        <v>0.2667</v>
      </c>
    </row>
    <row r="546">
      <c r="A546" s="7" t="inlineStr">
        <is>
          <t>ORD-2024-1402</t>
        </is>
      </c>
      <c r="B546" s="7" t="inlineStr">
        <is>
          <t>2024-08-09</t>
        </is>
      </c>
      <c r="C546" s="7" t="inlineStr">
        <is>
          <t>FUR-DSK-004</t>
        </is>
      </c>
      <c r="D546" s="7" t="inlineStr">
        <is>
          <t>Metro Compact Corner Workstation</t>
        </is>
      </c>
      <c r="E546" s="7" t="inlineStr">
        <is>
          <t>Furniture</t>
        </is>
      </c>
      <c r="F546" s="7" t="inlineStr">
        <is>
          <t>Desks &amp; Workstations</t>
        </is>
      </c>
      <c r="G546" s="7" t="inlineStr">
        <is>
          <t>Central</t>
        </is>
      </c>
      <c r="H546" s="7" t="inlineStr">
        <is>
          <t>Illinois</t>
        </is>
      </c>
      <c r="I546" s="7" t="inlineStr">
        <is>
          <t>Retail Partner</t>
        </is>
      </c>
      <c r="J546" s="7" t="inlineStr">
        <is>
          <t>Consumer</t>
        </is>
      </c>
      <c r="K546" s="8" t="n">
        <v>4</v>
      </c>
      <c r="L546" s="9" t="n">
        <v>329.99</v>
      </c>
      <c r="M546" s="10" t="n">
        <v>0</v>
      </c>
      <c r="N546" s="9" t="n">
        <v>250.79</v>
      </c>
      <c r="O546" s="9" t="n">
        <v>1319.96</v>
      </c>
      <c r="P546" s="9" t="n">
        <v>0</v>
      </c>
      <c r="Q546" s="9" t="n">
        <v>1319.96</v>
      </c>
      <c r="R546" s="9" t="n">
        <v>1003.16</v>
      </c>
      <c r="S546" s="9" t="n">
        <v>316.8</v>
      </c>
      <c r="T546" s="10" t="n">
        <v>0.24</v>
      </c>
    </row>
    <row r="547">
      <c r="A547" s="7" t="inlineStr">
        <is>
          <t>ORD-2024-1175</t>
        </is>
      </c>
      <c r="B547" s="7" t="inlineStr">
        <is>
          <t>2024-08-10</t>
        </is>
      </c>
      <c r="C547" s="7" t="inlineStr">
        <is>
          <t>OFF-PAP-004</t>
        </is>
      </c>
      <c r="D547" s="7" t="inlineStr">
        <is>
          <t>EcoRecycled Copy Paper (5 Reams)</t>
        </is>
      </c>
      <c r="E547" s="7" t="inlineStr">
        <is>
          <t>Office Supplies</t>
        </is>
      </c>
      <c r="F547" s="7" t="inlineStr">
        <is>
          <t>Paper Products</t>
        </is>
      </c>
      <c r="G547" s="7" t="inlineStr">
        <is>
          <t>East</t>
        </is>
      </c>
      <c r="H547" s="7" t="inlineStr">
        <is>
          <t>New York</t>
        </is>
      </c>
      <c r="I547" s="7" t="inlineStr">
        <is>
          <t>Direct Sales</t>
        </is>
      </c>
      <c r="J547" s="7" t="inlineStr">
        <is>
          <t>Consumer</t>
        </is>
      </c>
      <c r="K547" s="8" t="n">
        <v>2</v>
      </c>
      <c r="L547" s="9" t="n">
        <v>32.99</v>
      </c>
      <c r="M547" s="10" t="n">
        <v>0</v>
      </c>
      <c r="N547" s="9" t="n">
        <v>19.79</v>
      </c>
      <c r="O547" s="9" t="n">
        <v>65.98</v>
      </c>
      <c r="P547" s="9" t="n">
        <v>0</v>
      </c>
      <c r="Q547" s="9" t="n">
        <v>65.98</v>
      </c>
      <c r="R547" s="9" t="n">
        <v>39.58</v>
      </c>
      <c r="S547" s="9" t="n">
        <v>26.4</v>
      </c>
      <c r="T547" s="10" t="n">
        <v>0.4001</v>
      </c>
    </row>
    <row r="548">
      <c r="A548" s="7" t="inlineStr">
        <is>
          <t>ORD-2024-1175</t>
        </is>
      </c>
      <c r="B548" s="7" t="inlineStr">
        <is>
          <t>2024-08-10</t>
        </is>
      </c>
      <c r="C548" s="7" t="inlineStr">
        <is>
          <t>FUR-CHA-001</t>
        </is>
      </c>
      <c r="D548" s="7" t="inlineStr">
        <is>
          <t>ErgoFlex Executive Mesh Chair</t>
        </is>
      </c>
      <c r="E548" s="7" t="inlineStr">
        <is>
          <t>Furniture</t>
        </is>
      </c>
      <c r="F548" s="7" t="inlineStr">
        <is>
          <t>Chairs</t>
        </is>
      </c>
      <c r="G548" s="7" t="inlineStr">
        <is>
          <t>East</t>
        </is>
      </c>
      <c r="H548" s="7" t="inlineStr">
        <is>
          <t>New York</t>
        </is>
      </c>
      <c r="I548" s="7" t="inlineStr">
        <is>
          <t>Direct Sales</t>
        </is>
      </c>
      <c r="J548" s="7" t="inlineStr">
        <is>
          <t>Consumer</t>
        </is>
      </c>
      <c r="K548" s="8" t="n">
        <v>1</v>
      </c>
      <c r="L548" s="9" t="n">
        <v>389.99</v>
      </c>
      <c r="M548" s="10" t="n">
        <v>0.05</v>
      </c>
      <c r="N548" s="9" t="n">
        <v>331.49</v>
      </c>
      <c r="O548" s="9" t="n">
        <v>389.99</v>
      </c>
      <c r="P548" s="9" t="n">
        <v>19.5</v>
      </c>
      <c r="Q548" s="9" t="n">
        <v>370.49</v>
      </c>
      <c r="R548" s="9" t="n">
        <v>331.49</v>
      </c>
      <c r="S548" s="9" t="n">
        <v>39</v>
      </c>
      <c r="T548" s="10" t="n">
        <v>0.1053</v>
      </c>
    </row>
    <row r="549">
      <c r="A549" s="7" t="inlineStr">
        <is>
          <t>ORD-2024-1496</t>
        </is>
      </c>
      <c r="B549" s="7" t="inlineStr">
        <is>
          <t>2024-08-10</t>
        </is>
      </c>
      <c r="C549" s="7" t="inlineStr">
        <is>
          <t>TEC-TAB-003</t>
        </is>
      </c>
      <c r="D549" s="7" t="inlineStr">
        <is>
          <t>VisionPad Pro 11"</t>
        </is>
      </c>
      <c r="E549" s="7" t="inlineStr">
        <is>
          <t>Technology</t>
        </is>
      </c>
      <c r="F549" s="7" t="inlineStr">
        <is>
          <t>Phones &amp; Tablets</t>
        </is>
      </c>
      <c r="G549" s="7" t="inlineStr">
        <is>
          <t>West</t>
        </is>
      </c>
      <c r="H549" s="7" t="inlineStr">
        <is>
          <t>California</t>
        </is>
      </c>
      <c r="I549" s="7" t="inlineStr">
        <is>
          <t>Direct Sales</t>
        </is>
      </c>
      <c r="J549" s="7" t="inlineStr">
        <is>
          <t>Home Office</t>
        </is>
      </c>
      <c r="K549" s="8" t="n">
        <v>2</v>
      </c>
      <c r="L549" s="9" t="n">
        <v>649.99</v>
      </c>
      <c r="M549" s="10" t="n">
        <v>0.05</v>
      </c>
      <c r="N549" s="9" t="n">
        <v>487.49</v>
      </c>
      <c r="O549" s="9" t="n">
        <v>1299.98</v>
      </c>
      <c r="P549" s="9" t="n">
        <v>65</v>
      </c>
      <c r="Q549" s="9" t="n">
        <v>1234.98</v>
      </c>
      <c r="R549" s="9" t="n">
        <v>974.98</v>
      </c>
      <c r="S549" s="9" t="n">
        <v>260</v>
      </c>
      <c r="T549" s="10" t="n">
        <v>0.2105</v>
      </c>
    </row>
    <row r="550">
      <c r="A550" s="7" t="inlineStr">
        <is>
          <t>ORD-2024-1071</t>
        </is>
      </c>
      <c r="B550" s="7" t="inlineStr">
        <is>
          <t>2024-08-12</t>
        </is>
      </c>
      <c r="C550" s="7" t="inlineStr">
        <is>
          <t>TEC-ACC-006</t>
        </is>
      </c>
      <c r="D550" s="7" t="inlineStr">
        <is>
          <t>MultiPort Thunderbolt 4 Dock</t>
        </is>
      </c>
      <c r="E550" s="7" t="inlineStr">
        <is>
          <t>Technology</t>
        </is>
      </c>
      <c r="F550" s="7" t="inlineStr">
        <is>
          <t>Audio &amp; Accessories</t>
        </is>
      </c>
      <c r="G550" s="7" t="inlineStr">
        <is>
          <t>West</t>
        </is>
      </c>
      <c r="H550" s="7" t="inlineStr">
        <is>
          <t>Oregon</t>
        </is>
      </c>
      <c r="I550" s="7" t="inlineStr">
        <is>
          <t>Online</t>
        </is>
      </c>
      <c r="J550" s="7" t="inlineStr">
        <is>
          <t>Consumer</t>
        </is>
      </c>
      <c r="K550" s="8" t="n">
        <v>4</v>
      </c>
      <c r="L550" s="9" t="n">
        <v>149.99</v>
      </c>
      <c r="M550" s="10" t="n">
        <v>0.05</v>
      </c>
      <c r="N550" s="9" t="n">
        <v>98.98999999999999</v>
      </c>
      <c r="O550" s="9" t="n">
        <v>599.96</v>
      </c>
      <c r="P550" s="9" t="n">
        <v>30</v>
      </c>
      <c r="Q550" s="9" t="n">
        <v>569.96</v>
      </c>
      <c r="R550" s="9" t="n">
        <v>395.96</v>
      </c>
      <c r="S550" s="9" t="n">
        <v>174</v>
      </c>
      <c r="T550" s="10" t="n">
        <v>0.3053</v>
      </c>
    </row>
    <row r="551">
      <c r="A551" s="7" t="inlineStr">
        <is>
          <t>ORD-2024-1392</t>
        </is>
      </c>
      <c r="B551" s="7" t="inlineStr">
        <is>
          <t>2024-08-12</t>
        </is>
      </c>
      <c r="C551" s="7" t="inlineStr">
        <is>
          <t>TEC-LAP-001</t>
        </is>
      </c>
      <c r="D551" s="7" t="inlineStr">
        <is>
          <t>ProBook Elite 15.6"</t>
        </is>
      </c>
      <c r="E551" s="7" t="inlineStr">
        <is>
          <t>Technology</t>
        </is>
      </c>
      <c r="F551" s="7" t="inlineStr">
        <is>
          <t>Laptops</t>
        </is>
      </c>
      <c r="G551" s="7" t="inlineStr">
        <is>
          <t>East</t>
        </is>
      </c>
      <c r="H551" s="7" t="inlineStr">
        <is>
          <t>Massachusetts</t>
        </is>
      </c>
      <c r="I551" s="7" t="inlineStr">
        <is>
          <t>Retail Partner</t>
        </is>
      </c>
      <c r="J551" s="7" t="inlineStr">
        <is>
          <t>Home Office</t>
        </is>
      </c>
      <c r="K551" s="8" t="n">
        <v>3</v>
      </c>
      <c r="L551" s="9" t="n">
        <v>1199.99</v>
      </c>
      <c r="M551" s="10" t="n">
        <v>0.1</v>
      </c>
      <c r="N551" s="9" t="n">
        <v>863.99</v>
      </c>
      <c r="O551" s="9" t="n">
        <v>3599.97</v>
      </c>
      <c r="P551" s="9" t="n">
        <v>360</v>
      </c>
      <c r="Q551" s="9" t="n">
        <v>3239.97</v>
      </c>
      <c r="R551" s="9" t="n">
        <v>2591.97</v>
      </c>
      <c r="S551" s="9" t="n">
        <v>648</v>
      </c>
      <c r="T551" s="10" t="n">
        <v>0.2</v>
      </c>
    </row>
    <row r="552">
      <c r="A552" s="7" t="inlineStr">
        <is>
          <t>ORD-2024-1455</t>
        </is>
      </c>
      <c r="B552" s="7" t="inlineStr">
        <is>
          <t>2024-08-12</t>
        </is>
      </c>
      <c r="C552" s="7" t="inlineStr">
        <is>
          <t>TEC-LAP-002</t>
        </is>
      </c>
      <c r="D552" s="7" t="inlineStr">
        <is>
          <t>Apex Gaming Laptop 17"</t>
        </is>
      </c>
      <c r="E552" s="7" t="inlineStr">
        <is>
          <t>Technology</t>
        </is>
      </c>
      <c r="F552" s="7" t="inlineStr">
        <is>
          <t>Laptops</t>
        </is>
      </c>
      <c r="G552" s="7" t="inlineStr">
        <is>
          <t>West</t>
        </is>
      </c>
      <c r="H552" s="7" t="inlineStr">
        <is>
          <t>California</t>
        </is>
      </c>
      <c r="I552" s="7" t="inlineStr">
        <is>
          <t>Wholesale</t>
        </is>
      </c>
      <c r="J552" s="7" t="inlineStr">
        <is>
          <t>Consumer</t>
        </is>
      </c>
      <c r="K552" s="8" t="n">
        <v>9</v>
      </c>
      <c r="L552" s="9" t="n">
        <v>1499.99</v>
      </c>
      <c r="M552" s="10" t="n">
        <v>0.15</v>
      </c>
      <c r="N552" s="9" t="n">
        <v>1259.99</v>
      </c>
      <c r="O552" s="9" t="n">
        <v>13499.91</v>
      </c>
      <c r="P552" s="9" t="n">
        <v>2024.99</v>
      </c>
      <c r="Q552" s="9" t="n">
        <v>11474.92</v>
      </c>
      <c r="R552" s="9" t="n">
        <v>11339.91</v>
      </c>
      <c r="S552" s="9" t="n">
        <v>135.01</v>
      </c>
      <c r="T552" s="10" t="n">
        <v>0.0118</v>
      </c>
    </row>
    <row r="553">
      <c r="A553" s="7" t="inlineStr">
        <is>
          <t>ORD-2024-1097</t>
        </is>
      </c>
      <c r="B553" s="7" t="inlineStr">
        <is>
          <t>2024-08-13</t>
        </is>
      </c>
      <c r="C553" s="7" t="inlineStr">
        <is>
          <t>FUR-CHA-001</t>
        </is>
      </c>
      <c r="D553" s="7" t="inlineStr">
        <is>
          <t>ErgoFlex Executive Mesh Chair</t>
        </is>
      </c>
      <c r="E553" s="7" t="inlineStr">
        <is>
          <t>Furniture</t>
        </is>
      </c>
      <c r="F553" s="7" t="inlineStr">
        <is>
          <t>Chairs</t>
        </is>
      </c>
      <c r="G553" s="7" t="inlineStr">
        <is>
          <t>East</t>
        </is>
      </c>
      <c r="H553" s="7" t="inlineStr">
        <is>
          <t>Pennsylvania</t>
        </is>
      </c>
      <c r="I553" s="7" t="inlineStr">
        <is>
          <t>Online</t>
        </is>
      </c>
      <c r="J553" s="7" t="inlineStr">
        <is>
          <t>Corporate</t>
        </is>
      </c>
      <c r="K553" s="8" t="n">
        <v>2</v>
      </c>
      <c r="L553" s="9" t="n">
        <v>389.99</v>
      </c>
      <c r="M553" s="10" t="n">
        <v>0.05</v>
      </c>
      <c r="N553" s="9" t="n">
        <v>331.49</v>
      </c>
      <c r="O553" s="9" t="n">
        <v>779.98</v>
      </c>
      <c r="P553" s="9" t="n">
        <v>39</v>
      </c>
      <c r="Q553" s="9" t="n">
        <v>740.98</v>
      </c>
      <c r="R553" s="9" t="n">
        <v>662.98</v>
      </c>
      <c r="S553" s="9" t="n">
        <v>78</v>
      </c>
      <c r="T553" s="10" t="n">
        <v>0.1053</v>
      </c>
    </row>
    <row r="554">
      <c r="A554" s="7" t="inlineStr">
        <is>
          <t>ORD-2024-1127</t>
        </is>
      </c>
      <c r="B554" s="7" t="inlineStr">
        <is>
          <t>2024-08-13</t>
        </is>
      </c>
      <c r="C554" s="7" t="inlineStr">
        <is>
          <t>OFF-BIN-005</t>
        </is>
      </c>
      <c r="D554" s="7" t="inlineStr">
        <is>
          <t>Heavy-Duty D-Ring Presentation Binder (6-Pk)</t>
        </is>
      </c>
      <c r="E554" s="7" t="inlineStr">
        <is>
          <t>Office Supplies</t>
        </is>
      </c>
      <c r="F554" s="7" t="inlineStr">
        <is>
          <t>Binders &amp; Fasteners</t>
        </is>
      </c>
      <c r="G554" s="7" t="inlineStr">
        <is>
          <t>East</t>
        </is>
      </c>
      <c r="H554" s="7" t="inlineStr">
        <is>
          <t>New York</t>
        </is>
      </c>
      <c r="I554" s="7" t="inlineStr">
        <is>
          <t>Online</t>
        </is>
      </c>
      <c r="J554" s="7" t="inlineStr">
        <is>
          <t>Consumer</t>
        </is>
      </c>
      <c r="K554" s="8" t="n">
        <v>4</v>
      </c>
      <c r="L554" s="9" t="n">
        <v>27.99</v>
      </c>
      <c r="M554" s="10" t="n">
        <v>0.1</v>
      </c>
      <c r="N554" s="9" t="n">
        <v>13.99</v>
      </c>
      <c r="O554" s="9" t="n">
        <v>111.96</v>
      </c>
      <c r="P554" s="9" t="n">
        <v>11.2</v>
      </c>
      <c r="Q554" s="9" t="n">
        <v>100.76</v>
      </c>
      <c r="R554" s="9" t="n">
        <v>55.96</v>
      </c>
      <c r="S554" s="9" t="n">
        <v>44.8</v>
      </c>
      <c r="T554" s="10" t="n">
        <v>0.4446</v>
      </c>
    </row>
    <row r="555">
      <c r="A555" s="7" t="inlineStr">
        <is>
          <t>ORD-2024-1145</t>
        </is>
      </c>
      <c r="B555" s="7" t="inlineStr">
        <is>
          <t>2024-08-15</t>
        </is>
      </c>
      <c r="C555" s="7" t="inlineStr">
        <is>
          <t>FUR-DSK-004</t>
        </is>
      </c>
      <c r="D555" s="7" t="inlineStr">
        <is>
          <t>Metro Compact Corner Workstation</t>
        </is>
      </c>
      <c r="E555" s="7" t="inlineStr">
        <is>
          <t>Furniture</t>
        </is>
      </c>
      <c r="F555" s="7" t="inlineStr">
        <is>
          <t>Desks &amp; Workstations</t>
        </is>
      </c>
      <c r="G555" s="7" t="inlineStr">
        <is>
          <t>Central</t>
        </is>
      </c>
      <c r="H555" s="7" t="inlineStr">
        <is>
          <t>Ohio</t>
        </is>
      </c>
      <c r="I555" s="7" t="inlineStr">
        <is>
          <t>Online</t>
        </is>
      </c>
      <c r="J555" s="7" t="inlineStr">
        <is>
          <t>Consumer</t>
        </is>
      </c>
      <c r="K555" s="8" t="n">
        <v>2</v>
      </c>
      <c r="L555" s="9" t="n">
        <v>329.99</v>
      </c>
      <c r="M555" s="10" t="n">
        <v>0.15</v>
      </c>
      <c r="N555" s="9" t="n">
        <v>250.79</v>
      </c>
      <c r="O555" s="9" t="n">
        <v>659.98</v>
      </c>
      <c r="P555" s="9" t="n">
        <v>99</v>
      </c>
      <c r="Q555" s="9" t="n">
        <v>560.98</v>
      </c>
      <c r="R555" s="9" t="n">
        <v>501.58</v>
      </c>
      <c r="S555" s="9" t="n">
        <v>59.4</v>
      </c>
      <c r="T555" s="10" t="n">
        <v>0.1059</v>
      </c>
    </row>
    <row r="556">
      <c r="A556" s="7" t="inlineStr">
        <is>
          <t>ORD-2024-1145</t>
        </is>
      </c>
      <c r="B556" s="7" t="inlineStr">
        <is>
          <t>2024-08-15</t>
        </is>
      </c>
      <c r="C556" s="7" t="inlineStr">
        <is>
          <t>OFF-ART-006</t>
        </is>
      </c>
      <c r="D556" s="7" t="inlineStr">
        <is>
          <t>Professional Presentation Dry Erase Board</t>
        </is>
      </c>
      <c r="E556" s="7" t="inlineStr">
        <is>
          <t>Office Supplies</t>
        </is>
      </c>
      <c r="F556" s="7" t="inlineStr">
        <is>
          <t>Presentation &amp; Art</t>
        </is>
      </c>
      <c r="G556" s="7" t="inlineStr">
        <is>
          <t>Central</t>
        </is>
      </c>
      <c r="H556" s="7" t="inlineStr">
        <is>
          <t>Ohio</t>
        </is>
      </c>
      <c r="I556" s="7" t="inlineStr">
        <is>
          <t>Online</t>
        </is>
      </c>
      <c r="J556" s="7" t="inlineStr">
        <is>
          <t>Consumer</t>
        </is>
      </c>
      <c r="K556" s="8" t="n">
        <v>1</v>
      </c>
      <c r="L556" s="9" t="n">
        <v>89.98999999999999</v>
      </c>
      <c r="M556" s="10" t="n">
        <v>0</v>
      </c>
      <c r="N556" s="9" t="n">
        <v>53.99</v>
      </c>
      <c r="O556" s="9" t="n">
        <v>89.98999999999999</v>
      </c>
      <c r="P556" s="9" t="n">
        <v>0</v>
      </c>
      <c r="Q556" s="9" t="n">
        <v>89.98999999999999</v>
      </c>
      <c r="R556" s="9" t="n">
        <v>53.99</v>
      </c>
      <c r="S556" s="9" t="n">
        <v>36</v>
      </c>
      <c r="T556" s="10" t="n">
        <v>0.4</v>
      </c>
    </row>
    <row r="557">
      <c r="A557" s="7" t="inlineStr">
        <is>
          <t>ORD-2024-1409</t>
        </is>
      </c>
      <c r="B557" s="7" t="inlineStr">
        <is>
          <t>2024-08-15</t>
        </is>
      </c>
      <c r="C557" s="7" t="inlineStr">
        <is>
          <t>OFF-STR-001</t>
        </is>
      </c>
      <c r="D557" s="7" t="inlineStr">
        <is>
          <t>SteelLock 3-Drawer File Cabinet</t>
        </is>
      </c>
      <c r="E557" s="7" t="inlineStr">
        <is>
          <t>Office Supplies</t>
        </is>
      </c>
      <c r="F557" s="7" t="inlineStr">
        <is>
          <t>Storage &amp; Organizers</t>
        </is>
      </c>
      <c r="G557" s="7" t="inlineStr">
        <is>
          <t>West</t>
        </is>
      </c>
      <c r="H557" s="7" t="inlineStr">
        <is>
          <t>Oregon</t>
        </is>
      </c>
      <c r="I557" s="7" t="inlineStr">
        <is>
          <t>Online</t>
        </is>
      </c>
      <c r="J557" s="7" t="inlineStr">
        <is>
          <t>Corporate</t>
        </is>
      </c>
      <c r="K557" s="8" t="n">
        <v>2</v>
      </c>
      <c r="L557" s="9" t="n">
        <v>169.99</v>
      </c>
      <c r="M557" s="10" t="n">
        <v>0.1</v>
      </c>
      <c r="N557" s="9" t="n">
        <v>115.59</v>
      </c>
      <c r="O557" s="9" t="n">
        <v>339.98</v>
      </c>
      <c r="P557" s="9" t="n">
        <v>34</v>
      </c>
      <c r="Q557" s="9" t="n">
        <v>305.98</v>
      </c>
      <c r="R557" s="9" t="n">
        <v>231.18</v>
      </c>
      <c r="S557" s="9" t="n">
        <v>74.8</v>
      </c>
      <c r="T557" s="10" t="n">
        <v>0.2445</v>
      </c>
    </row>
    <row r="558">
      <c r="A558" s="7" t="inlineStr">
        <is>
          <t>ORD-2024-1514</t>
        </is>
      </c>
      <c r="B558" s="7" t="inlineStr">
        <is>
          <t>2024-08-15</t>
        </is>
      </c>
      <c r="C558" s="7" t="inlineStr">
        <is>
          <t>TEC-ACC-006</t>
        </is>
      </c>
      <c r="D558" s="7" t="inlineStr">
        <is>
          <t>MultiPort Thunderbolt 4 Dock</t>
        </is>
      </c>
      <c r="E558" s="7" t="inlineStr">
        <is>
          <t>Technology</t>
        </is>
      </c>
      <c r="F558" s="7" t="inlineStr">
        <is>
          <t>Audio &amp; Accessories</t>
        </is>
      </c>
      <c r="G558" s="7" t="inlineStr">
        <is>
          <t>Central</t>
        </is>
      </c>
      <c r="H558" s="7" t="inlineStr">
        <is>
          <t>Ohio</t>
        </is>
      </c>
      <c r="I558" s="7" t="inlineStr">
        <is>
          <t>Retail Partner</t>
        </is>
      </c>
      <c r="J558" s="7" t="inlineStr">
        <is>
          <t>Home Office</t>
        </is>
      </c>
      <c r="K558" s="8" t="n">
        <v>4</v>
      </c>
      <c r="L558" s="9" t="n">
        <v>149.99</v>
      </c>
      <c r="M558" s="10" t="n">
        <v>0</v>
      </c>
      <c r="N558" s="9" t="n">
        <v>98.98999999999999</v>
      </c>
      <c r="O558" s="9" t="n">
        <v>599.96</v>
      </c>
      <c r="P558" s="9" t="n">
        <v>0</v>
      </c>
      <c r="Q558" s="9" t="n">
        <v>599.96</v>
      </c>
      <c r="R558" s="9" t="n">
        <v>395.96</v>
      </c>
      <c r="S558" s="9" t="n">
        <v>204</v>
      </c>
      <c r="T558" s="10" t="n">
        <v>0.34</v>
      </c>
    </row>
    <row r="559">
      <c r="A559" s="7" t="inlineStr">
        <is>
          <t>ORD-2024-1654</t>
        </is>
      </c>
      <c r="B559" s="7" t="inlineStr">
        <is>
          <t>2024-08-15</t>
        </is>
      </c>
      <c r="C559" s="7" t="inlineStr">
        <is>
          <t>FUR-BOK-005</t>
        </is>
      </c>
      <c r="D559" s="7" t="inlineStr">
        <is>
          <t>Modular 5-Tier Steel Bookcase</t>
        </is>
      </c>
      <c r="E559" s="7" t="inlineStr">
        <is>
          <t>Furniture</t>
        </is>
      </c>
      <c r="F559" s="7" t="inlineStr">
        <is>
          <t>Bookcases</t>
        </is>
      </c>
      <c r="G559" s="7" t="inlineStr">
        <is>
          <t>West</t>
        </is>
      </c>
      <c r="H559" s="7" t="inlineStr">
        <is>
          <t>Colorado</t>
        </is>
      </c>
      <c r="I559" s="7" t="inlineStr">
        <is>
          <t>Direct Sales</t>
        </is>
      </c>
      <c r="J559" s="7" t="inlineStr">
        <is>
          <t>Consumer</t>
        </is>
      </c>
      <c r="K559" s="8" t="n">
        <v>1</v>
      </c>
      <c r="L559" s="9" t="n">
        <v>189.99</v>
      </c>
      <c r="M559" s="10" t="n">
        <v>0</v>
      </c>
      <c r="N559" s="9" t="n">
        <v>142.49</v>
      </c>
      <c r="O559" s="9" t="n">
        <v>189.99</v>
      </c>
      <c r="P559" s="9" t="n">
        <v>0</v>
      </c>
      <c r="Q559" s="9" t="n">
        <v>189.99</v>
      </c>
      <c r="R559" s="9" t="n">
        <v>142.49</v>
      </c>
      <c r="S559" s="9" t="n">
        <v>47.5</v>
      </c>
      <c r="T559" s="10" t="n">
        <v>0.25</v>
      </c>
    </row>
    <row r="560">
      <c r="A560" s="7" t="inlineStr">
        <is>
          <t>ORD-2024-1144</t>
        </is>
      </c>
      <c r="B560" s="7" t="inlineStr">
        <is>
          <t>2024-08-16</t>
        </is>
      </c>
      <c r="C560" s="7" t="inlineStr">
        <is>
          <t>OFF-BIN-005</t>
        </is>
      </c>
      <c r="D560" s="7" t="inlineStr">
        <is>
          <t>Heavy-Duty D-Ring Presentation Binder (6-Pk)</t>
        </is>
      </c>
      <c r="E560" s="7" t="inlineStr">
        <is>
          <t>Office Supplies</t>
        </is>
      </c>
      <c r="F560" s="7" t="inlineStr">
        <is>
          <t>Binders &amp; Fasteners</t>
        </is>
      </c>
      <c r="G560" s="7" t="inlineStr">
        <is>
          <t>South</t>
        </is>
      </c>
      <c r="H560" s="7" t="inlineStr">
        <is>
          <t>Florida</t>
        </is>
      </c>
      <c r="I560" s="7" t="inlineStr">
        <is>
          <t>Retail Partner</t>
        </is>
      </c>
      <c r="J560" s="7" t="inlineStr">
        <is>
          <t>Consumer</t>
        </is>
      </c>
      <c r="K560" s="8" t="n">
        <v>2</v>
      </c>
      <c r="L560" s="9" t="n">
        <v>27.99</v>
      </c>
      <c r="M560" s="10" t="n">
        <v>0</v>
      </c>
      <c r="N560" s="9" t="n">
        <v>13.99</v>
      </c>
      <c r="O560" s="9" t="n">
        <v>55.98</v>
      </c>
      <c r="P560" s="9" t="n">
        <v>0</v>
      </c>
      <c r="Q560" s="9" t="n">
        <v>55.98</v>
      </c>
      <c r="R560" s="9" t="n">
        <v>27.98</v>
      </c>
      <c r="S560" s="9" t="n">
        <v>28</v>
      </c>
      <c r="T560" s="10" t="n">
        <v>0.5002</v>
      </c>
    </row>
    <row r="561">
      <c r="A561" s="7" t="inlineStr">
        <is>
          <t>ORD-2024-1725</t>
        </is>
      </c>
      <c r="B561" s="7" t="inlineStr">
        <is>
          <t>2024-08-17</t>
        </is>
      </c>
      <c r="C561" s="7" t="inlineStr">
        <is>
          <t>OFF-DSK-007</t>
        </is>
      </c>
      <c r="D561" s="7" t="inlineStr">
        <is>
          <t>Gel Ergo Mouse Pad &amp; Wrist Rest Combo</t>
        </is>
      </c>
      <c r="E561" s="7" t="inlineStr">
        <is>
          <t>Office Supplies</t>
        </is>
      </c>
      <c r="F561" s="7" t="inlineStr">
        <is>
          <t>Desk Supplies</t>
        </is>
      </c>
      <c r="G561" s="7" t="inlineStr">
        <is>
          <t>West</t>
        </is>
      </c>
      <c r="H561" s="7" t="inlineStr">
        <is>
          <t>Oregon</t>
        </is>
      </c>
      <c r="I561" s="7" t="inlineStr">
        <is>
          <t>Online</t>
        </is>
      </c>
      <c r="J561" s="7" t="inlineStr">
        <is>
          <t>Consumer</t>
        </is>
      </c>
      <c r="K561" s="8" t="n">
        <v>4</v>
      </c>
      <c r="L561" s="9" t="n">
        <v>21.99</v>
      </c>
      <c r="M561" s="10" t="n">
        <v>0.1</v>
      </c>
      <c r="N561" s="9" t="n">
        <v>10.56</v>
      </c>
      <c r="O561" s="9" t="n">
        <v>87.95999999999999</v>
      </c>
      <c r="P561" s="9" t="n">
        <v>8.800000000000001</v>
      </c>
      <c r="Q561" s="9" t="n">
        <v>79.16</v>
      </c>
      <c r="R561" s="9" t="n">
        <v>42.24</v>
      </c>
      <c r="S561" s="9" t="n">
        <v>36.92</v>
      </c>
      <c r="T561" s="10" t="n">
        <v>0.4664</v>
      </c>
    </row>
    <row r="562">
      <c r="A562" s="7" t="inlineStr">
        <is>
          <t>ORD-2024-1725</t>
        </is>
      </c>
      <c r="B562" s="7" t="inlineStr">
        <is>
          <t>2024-08-17</t>
        </is>
      </c>
      <c r="C562" s="7" t="inlineStr">
        <is>
          <t>FUR-LGT-006</t>
        </is>
      </c>
      <c r="D562" s="7" t="inlineStr">
        <is>
          <t>Architect LED Desk Task Lamp</t>
        </is>
      </c>
      <c r="E562" s="7" t="inlineStr">
        <is>
          <t>Furniture</t>
        </is>
      </c>
      <c r="F562" s="7" t="inlineStr">
        <is>
          <t>Lighting</t>
        </is>
      </c>
      <c r="G562" s="7" t="inlineStr">
        <is>
          <t>West</t>
        </is>
      </c>
      <c r="H562" s="7" t="inlineStr">
        <is>
          <t>Oregon</t>
        </is>
      </c>
      <c r="I562" s="7" t="inlineStr">
        <is>
          <t>Online</t>
        </is>
      </c>
      <c r="J562" s="7" t="inlineStr">
        <is>
          <t>Consumer</t>
        </is>
      </c>
      <c r="K562" s="8" t="n">
        <v>4</v>
      </c>
      <c r="L562" s="9" t="n">
        <v>69.98999999999999</v>
      </c>
      <c r="M562" s="10" t="n">
        <v>0</v>
      </c>
      <c r="N562" s="9" t="n">
        <v>43.39</v>
      </c>
      <c r="O562" s="9" t="n">
        <v>279.96</v>
      </c>
      <c r="P562" s="9" t="n">
        <v>0</v>
      </c>
      <c r="Q562" s="9" t="n">
        <v>279.96</v>
      </c>
      <c r="R562" s="9" t="n">
        <v>173.56</v>
      </c>
      <c r="S562" s="9" t="n">
        <v>106.4</v>
      </c>
      <c r="T562" s="10" t="n">
        <v>0.3801</v>
      </c>
    </row>
    <row r="563">
      <c r="A563" s="7" t="inlineStr">
        <is>
          <t>ORD-2024-1527</t>
        </is>
      </c>
      <c r="B563" s="7" t="inlineStr">
        <is>
          <t>2024-08-18</t>
        </is>
      </c>
      <c r="C563" s="7" t="inlineStr">
        <is>
          <t>OFF-DSK-008</t>
        </is>
      </c>
      <c r="D563" s="7" t="inlineStr">
        <is>
          <t>Steel Desktop Mesh Organizer Caddy</t>
        </is>
      </c>
      <c r="E563" s="7" t="inlineStr">
        <is>
          <t>Office Supplies</t>
        </is>
      </c>
      <c r="F563" s="7" t="inlineStr">
        <is>
          <t>Desk Supplies</t>
        </is>
      </c>
      <c r="G563" s="7" t="inlineStr">
        <is>
          <t>West</t>
        </is>
      </c>
      <c r="H563" s="7" t="inlineStr">
        <is>
          <t>Colorado</t>
        </is>
      </c>
      <c r="I563" s="7" t="inlineStr">
        <is>
          <t>Online</t>
        </is>
      </c>
      <c r="J563" s="7" t="inlineStr">
        <is>
          <t>Corporate</t>
        </is>
      </c>
      <c r="K563" s="8" t="n">
        <v>8</v>
      </c>
      <c r="L563" s="9" t="n">
        <v>18.99</v>
      </c>
      <c r="M563" s="10" t="n">
        <v>0.1</v>
      </c>
      <c r="N563" s="9" t="n">
        <v>8.550000000000001</v>
      </c>
      <c r="O563" s="9" t="n">
        <v>151.92</v>
      </c>
      <c r="P563" s="9" t="n">
        <v>15.19</v>
      </c>
      <c r="Q563" s="9" t="n">
        <v>136.73</v>
      </c>
      <c r="R563" s="9" t="n">
        <v>68.40000000000001</v>
      </c>
      <c r="S563" s="9" t="n">
        <v>68.33</v>
      </c>
      <c r="T563" s="10" t="n">
        <v>0.4997</v>
      </c>
    </row>
    <row r="564">
      <c r="A564" s="7" t="inlineStr">
        <is>
          <t>ORD-2024-1326</t>
        </is>
      </c>
      <c r="B564" s="7" t="inlineStr">
        <is>
          <t>2024-08-19</t>
        </is>
      </c>
      <c r="C564" s="7" t="inlineStr">
        <is>
          <t>OFF-BIN-005</t>
        </is>
      </c>
      <c r="D564" s="7" t="inlineStr">
        <is>
          <t>Heavy-Duty D-Ring Presentation Binder (6-Pk)</t>
        </is>
      </c>
      <c r="E564" s="7" t="inlineStr">
        <is>
          <t>Office Supplies</t>
        </is>
      </c>
      <c r="F564" s="7" t="inlineStr">
        <is>
          <t>Binders &amp; Fasteners</t>
        </is>
      </c>
      <c r="G564" s="7" t="inlineStr">
        <is>
          <t>South</t>
        </is>
      </c>
      <c r="H564" s="7" t="inlineStr">
        <is>
          <t>Virginia</t>
        </is>
      </c>
      <c r="I564" s="7" t="inlineStr">
        <is>
          <t>Direct Sales</t>
        </is>
      </c>
      <c r="J564" s="7" t="inlineStr">
        <is>
          <t>Corporate</t>
        </is>
      </c>
      <c r="K564" s="8" t="n">
        <v>5</v>
      </c>
      <c r="L564" s="9" t="n">
        <v>27.99</v>
      </c>
      <c r="M564" s="10" t="n">
        <v>0.05</v>
      </c>
      <c r="N564" s="9" t="n">
        <v>13.99</v>
      </c>
      <c r="O564" s="9" t="n">
        <v>139.95</v>
      </c>
      <c r="P564" s="9" t="n">
        <v>7</v>
      </c>
      <c r="Q564" s="9" t="n">
        <v>132.95</v>
      </c>
      <c r="R564" s="9" t="n">
        <v>69.95</v>
      </c>
      <c r="S564" s="9" t="n">
        <v>63</v>
      </c>
      <c r="T564" s="10" t="n">
        <v>0.4739</v>
      </c>
    </row>
    <row r="565">
      <c r="A565" s="7" t="inlineStr">
        <is>
          <t>ORD-2024-1357</t>
        </is>
      </c>
      <c r="B565" s="7" t="inlineStr">
        <is>
          <t>2024-08-19</t>
        </is>
      </c>
      <c r="C565" s="7" t="inlineStr">
        <is>
          <t>FUR-DSK-004</t>
        </is>
      </c>
      <c r="D565" s="7" t="inlineStr">
        <is>
          <t>Metro Compact Corner Workstation</t>
        </is>
      </c>
      <c r="E565" s="7" t="inlineStr">
        <is>
          <t>Furniture</t>
        </is>
      </c>
      <c r="F565" s="7" t="inlineStr">
        <is>
          <t>Desks &amp; Workstations</t>
        </is>
      </c>
      <c r="G565" s="7" t="inlineStr">
        <is>
          <t>Central</t>
        </is>
      </c>
      <c r="H565" s="7" t="inlineStr">
        <is>
          <t>Texas</t>
        </is>
      </c>
      <c r="I565" s="7" t="inlineStr">
        <is>
          <t>Wholesale</t>
        </is>
      </c>
      <c r="J565" s="7" t="inlineStr">
        <is>
          <t>Corporate</t>
        </is>
      </c>
      <c r="K565" s="8" t="n">
        <v>9</v>
      </c>
      <c r="L565" s="9" t="n">
        <v>329.99</v>
      </c>
      <c r="M565" s="10" t="n">
        <v>0.15</v>
      </c>
      <c r="N565" s="9" t="n">
        <v>250.79</v>
      </c>
      <c r="O565" s="9" t="n">
        <v>2969.91</v>
      </c>
      <c r="P565" s="9" t="n">
        <v>445.49</v>
      </c>
      <c r="Q565" s="9" t="n">
        <v>2524.42</v>
      </c>
      <c r="R565" s="9" t="n">
        <v>2257.11</v>
      </c>
      <c r="S565" s="9" t="n">
        <v>267.31</v>
      </c>
      <c r="T565" s="10" t="n">
        <v>0.1059</v>
      </c>
    </row>
    <row r="566">
      <c r="A566" s="7" t="inlineStr">
        <is>
          <t>ORD-2024-1428</t>
        </is>
      </c>
      <c r="B566" s="7" t="inlineStr">
        <is>
          <t>2024-08-20</t>
        </is>
      </c>
      <c r="C566" s="7" t="inlineStr">
        <is>
          <t>TEC-TAB-003</t>
        </is>
      </c>
      <c r="D566" s="7" t="inlineStr">
        <is>
          <t>VisionPad Pro 11"</t>
        </is>
      </c>
      <c r="E566" s="7" t="inlineStr">
        <is>
          <t>Technology</t>
        </is>
      </c>
      <c r="F566" s="7" t="inlineStr">
        <is>
          <t>Phones &amp; Tablets</t>
        </is>
      </c>
      <c r="G566" s="7" t="inlineStr">
        <is>
          <t>Central</t>
        </is>
      </c>
      <c r="H566" s="7" t="inlineStr">
        <is>
          <t>Illinois</t>
        </is>
      </c>
      <c r="I566" s="7" t="inlineStr">
        <is>
          <t>Direct Sales</t>
        </is>
      </c>
      <c r="J566" s="7" t="inlineStr">
        <is>
          <t>Consumer</t>
        </is>
      </c>
      <c r="K566" s="8" t="n">
        <v>3</v>
      </c>
      <c r="L566" s="9" t="n">
        <v>649.99</v>
      </c>
      <c r="M566" s="10" t="n">
        <v>0.1</v>
      </c>
      <c r="N566" s="9" t="n">
        <v>487.49</v>
      </c>
      <c r="O566" s="9" t="n">
        <v>1949.97</v>
      </c>
      <c r="P566" s="9" t="n">
        <v>195</v>
      </c>
      <c r="Q566" s="9" t="n">
        <v>1754.97</v>
      </c>
      <c r="R566" s="9" t="n">
        <v>1462.47</v>
      </c>
      <c r="S566" s="9" t="n">
        <v>292.5</v>
      </c>
      <c r="T566" s="10" t="n">
        <v>0.1667</v>
      </c>
    </row>
    <row r="567">
      <c r="A567" s="7" t="inlineStr">
        <is>
          <t>ORD-2024-1428</t>
        </is>
      </c>
      <c r="B567" s="7" t="inlineStr">
        <is>
          <t>2024-08-20</t>
        </is>
      </c>
      <c r="C567" s="7" t="inlineStr">
        <is>
          <t>FUR-BOK-005</t>
        </is>
      </c>
      <c r="D567" s="7" t="inlineStr">
        <is>
          <t>Modular 5-Tier Steel Bookcase</t>
        </is>
      </c>
      <c r="E567" s="7" t="inlineStr">
        <is>
          <t>Furniture</t>
        </is>
      </c>
      <c r="F567" s="7" t="inlineStr">
        <is>
          <t>Bookcases</t>
        </is>
      </c>
      <c r="G567" s="7" t="inlineStr">
        <is>
          <t>Central</t>
        </is>
      </c>
      <c r="H567" s="7" t="inlineStr">
        <is>
          <t>Illinois</t>
        </is>
      </c>
      <c r="I567" s="7" t="inlineStr">
        <is>
          <t>Direct Sales</t>
        </is>
      </c>
      <c r="J567" s="7" t="inlineStr">
        <is>
          <t>Consumer</t>
        </is>
      </c>
      <c r="K567" s="8" t="n">
        <v>4</v>
      </c>
      <c r="L567" s="9" t="n">
        <v>189.99</v>
      </c>
      <c r="M567" s="10" t="n">
        <v>0.05</v>
      </c>
      <c r="N567" s="9" t="n">
        <v>142.49</v>
      </c>
      <c r="O567" s="9" t="n">
        <v>759.96</v>
      </c>
      <c r="P567" s="9" t="n">
        <v>38</v>
      </c>
      <c r="Q567" s="9" t="n">
        <v>721.96</v>
      </c>
      <c r="R567" s="9" t="n">
        <v>569.96</v>
      </c>
      <c r="S567" s="9" t="n">
        <v>152</v>
      </c>
      <c r="T567" s="10" t="n">
        <v>0.2105</v>
      </c>
    </row>
    <row r="568">
      <c r="A568" s="7" t="inlineStr">
        <is>
          <t>ORD-2024-1428</t>
        </is>
      </c>
      <c r="B568" s="7" t="inlineStr">
        <is>
          <t>2024-08-20</t>
        </is>
      </c>
      <c r="C568" s="7" t="inlineStr">
        <is>
          <t>OFF-PAP-003</t>
        </is>
      </c>
      <c r="D568" s="7" t="inlineStr">
        <is>
          <t>UltraWhite Premium Multipurpose Paper (Case)</t>
        </is>
      </c>
      <c r="E568" s="7" t="inlineStr">
        <is>
          <t>Office Supplies</t>
        </is>
      </c>
      <c r="F568" s="7" t="inlineStr">
        <is>
          <t>Paper Products</t>
        </is>
      </c>
      <c r="G568" s="7" t="inlineStr">
        <is>
          <t>Central</t>
        </is>
      </c>
      <c r="H568" s="7" t="inlineStr">
        <is>
          <t>Illinois</t>
        </is>
      </c>
      <c r="I568" s="7" t="inlineStr">
        <is>
          <t>Direct Sales</t>
        </is>
      </c>
      <c r="J568" s="7" t="inlineStr">
        <is>
          <t>Consumer</t>
        </is>
      </c>
      <c r="K568" s="8" t="n">
        <v>4</v>
      </c>
      <c r="L568" s="9" t="n">
        <v>54.99</v>
      </c>
      <c r="M568" s="10" t="n">
        <v>0.15</v>
      </c>
      <c r="N568" s="9" t="n">
        <v>31.89</v>
      </c>
      <c r="O568" s="9" t="n">
        <v>219.96</v>
      </c>
      <c r="P568" s="9" t="n">
        <v>32.99</v>
      </c>
      <c r="Q568" s="9" t="n">
        <v>186.97</v>
      </c>
      <c r="R568" s="9" t="n">
        <v>127.56</v>
      </c>
      <c r="S568" s="9" t="n">
        <v>59.41</v>
      </c>
      <c r="T568" s="10" t="n">
        <v>0.3178</v>
      </c>
    </row>
    <row r="569">
      <c r="A569" s="7" t="inlineStr">
        <is>
          <t>ORD-2024-1077</t>
        </is>
      </c>
      <c r="B569" s="7" t="inlineStr">
        <is>
          <t>2024-08-21</t>
        </is>
      </c>
      <c r="C569" s="7" t="inlineStr">
        <is>
          <t>OFF-PAP-003</t>
        </is>
      </c>
      <c r="D569" s="7" t="inlineStr">
        <is>
          <t>UltraWhite Premium Multipurpose Paper (Case)</t>
        </is>
      </c>
      <c r="E569" s="7" t="inlineStr">
        <is>
          <t>Office Supplies</t>
        </is>
      </c>
      <c r="F569" s="7" t="inlineStr">
        <is>
          <t>Paper Products</t>
        </is>
      </c>
      <c r="G569" s="7" t="inlineStr">
        <is>
          <t>East</t>
        </is>
      </c>
      <c r="H569" s="7" t="inlineStr">
        <is>
          <t>Massachusetts</t>
        </is>
      </c>
      <c r="I569" s="7" t="inlineStr">
        <is>
          <t>Direct Sales</t>
        </is>
      </c>
      <c r="J569" s="7" t="inlineStr">
        <is>
          <t>Consumer</t>
        </is>
      </c>
      <c r="K569" s="8" t="n">
        <v>4</v>
      </c>
      <c r="L569" s="9" t="n">
        <v>54.99</v>
      </c>
      <c r="M569" s="10" t="n">
        <v>0.15</v>
      </c>
      <c r="N569" s="9" t="n">
        <v>31.89</v>
      </c>
      <c r="O569" s="9" t="n">
        <v>219.96</v>
      </c>
      <c r="P569" s="9" t="n">
        <v>32.99</v>
      </c>
      <c r="Q569" s="9" t="n">
        <v>186.97</v>
      </c>
      <c r="R569" s="9" t="n">
        <v>127.56</v>
      </c>
      <c r="S569" s="9" t="n">
        <v>59.41</v>
      </c>
      <c r="T569" s="10" t="n">
        <v>0.3178</v>
      </c>
    </row>
    <row r="570">
      <c r="A570" s="7" t="inlineStr">
        <is>
          <t>ORD-2024-1077</t>
        </is>
      </c>
      <c r="B570" s="7" t="inlineStr">
        <is>
          <t>2024-08-21</t>
        </is>
      </c>
      <c r="C570" s="7" t="inlineStr">
        <is>
          <t>FUR-CHA-001</t>
        </is>
      </c>
      <c r="D570" s="7" t="inlineStr">
        <is>
          <t>ErgoFlex Executive Mesh Chair</t>
        </is>
      </c>
      <c r="E570" s="7" t="inlineStr">
        <is>
          <t>Furniture</t>
        </is>
      </c>
      <c r="F570" s="7" t="inlineStr">
        <is>
          <t>Chairs</t>
        </is>
      </c>
      <c r="G570" s="7" t="inlineStr">
        <is>
          <t>East</t>
        </is>
      </c>
      <c r="H570" s="7" t="inlineStr">
        <is>
          <t>Massachusetts</t>
        </is>
      </c>
      <c r="I570" s="7" t="inlineStr">
        <is>
          <t>Direct Sales</t>
        </is>
      </c>
      <c r="J570" s="7" t="inlineStr">
        <is>
          <t>Consumer</t>
        </is>
      </c>
      <c r="K570" s="8" t="n">
        <v>1</v>
      </c>
      <c r="L570" s="9" t="n">
        <v>389.99</v>
      </c>
      <c r="M570" s="10" t="n">
        <v>0.15</v>
      </c>
      <c r="N570" s="9" t="n">
        <v>331.49</v>
      </c>
      <c r="O570" s="9" t="n">
        <v>389.99</v>
      </c>
      <c r="P570" s="9" t="n">
        <v>58.5</v>
      </c>
      <c r="Q570" s="9" t="n">
        <v>331.49</v>
      </c>
      <c r="R570" s="9" t="n">
        <v>331.49</v>
      </c>
      <c r="S570" s="9" t="n">
        <v>0</v>
      </c>
      <c r="T570" s="10" t="n">
        <v>0</v>
      </c>
    </row>
    <row r="571">
      <c r="A571" s="7" t="inlineStr">
        <is>
          <t>ORD-2024-1077</t>
        </is>
      </c>
      <c r="B571" s="7" t="inlineStr">
        <is>
          <t>2024-08-21</t>
        </is>
      </c>
      <c r="C571" s="7" t="inlineStr">
        <is>
          <t>TEC-TAB-003</t>
        </is>
      </c>
      <c r="D571" s="7" t="inlineStr">
        <is>
          <t>VisionPad Pro 11"</t>
        </is>
      </c>
      <c r="E571" s="7" t="inlineStr">
        <is>
          <t>Technology</t>
        </is>
      </c>
      <c r="F571" s="7" t="inlineStr">
        <is>
          <t>Phones &amp; Tablets</t>
        </is>
      </c>
      <c r="G571" s="7" t="inlineStr">
        <is>
          <t>East</t>
        </is>
      </c>
      <c r="H571" s="7" t="inlineStr">
        <is>
          <t>Massachusetts</t>
        </is>
      </c>
      <c r="I571" s="7" t="inlineStr">
        <is>
          <t>Direct Sales</t>
        </is>
      </c>
      <c r="J571" s="7" t="inlineStr">
        <is>
          <t>Consumer</t>
        </is>
      </c>
      <c r="K571" s="8" t="n">
        <v>4</v>
      </c>
      <c r="L571" s="9" t="n">
        <v>649.99</v>
      </c>
      <c r="M571" s="10" t="n">
        <v>0</v>
      </c>
      <c r="N571" s="9" t="n">
        <v>487.49</v>
      </c>
      <c r="O571" s="9" t="n">
        <v>2599.96</v>
      </c>
      <c r="P571" s="9" t="n">
        <v>0</v>
      </c>
      <c r="Q571" s="9" t="n">
        <v>2599.96</v>
      </c>
      <c r="R571" s="9" t="n">
        <v>1949.96</v>
      </c>
      <c r="S571" s="9" t="n">
        <v>650</v>
      </c>
      <c r="T571" s="10" t="n">
        <v>0.25</v>
      </c>
    </row>
    <row r="572">
      <c r="A572" s="7" t="inlineStr">
        <is>
          <t>ORD-2024-1345</t>
        </is>
      </c>
      <c r="B572" s="7" t="inlineStr">
        <is>
          <t>2024-08-21</t>
        </is>
      </c>
      <c r="C572" s="7" t="inlineStr">
        <is>
          <t>OFF-ART-006</t>
        </is>
      </c>
      <c r="D572" s="7" t="inlineStr">
        <is>
          <t>Professional Presentation Dry Erase Board</t>
        </is>
      </c>
      <c r="E572" s="7" t="inlineStr">
        <is>
          <t>Office Supplies</t>
        </is>
      </c>
      <c r="F572" s="7" t="inlineStr">
        <is>
          <t>Presentation &amp; Art</t>
        </is>
      </c>
      <c r="G572" s="7" t="inlineStr">
        <is>
          <t>East</t>
        </is>
      </c>
      <c r="H572" s="7" t="inlineStr">
        <is>
          <t>New York</t>
        </is>
      </c>
      <c r="I572" s="7" t="inlineStr">
        <is>
          <t>Wholesale</t>
        </is>
      </c>
      <c r="J572" s="7" t="inlineStr">
        <is>
          <t>Consumer</t>
        </is>
      </c>
      <c r="K572" s="8" t="n">
        <v>14</v>
      </c>
      <c r="L572" s="9" t="n">
        <v>89.98999999999999</v>
      </c>
      <c r="M572" s="10" t="n">
        <v>0.1</v>
      </c>
      <c r="N572" s="9" t="n">
        <v>53.99</v>
      </c>
      <c r="O572" s="9" t="n">
        <v>1259.86</v>
      </c>
      <c r="P572" s="9" t="n">
        <v>125.99</v>
      </c>
      <c r="Q572" s="9" t="n">
        <v>1133.87</v>
      </c>
      <c r="R572" s="9" t="n">
        <v>755.86</v>
      </c>
      <c r="S572" s="9" t="n">
        <v>378.01</v>
      </c>
      <c r="T572" s="10" t="n">
        <v>0.3334</v>
      </c>
    </row>
    <row r="573">
      <c r="A573" s="7" t="inlineStr">
        <is>
          <t>ORD-2024-1704</t>
        </is>
      </c>
      <c r="B573" s="7" t="inlineStr">
        <is>
          <t>2024-08-21</t>
        </is>
      </c>
      <c r="C573" s="7" t="inlineStr">
        <is>
          <t>TEC-TAB-004</t>
        </is>
      </c>
      <c r="D573" s="7" t="inlineStr">
        <is>
          <t>VisionPad Lite 8.5"</t>
        </is>
      </c>
      <c r="E573" s="7" t="inlineStr">
        <is>
          <t>Technology</t>
        </is>
      </c>
      <c r="F573" s="7" t="inlineStr">
        <is>
          <t>Phones &amp; Tablets</t>
        </is>
      </c>
      <c r="G573" s="7" t="inlineStr">
        <is>
          <t>East</t>
        </is>
      </c>
      <c r="H573" s="7" t="inlineStr">
        <is>
          <t>New York</t>
        </is>
      </c>
      <c r="I573" s="7" t="inlineStr">
        <is>
          <t>Online</t>
        </is>
      </c>
      <c r="J573" s="7" t="inlineStr">
        <is>
          <t>Corporate</t>
        </is>
      </c>
      <c r="K573" s="8" t="n">
        <v>2</v>
      </c>
      <c r="L573" s="9" t="n">
        <v>299.99</v>
      </c>
      <c r="M573" s="10" t="n">
        <v>0</v>
      </c>
      <c r="N573" s="9" t="n">
        <v>245.99</v>
      </c>
      <c r="O573" s="9" t="n">
        <v>599.98</v>
      </c>
      <c r="P573" s="9" t="n">
        <v>0</v>
      </c>
      <c r="Q573" s="9" t="n">
        <v>599.98</v>
      </c>
      <c r="R573" s="9" t="n">
        <v>491.98</v>
      </c>
      <c r="S573" s="9" t="n">
        <v>108</v>
      </c>
      <c r="T573" s="10" t="n">
        <v>0.18</v>
      </c>
    </row>
    <row r="574">
      <c r="A574" s="7" t="inlineStr">
        <is>
          <t>ORD-2024-1235</t>
        </is>
      </c>
      <c r="B574" s="7" t="inlineStr">
        <is>
          <t>2024-08-22</t>
        </is>
      </c>
      <c r="C574" s="7" t="inlineStr">
        <is>
          <t>TEC-ACC-008</t>
        </is>
      </c>
      <c r="D574" s="7" t="inlineStr">
        <is>
          <t>Precision Laser Bluetooth Mouse</t>
        </is>
      </c>
      <c r="E574" s="7" t="inlineStr">
        <is>
          <t>Technology</t>
        </is>
      </c>
      <c r="F574" s="7" t="inlineStr">
        <is>
          <t>Audio &amp; Accessories</t>
        </is>
      </c>
      <c r="G574" s="7" t="inlineStr">
        <is>
          <t>East</t>
        </is>
      </c>
      <c r="H574" s="7" t="inlineStr">
        <is>
          <t>Massachusetts</t>
        </is>
      </c>
      <c r="I574" s="7" t="inlineStr">
        <is>
          <t>Retail Partner</t>
        </is>
      </c>
      <c r="J574" s="7" t="inlineStr">
        <is>
          <t>Corporate</t>
        </is>
      </c>
      <c r="K574" s="8" t="n">
        <v>7</v>
      </c>
      <c r="L574" s="9" t="n">
        <v>49.99</v>
      </c>
      <c r="M574" s="10" t="n">
        <v>0</v>
      </c>
      <c r="N574" s="9" t="n">
        <v>27.49</v>
      </c>
      <c r="O574" s="9" t="n">
        <v>349.93</v>
      </c>
      <c r="P574" s="9" t="n">
        <v>0</v>
      </c>
      <c r="Q574" s="9" t="n">
        <v>349.93</v>
      </c>
      <c r="R574" s="9" t="n">
        <v>192.43</v>
      </c>
      <c r="S574" s="9" t="n">
        <v>157.5</v>
      </c>
      <c r="T574" s="10" t="n">
        <v>0.4501</v>
      </c>
    </row>
    <row r="575">
      <c r="A575" s="7" t="inlineStr">
        <is>
          <t>ORD-2024-1407</t>
        </is>
      </c>
      <c r="B575" s="7" t="inlineStr">
        <is>
          <t>2024-08-22</t>
        </is>
      </c>
      <c r="C575" s="7" t="inlineStr">
        <is>
          <t>FUR-CHA-002</t>
        </is>
      </c>
      <c r="D575" s="7" t="inlineStr">
        <is>
          <t>AeroTask Operator Task Chair</t>
        </is>
      </c>
      <c r="E575" s="7" t="inlineStr">
        <is>
          <t>Furniture</t>
        </is>
      </c>
      <c r="F575" s="7" t="inlineStr">
        <is>
          <t>Chairs</t>
        </is>
      </c>
      <c r="G575" s="7" t="inlineStr">
        <is>
          <t>West</t>
        </is>
      </c>
      <c r="H575" s="7" t="inlineStr">
        <is>
          <t>Oregon</t>
        </is>
      </c>
      <c r="I575" s="7" t="inlineStr">
        <is>
          <t>Retail Partner</t>
        </is>
      </c>
      <c r="J575" s="7" t="inlineStr">
        <is>
          <t>Consumer</t>
        </is>
      </c>
      <c r="K575" s="8" t="n">
        <v>4</v>
      </c>
      <c r="L575" s="9" t="n">
        <v>219.99</v>
      </c>
      <c r="M575" s="10" t="n">
        <v>0</v>
      </c>
      <c r="N575" s="9" t="n">
        <v>171.59</v>
      </c>
      <c r="O575" s="9" t="n">
        <v>879.96</v>
      </c>
      <c r="P575" s="9" t="n">
        <v>0</v>
      </c>
      <c r="Q575" s="9" t="n">
        <v>879.96</v>
      </c>
      <c r="R575" s="9" t="n">
        <v>686.36</v>
      </c>
      <c r="S575" s="9" t="n">
        <v>193.6</v>
      </c>
      <c r="T575" s="10" t="n">
        <v>0.22</v>
      </c>
    </row>
    <row r="576">
      <c r="A576" s="7" t="inlineStr">
        <is>
          <t>ORD-2024-1688</t>
        </is>
      </c>
      <c r="B576" s="7" t="inlineStr">
        <is>
          <t>2024-08-23</t>
        </is>
      </c>
      <c r="C576" s="7" t="inlineStr">
        <is>
          <t>TEC-ACC-008</t>
        </is>
      </c>
      <c r="D576" s="7" t="inlineStr">
        <is>
          <t>Precision Laser Bluetooth Mouse</t>
        </is>
      </c>
      <c r="E576" s="7" t="inlineStr">
        <is>
          <t>Technology</t>
        </is>
      </c>
      <c r="F576" s="7" t="inlineStr">
        <is>
          <t>Audio &amp; Accessories</t>
        </is>
      </c>
      <c r="G576" s="7" t="inlineStr">
        <is>
          <t>East</t>
        </is>
      </c>
      <c r="H576" s="7" t="inlineStr">
        <is>
          <t>Massachusetts</t>
        </is>
      </c>
      <c r="I576" s="7" t="inlineStr">
        <is>
          <t>Retail Partner</t>
        </is>
      </c>
      <c r="J576" s="7" t="inlineStr">
        <is>
          <t>Consumer</t>
        </is>
      </c>
      <c r="K576" s="8" t="n">
        <v>4</v>
      </c>
      <c r="L576" s="9" t="n">
        <v>49.99</v>
      </c>
      <c r="M576" s="10" t="n">
        <v>0</v>
      </c>
      <c r="N576" s="9" t="n">
        <v>27.49</v>
      </c>
      <c r="O576" s="9" t="n">
        <v>199.96</v>
      </c>
      <c r="P576" s="9" t="n">
        <v>0</v>
      </c>
      <c r="Q576" s="9" t="n">
        <v>199.96</v>
      </c>
      <c r="R576" s="9" t="n">
        <v>109.96</v>
      </c>
      <c r="S576" s="9" t="n">
        <v>90</v>
      </c>
      <c r="T576" s="10" t="n">
        <v>0.4501</v>
      </c>
    </row>
    <row r="577">
      <c r="A577" s="7" t="inlineStr">
        <is>
          <t>ORD-2024-1130</t>
        </is>
      </c>
      <c r="B577" s="7" t="inlineStr">
        <is>
          <t>2024-08-24</t>
        </is>
      </c>
      <c r="C577" s="7" t="inlineStr">
        <is>
          <t>OFF-STR-002</t>
        </is>
      </c>
      <c r="D577" s="7" t="inlineStr">
        <is>
          <t>Stackable Heavy-Duty Storage Bins (4-Pk)</t>
        </is>
      </c>
      <c r="E577" s="7" t="inlineStr">
        <is>
          <t>Office Supplies</t>
        </is>
      </c>
      <c r="F577" s="7" t="inlineStr">
        <is>
          <t>Storage &amp; Organizers</t>
        </is>
      </c>
      <c r="G577" s="7" t="inlineStr">
        <is>
          <t>East</t>
        </is>
      </c>
      <c r="H577" s="7" t="inlineStr">
        <is>
          <t>Pennsylvania</t>
        </is>
      </c>
      <c r="I577" s="7" t="inlineStr">
        <is>
          <t>Wholesale</t>
        </is>
      </c>
      <c r="J577" s="7" t="inlineStr">
        <is>
          <t>Consumer</t>
        </is>
      </c>
      <c r="K577" s="8" t="n">
        <v>8</v>
      </c>
      <c r="L577" s="9" t="n">
        <v>44.99</v>
      </c>
      <c r="M577" s="10" t="n">
        <v>0.15</v>
      </c>
      <c r="N577" s="9" t="n">
        <v>24.74</v>
      </c>
      <c r="O577" s="9" t="n">
        <v>359.92</v>
      </c>
      <c r="P577" s="9" t="n">
        <v>53.99</v>
      </c>
      <c r="Q577" s="9" t="n">
        <v>305.93</v>
      </c>
      <c r="R577" s="9" t="n">
        <v>197.92</v>
      </c>
      <c r="S577" s="9" t="n">
        <v>108.01</v>
      </c>
      <c r="T577" s="10" t="n">
        <v>0.3531</v>
      </c>
    </row>
    <row r="578">
      <c r="A578" s="7" t="inlineStr">
        <is>
          <t>ORD-2024-1429</t>
        </is>
      </c>
      <c r="B578" s="7" t="inlineStr">
        <is>
          <t>2024-08-25</t>
        </is>
      </c>
      <c r="C578" s="7" t="inlineStr">
        <is>
          <t>OFF-BIN-005</t>
        </is>
      </c>
      <c r="D578" s="7" t="inlineStr">
        <is>
          <t>Heavy-Duty D-Ring Presentation Binder (6-Pk)</t>
        </is>
      </c>
      <c r="E578" s="7" t="inlineStr">
        <is>
          <t>Office Supplies</t>
        </is>
      </c>
      <c r="F578" s="7" t="inlineStr">
        <is>
          <t>Binders &amp; Fasteners</t>
        </is>
      </c>
      <c r="G578" s="7" t="inlineStr">
        <is>
          <t>South</t>
        </is>
      </c>
      <c r="H578" s="7" t="inlineStr">
        <is>
          <t>Virginia</t>
        </is>
      </c>
      <c r="I578" s="7" t="inlineStr">
        <is>
          <t>Online</t>
        </is>
      </c>
      <c r="J578" s="7" t="inlineStr">
        <is>
          <t>Consumer</t>
        </is>
      </c>
      <c r="K578" s="8" t="n">
        <v>1</v>
      </c>
      <c r="L578" s="9" t="n">
        <v>27.99</v>
      </c>
      <c r="M578" s="10" t="n">
        <v>0</v>
      </c>
      <c r="N578" s="9" t="n">
        <v>13.99</v>
      </c>
      <c r="O578" s="9" t="n">
        <v>27.99</v>
      </c>
      <c r="P578" s="9" t="n">
        <v>0</v>
      </c>
      <c r="Q578" s="9" t="n">
        <v>27.99</v>
      </c>
      <c r="R578" s="9" t="n">
        <v>13.99</v>
      </c>
      <c r="S578" s="9" t="n">
        <v>14</v>
      </c>
      <c r="T578" s="10" t="n">
        <v>0.5002</v>
      </c>
    </row>
    <row r="579">
      <c r="A579" s="7" t="inlineStr">
        <is>
          <t>ORD-2024-1329</t>
        </is>
      </c>
      <c r="B579" s="7" t="inlineStr">
        <is>
          <t>2024-08-27</t>
        </is>
      </c>
      <c r="C579" s="7" t="inlineStr">
        <is>
          <t>TEC-TAB-003</t>
        </is>
      </c>
      <c r="D579" s="7" t="inlineStr">
        <is>
          <t>VisionPad Pro 11"</t>
        </is>
      </c>
      <c r="E579" s="7" t="inlineStr">
        <is>
          <t>Technology</t>
        </is>
      </c>
      <c r="F579" s="7" t="inlineStr">
        <is>
          <t>Phones &amp; Tablets</t>
        </is>
      </c>
      <c r="G579" s="7" t="inlineStr">
        <is>
          <t>West</t>
        </is>
      </c>
      <c r="H579" s="7" t="inlineStr">
        <is>
          <t>Oregon</t>
        </is>
      </c>
      <c r="I579" s="7" t="inlineStr">
        <is>
          <t>Retail Partner</t>
        </is>
      </c>
      <c r="J579" s="7" t="inlineStr">
        <is>
          <t>Corporate</t>
        </is>
      </c>
      <c r="K579" s="8" t="n">
        <v>5</v>
      </c>
      <c r="L579" s="9" t="n">
        <v>649.99</v>
      </c>
      <c r="M579" s="10" t="n">
        <v>0.1</v>
      </c>
      <c r="N579" s="9" t="n">
        <v>487.49</v>
      </c>
      <c r="O579" s="9" t="n">
        <v>3249.95</v>
      </c>
      <c r="P579" s="9" t="n">
        <v>325</v>
      </c>
      <c r="Q579" s="9" t="n">
        <v>2924.95</v>
      </c>
      <c r="R579" s="9" t="n">
        <v>2437.45</v>
      </c>
      <c r="S579" s="9" t="n">
        <v>487.5</v>
      </c>
      <c r="T579" s="10" t="n">
        <v>0.1667</v>
      </c>
    </row>
    <row r="580">
      <c r="A580" s="7" t="inlineStr">
        <is>
          <t>ORD-2024-1462</t>
        </is>
      </c>
      <c r="B580" s="7" t="inlineStr">
        <is>
          <t>2024-08-27</t>
        </is>
      </c>
      <c r="C580" s="7" t="inlineStr">
        <is>
          <t>TEC-ACC-005</t>
        </is>
      </c>
      <c r="D580" s="7" t="inlineStr">
        <is>
          <t>UltraWireless Noise-Canceling Headset</t>
        </is>
      </c>
      <c r="E580" s="7" t="inlineStr">
        <is>
          <t>Technology</t>
        </is>
      </c>
      <c r="F580" s="7" t="inlineStr">
        <is>
          <t>Audio &amp; Accessories</t>
        </is>
      </c>
      <c r="G580" s="7" t="inlineStr">
        <is>
          <t>East</t>
        </is>
      </c>
      <c r="H580" s="7" t="inlineStr">
        <is>
          <t>New York</t>
        </is>
      </c>
      <c r="I580" s="7" t="inlineStr">
        <is>
          <t>Wholesale</t>
        </is>
      </c>
      <c r="J580" s="7" t="inlineStr">
        <is>
          <t>Home Office</t>
        </is>
      </c>
      <c r="K580" s="8" t="n">
        <v>6</v>
      </c>
      <c r="L580" s="9" t="n">
        <v>179.99</v>
      </c>
      <c r="M580" s="10" t="n">
        <v>0.15</v>
      </c>
      <c r="N580" s="9" t="n">
        <v>111.59</v>
      </c>
      <c r="O580" s="9" t="n">
        <v>1079.94</v>
      </c>
      <c r="P580" s="9" t="n">
        <v>161.99</v>
      </c>
      <c r="Q580" s="9" t="n">
        <v>917.95</v>
      </c>
      <c r="R580" s="9" t="n">
        <v>669.54</v>
      </c>
      <c r="S580" s="9" t="n">
        <v>248.41</v>
      </c>
      <c r="T580" s="10" t="n">
        <v>0.2706</v>
      </c>
    </row>
    <row r="581">
      <c r="A581" s="7" t="inlineStr">
        <is>
          <t>ORD-2024-1575</t>
        </is>
      </c>
      <c r="B581" s="7" t="inlineStr">
        <is>
          <t>2024-08-27</t>
        </is>
      </c>
      <c r="C581" s="7" t="inlineStr">
        <is>
          <t>OFF-DSK-008</t>
        </is>
      </c>
      <c r="D581" s="7" t="inlineStr">
        <is>
          <t>Steel Desktop Mesh Organizer Caddy</t>
        </is>
      </c>
      <c r="E581" s="7" t="inlineStr">
        <is>
          <t>Office Supplies</t>
        </is>
      </c>
      <c r="F581" s="7" t="inlineStr">
        <is>
          <t>Desk Supplies</t>
        </is>
      </c>
      <c r="G581" s="7" t="inlineStr">
        <is>
          <t>East</t>
        </is>
      </c>
      <c r="H581" s="7" t="inlineStr">
        <is>
          <t>New York</t>
        </is>
      </c>
      <c r="I581" s="7" t="inlineStr">
        <is>
          <t>Online</t>
        </is>
      </c>
      <c r="J581" s="7" t="inlineStr">
        <is>
          <t>Consumer</t>
        </is>
      </c>
      <c r="K581" s="8" t="n">
        <v>1</v>
      </c>
      <c r="L581" s="9" t="n">
        <v>18.99</v>
      </c>
      <c r="M581" s="10" t="n">
        <v>0</v>
      </c>
      <c r="N581" s="9" t="n">
        <v>8.550000000000001</v>
      </c>
      <c r="O581" s="9" t="n">
        <v>18.99</v>
      </c>
      <c r="P581" s="9" t="n">
        <v>0</v>
      </c>
      <c r="Q581" s="9" t="n">
        <v>18.99</v>
      </c>
      <c r="R581" s="9" t="n">
        <v>8.550000000000001</v>
      </c>
      <c r="S581" s="9" t="n">
        <v>10.44</v>
      </c>
      <c r="T581" s="10" t="n">
        <v>0.5498</v>
      </c>
    </row>
    <row r="582">
      <c r="A582" s="7" t="inlineStr">
        <is>
          <t>ORD-2024-1054</t>
        </is>
      </c>
      <c r="B582" s="7" t="inlineStr">
        <is>
          <t>2024-08-28</t>
        </is>
      </c>
      <c r="C582" s="7" t="inlineStr">
        <is>
          <t>TEC-ACC-008</t>
        </is>
      </c>
      <c r="D582" s="7" t="inlineStr">
        <is>
          <t>Precision Laser Bluetooth Mouse</t>
        </is>
      </c>
      <c r="E582" s="7" t="inlineStr">
        <is>
          <t>Technology</t>
        </is>
      </c>
      <c r="F582" s="7" t="inlineStr">
        <is>
          <t>Audio &amp; Accessories</t>
        </is>
      </c>
      <c r="G582" s="7" t="inlineStr">
        <is>
          <t>West</t>
        </is>
      </c>
      <c r="H582" s="7" t="inlineStr">
        <is>
          <t>California</t>
        </is>
      </c>
      <c r="I582" s="7" t="inlineStr">
        <is>
          <t>Direct Sales</t>
        </is>
      </c>
      <c r="J582" s="7" t="inlineStr">
        <is>
          <t>Consumer</t>
        </is>
      </c>
      <c r="K582" s="8" t="n">
        <v>2</v>
      </c>
      <c r="L582" s="9" t="n">
        <v>49.99</v>
      </c>
      <c r="M582" s="10" t="n">
        <v>0.05</v>
      </c>
      <c r="N582" s="9" t="n">
        <v>27.49</v>
      </c>
      <c r="O582" s="9" t="n">
        <v>99.98</v>
      </c>
      <c r="P582" s="9" t="n">
        <v>5</v>
      </c>
      <c r="Q582" s="9" t="n">
        <v>94.98</v>
      </c>
      <c r="R582" s="9" t="n">
        <v>54.98</v>
      </c>
      <c r="S582" s="9" t="n">
        <v>40</v>
      </c>
      <c r="T582" s="10" t="n">
        <v>0.4211</v>
      </c>
    </row>
    <row r="583">
      <c r="A583" s="7" t="inlineStr">
        <is>
          <t>ORD-2024-1037</t>
        </is>
      </c>
      <c r="B583" s="7" t="inlineStr">
        <is>
          <t>2024-08-29</t>
        </is>
      </c>
      <c r="C583" s="7" t="inlineStr">
        <is>
          <t>TEC-ACC-008</t>
        </is>
      </c>
      <c r="D583" s="7" t="inlineStr">
        <is>
          <t>Precision Laser Bluetooth Mouse</t>
        </is>
      </c>
      <c r="E583" s="7" t="inlineStr">
        <is>
          <t>Technology</t>
        </is>
      </c>
      <c r="F583" s="7" t="inlineStr">
        <is>
          <t>Audio &amp; Accessories</t>
        </is>
      </c>
      <c r="G583" s="7" t="inlineStr">
        <is>
          <t>West</t>
        </is>
      </c>
      <c r="H583" s="7" t="inlineStr">
        <is>
          <t>Oregon</t>
        </is>
      </c>
      <c r="I583" s="7" t="inlineStr">
        <is>
          <t>Retail Partner</t>
        </is>
      </c>
      <c r="J583" s="7" t="inlineStr">
        <is>
          <t>Consumer</t>
        </is>
      </c>
      <c r="K583" s="8" t="n">
        <v>1</v>
      </c>
      <c r="L583" s="9" t="n">
        <v>49.99</v>
      </c>
      <c r="M583" s="10" t="n">
        <v>0.05</v>
      </c>
      <c r="N583" s="9" t="n">
        <v>27.49</v>
      </c>
      <c r="O583" s="9" t="n">
        <v>49.99</v>
      </c>
      <c r="P583" s="9" t="n">
        <v>2.5</v>
      </c>
      <c r="Q583" s="9" t="n">
        <v>47.49</v>
      </c>
      <c r="R583" s="9" t="n">
        <v>27.49</v>
      </c>
      <c r="S583" s="9" t="n">
        <v>20</v>
      </c>
      <c r="T583" s="10" t="n">
        <v>0.4211</v>
      </c>
    </row>
    <row r="584">
      <c r="A584" s="7" t="inlineStr">
        <is>
          <t>ORD-2024-1254</t>
        </is>
      </c>
      <c r="B584" s="7" t="inlineStr">
        <is>
          <t>2024-08-29</t>
        </is>
      </c>
      <c r="C584" s="7" t="inlineStr">
        <is>
          <t>FUR-CHA-002</t>
        </is>
      </c>
      <c r="D584" s="7" t="inlineStr">
        <is>
          <t>AeroTask Operator Task Chair</t>
        </is>
      </c>
      <c r="E584" s="7" t="inlineStr">
        <is>
          <t>Furniture</t>
        </is>
      </c>
      <c r="F584" s="7" t="inlineStr">
        <is>
          <t>Chairs</t>
        </is>
      </c>
      <c r="G584" s="7" t="inlineStr">
        <is>
          <t>West</t>
        </is>
      </c>
      <c r="H584" s="7" t="inlineStr">
        <is>
          <t>California</t>
        </is>
      </c>
      <c r="I584" s="7" t="inlineStr">
        <is>
          <t>Direct Sales</t>
        </is>
      </c>
      <c r="J584" s="7" t="inlineStr">
        <is>
          <t>Home Office</t>
        </is>
      </c>
      <c r="K584" s="8" t="n">
        <v>4</v>
      </c>
      <c r="L584" s="9" t="n">
        <v>219.99</v>
      </c>
      <c r="M584" s="10" t="n">
        <v>0.05</v>
      </c>
      <c r="N584" s="9" t="n">
        <v>171.59</v>
      </c>
      <c r="O584" s="9" t="n">
        <v>879.96</v>
      </c>
      <c r="P584" s="9" t="n">
        <v>44</v>
      </c>
      <c r="Q584" s="9" t="n">
        <v>835.96</v>
      </c>
      <c r="R584" s="9" t="n">
        <v>686.36</v>
      </c>
      <c r="S584" s="9" t="n">
        <v>149.6</v>
      </c>
      <c r="T584" s="10" t="n">
        <v>0.179</v>
      </c>
    </row>
    <row r="585">
      <c r="A585" s="7" t="inlineStr">
        <is>
          <t>ORD-2024-1686</t>
        </is>
      </c>
      <c r="B585" s="7" t="inlineStr">
        <is>
          <t>2024-08-30</t>
        </is>
      </c>
      <c r="C585" s="7" t="inlineStr">
        <is>
          <t>FUR-CHA-001</t>
        </is>
      </c>
      <c r="D585" s="7" t="inlineStr">
        <is>
          <t>ErgoFlex Executive Mesh Chair</t>
        </is>
      </c>
      <c r="E585" s="7" t="inlineStr">
        <is>
          <t>Furniture</t>
        </is>
      </c>
      <c r="F585" s="7" t="inlineStr">
        <is>
          <t>Chairs</t>
        </is>
      </c>
      <c r="G585" s="7" t="inlineStr">
        <is>
          <t>West</t>
        </is>
      </c>
      <c r="H585" s="7" t="inlineStr">
        <is>
          <t>California</t>
        </is>
      </c>
      <c r="I585" s="7" t="inlineStr">
        <is>
          <t>Direct Sales</t>
        </is>
      </c>
      <c r="J585" s="7" t="inlineStr">
        <is>
          <t>Consumer</t>
        </is>
      </c>
      <c r="K585" s="8" t="n">
        <v>2</v>
      </c>
      <c r="L585" s="9" t="n">
        <v>389.99</v>
      </c>
      <c r="M585" s="10" t="n">
        <v>0.05</v>
      </c>
      <c r="N585" s="9" t="n">
        <v>331.49</v>
      </c>
      <c r="O585" s="9" t="n">
        <v>779.98</v>
      </c>
      <c r="P585" s="9" t="n">
        <v>39</v>
      </c>
      <c r="Q585" s="9" t="n">
        <v>740.98</v>
      </c>
      <c r="R585" s="9" t="n">
        <v>662.98</v>
      </c>
      <c r="S585" s="9" t="n">
        <v>78</v>
      </c>
      <c r="T585" s="10" t="n">
        <v>0.1053</v>
      </c>
    </row>
    <row r="586">
      <c r="A586" s="7" t="inlineStr">
        <is>
          <t>ORD-2024-1153</t>
        </is>
      </c>
      <c r="B586" s="7" t="inlineStr">
        <is>
          <t>2024-09-01</t>
        </is>
      </c>
      <c r="C586" s="7" t="inlineStr">
        <is>
          <t>OFF-STR-002</t>
        </is>
      </c>
      <c r="D586" s="7" t="inlineStr">
        <is>
          <t>Stackable Heavy-Duty Storage Bins (4-Pk)</t>
        </is>
      </c>
      <c r="E586" s="7" t="inlineStr">
        <is>
          <t>Office Supplies</t>
        </is>
      </c>
      <c r="F586" s="7" t="inlineStr">
        <is>
          <t>Storage &amp; Organizers</t>
        </is>
      </c>
      <c r="G586" s="7" t="inlineStr">
        <is>
          <t>West</t>
        </is>
      </c>
      <c r="H586" s="7" t="inlineStr">
        <is>
          <t>Colorado</t>
        </is>
      </c>
      <c r="I586" s="7" t="inlineStr">
        <is>
          <t>Direct Sales</t>
        </is>
      </c>
      <c r="J586" s="7" t="inlineStr">
        <is>
          <t>Corporate</t>
        </is>
      </c>
      <c r="K586" s="8" t="n">
        <v>2</v>
      </c>
      <c r="L586" s="9" t="n">
        <v>44.99</v>
      </c>
      <c r="M586" s="10" t="n">
        <v>0.05</v>
      </c>
      <c r="N586" s="9" t="n">
        <v>24.74</v>
      </c>
      <c r="O586" s="9" t="n">
        <v>89.98</v>
      </c>
      <c r="P586" s="9" t="n">
        <v>4.5</v>
      </c>
      <c r="Q586" s="9" t="n">
        <v>85.48</v>
      </c>
      <c r="R586" s="9" t="n">
        <v>49.48</v>
      </c>
      <c r="S586" s="9" t="n">
        <v>36</v>
      </c>
      <c r="T586" s="10" t="n">
        <v>0.4212</v>
      </c>
    </row>
    <row r="587">
      <c r="A587" s="7" t="inlineStr">
        <is>
          <t>ORD-2024-1286</t>
        </is>
      </c>
      <c r="B587" s="7" t="inlineStr">
        <is>
          <t>2024-09-01</t>
        </is>
      </c>
      <c r="C587" s="7" t="inlineStr">
        <is>
          <t>FUR-CHA-001</t>
        </is>
      </c>
      <c r="D587" s="7" t="inlineStr">
        <is>
          <t>ErgoFlex Executive Mesh Chair</t>
        </is>
      </c>
      <c r="E587" s="7" t="inlineStr">
        <is>
          <t>Furniture</t>
        </is>
      </c>
      <c r="F587" s="7" t="inlineStr">
        <is>
          <t>Chairs</t>
        </is>
      </c>
      <c r="G587" s="7" t="inlineStr">
        <is>
          <t>Central</t>
        </is>
      </c>
      <c r="H587" s="7" t="inlineStr">
        <is>
          <t>Texas</t>
        </is>
      </c>
      <c r="I587" s="7" t="inlineStr">
        <is>
          <t>Direct Sales</t>
        </is>
      </c>
      <c r="J587" s="7" t="inlineStr">
        <is>
          <t>Corporate</t>
        </is>
      </c>
      <c r="K587" s="8" t="n">
        <v>2</v>
      </c>
      <c r="L587" s="9" t="n">
        <v>389.99</v>
      </c>
      <c r="M587" s="10" t="n">
        <v>0.2</v>
      </c>
      <c r="N587" s="9" t="n">
        <v>331.49</v>
      </c>
      <c r="O587" s="9" t="n">
        <v>779.98</v>
      </c>
      <c r="P587" s="9" t="n">
        <v>156</v>
      </c>
      <c r="Q587" s="9" t="n">
        <v>623.98</v>
      </c>
      <c r="R587" s="9" t="n">
        <v>662.98</v>
      </c>
      <c r="S587" s="9" t="n">
        <v>-39</v>
      </c>
      <c r="T587" s="10" t="n">
        <v>-0.0625</v>
      </c>
    </row>
    <row r="588">
      <c r="A588" s="7" t="inlineStr">
        <is>
          <t>ORD-2024-1596</t>
        </is>
      </c>
      <c r="B588" s="7" t="inlineStr">
        <is>
          <t>2024-09-01</t>
        </is>
      </c>
      <c r="C588" s="7" t="inlineStr">
        <is>
          <t>OFF-BIN-005</t>
        </is>
      </c>
      <c r="D588" s="7" t="inlineStr">
        <is>
          <t>Heavy-Duty D-Ring Presentation Binder (6-Pk)</t>
        </is>
      </c>
      <c r="E588" s="7" t="inlineStr">
        <is>
          <t>Office Supplies</t>
        </is>
      </c>
      <c r="F588" s="7" t="inlineStr">
        <is>
          <t>Binders &amp; Fasteners</t>
        </is>
      </c>
      <c r="G588" s="7" t="inlineStr">
        <is>
          <t>Central</t>
        </is>
      </c>
      <c r="H588" s="7" t="inlineStr">
        <is>
          <t>Texas</t>
        </is>
      </c>
      <c r="I588" s="7" t="inlineStr">
        <is>
          <t>Online</t>
        </is>
      </c>
      <c r="J588" s="7" t="inlineStr">
        <is>
          <t>Corporate</t>
        </is>
      </c>
      <c r="K588" s="8" t="n">
        <v>3</v>
      </c>
      <c r="L588" s="9" t="n">
        <v>27.99</v>
      </c>
      <c r="M588" s="10" t="n">
        <v>0</v>
      </c>
      <c r="N588" s="9" t="n">
        <v>13.99</v>
      </c>
      <c r="O588" s="9" t="n">
        <v>83.97</v>
      </c>
      <c r="P588" s="9" t="n">
        <v>0</v>
      </c>
      <c r="Q588" s="9" t="n">
        <v>83.97</v>
      </c>
      <c r="R588" s="9" t="n">
        <v>41.97</v>
      </c>
      <c r="S588" s="9" t="n">
        <v>42</v>
      </c>
      <c r="T588" s="10" t="n">
        <v>0.5002</v>
      </c>
    </row>
    <row r="589">
      <c r="A589" s="7" t="inlineStr">
        <is>
          <t>ORD-2024-1623</t>
        </is>
      </c>
      <c r="B589" s="7" t="inlineStr">
        <is>
          <t>2024-09-01</t>
        </is>
      </c>
      <c r="C589" s="7" t="inlineStr">
        <is>
          <t>FUR-DSK-003</t>
        </is>
      </c>
      <c r="D589" s="7" t="inlineStr">
        <is>
          <t>ApexMotor Dual-Motor Standing Desk</t>
        </is>
      </c>
      <c r="E589" s="7" t="inlineStr">
        <is>
          <t>Furniture</t>
        </is>
      </c>
      <c r="F589" s="7" t="inlineStr">
        <is>
          <t>Desks &amp; Workstations</t>
        </is>
      </c>
      <c r="G589" s="7" t="inlineStr">
        <is>
          <t>East</t>
        </is>
      </c>
      <c r="H589" s="7" t="inlineStr">
        <is>
          <t>New Jersey</t>
        </is>
      </c>
      <c r="I589" s="7" t="inlineStr">
        <is>
          <t>Online</t>
        </is>
      </c>
      <c r="J589" s="7" t="inlineStr">
        <is>
          <t>Corporate</t>
        </is>
      </c>
      <c r="K589" s="8" t="n">
        <v>8</v>
      </c>
      <c r="L589" s="9" t="n">
        <v>549.99</v>
      </c>
      <c r="M589" s="10" t="n">
        <v>0.05</v>
      </c>
      <c r="N589" s="9" t="n">
        <v>439.99</v>
      </c>
      <c r="O589" s="9" t="n">
        <v>4399.92</v>
      </c>
      <c r="P589" s="9" t="n">
        <v>220</v>
      </c>
      <c r="Q589" s="9" t="n">
        <v>4179.92</v>
      </c>
      <c r="R589" s="9" t="n">
        <v>3519.92</v>
      </c>
      <c r="S589" s="9" t="n">
        <v>660</v>
      </c>
      <c r="T589" s="10" t="n">
        <v>0.1579</v>
      </c>
    </row>
    <row r="590">
      <c r="A590" s="7" t="inlineStr">
        <is>
          <t>ORD-2024-1465</t>
        </is>
      </c>
      <c r="B590" s="7" t="inlineStr">
        <is>
          <t>2024-09-02</t>
        </is>
      </c>
      <c r="C590" s="7" t="inlineStr">
        <is>
          <t>TEC-ACC-005</t>
        </is>
      </c>
      <c r="D590" s="7" t="inlineStr">
        <is>
          <t>UltraWireless Noise-Canceling Headset</t>
        </is>
      </c>
      <c r="E590" s="7" t="inlineStr">
        <is>
          <t>Technology</t>
        </is>
      </c>
      <c r="F590" s="7" t="inlineStr">
        <is>
          <t>Audio &amp; Accessories</t>
        </is>
      </c>
      <c r="G590" s="7" t="inlineStr">
        <is>
          <t>South</t>
        </is>
      </c>
      <c r="H590" s="7" t="inlineStr">
        <is>
          <t>Florida</t>
        </is>
      </c>
      <c r="I590" s="7" t="inlineStr">
        <is>
          <t>Direct Sales</t>
        </is>
      </c>
      <c r="J590" s="7" t="inlineStr">
        <is>
          <t>Consumer</t>
        </is>
      </c>
      <c r="K590" s="8" t="n">
        <v>3</v>
      </c>
      <c r="L590" s="9" t="n">
        <v>179.99</v>
      </c>
      <c r="M590" s="10" t="n">
        <v>0.05</v>
      </c>
      <c r="N590" s="9" t="n">
        <v>111.59</v>
      </c>
      <c r="O590" s="9" t="n">
        <v>539.97</v>
      </c>
      <c r="P590" s="9" t="n">
        <v>27</v>
      </c>
      <c r="Q590" s="9" t="n">
        <v>512.97</v>
      </c>
      <c r="R590" s="9" t="n">
        <v>334.77</v>
      </c>
      <c r="S590" s="9" t="n">
        <v>178.2</v>
      </c>
      <c r="T590" s="10" t="n">
        <v>0.3474</v>
      </c>
    </row>
    <row r="591">
      <c r="A591" s="7" t="inlineStr">
        <is>
          <t>ORD-2024-1530</t>
        </is>
      </c>
      <c r="B591" s="7" t="inlineStr">
        <is>
          <t>2024-09-02</t>
        </is>
      </c>
      <c r="C591" s="7" t="inlineStr">
        <is>
          <t>FUR-DSK-004</t>
        </is>
      </c>
      <c r="D591" s="7" t="inlineStr">
        <is>
          <t>Metro Compact Corner Workstation</t>
        </is>
      </c>
      <c r="E591" s="7" t="inlineStr">
        <is>
          <t>Furniture</t>
        </is>
      </c>
      <c r="F591" s="7" t="inlineStr">
        <is>
          <t>Desks &amp; Workstations</t>
        </is>
      </c>
      <c r="G591" s="7" t="inlineStr">
        <is>
          <t>West</t>
        </is>
      </c>
      <c r="H591" s="7" t="inlineStr">
        <is>
          <t>Colorado</t>
        </is>
      </c>
      <c r="I591" s="7" t="inlineStr">
        <is>
          <t>Direct Sales</t>
        </is>
      </c>
      <c r="J591" s="7" t="inlineStr">
        <is>
          <t>Home Office</t>
        </is>
      </c>
      <c r="K591" s="8" t="n">
        <v>1</v>
      </c>
      <c r="L591" s="9" t="n">
        <v>329.99</v>
      </c>
      <c r="M591" s="10" t="n">
        <v>0.05</v>
      </c>
      <c r="N591" s="9" t="n">
        <v>250.79</v>
      </c>
      <c r="O591" s="9" t="n">
        <v>329.99</v>
      </c>
      <c r="P591" s="9" t="n">
        <v>16.5</v>
      </c>
      <c r="Q591" s="9" t="n">
        <v>313.49</v>
      </c>
      <c r="R591" s="9" t="n">
        <v>250.79</v>
      </c>
      <c r="S591" s="9" t="n">
        <v>62.7</v>
      </c>
      <c r="T591" s="10" t="n">
        <v>0.2</v>
      </c>
    </row>
    <row r="592">
      <c r="A592" s="7" t="inlineStr">
        <is>
          <t>ORD-2024-1530</t>
        </is>
      </c>
      <c r="B592" s="7" t="inlineStr">
        <is>
          <t>2024-09-02</t>
        </is>
      </c>
      <c r="C592" s="7" t="inlineStr">
        <is>
          <t>OFF-PAP-004</t>
        </is>
      </c>
      <c r="D592" s="7" t="inlineStr">
        <is>
          <t>EcoRecycled Copy Paper (5 Reams)</t>
        </is>
      </c>
      <c r="E592" s="7" t="inlineStr">
        <is>
          <t>Office Supplies</t>
        </is>
      </c>
      <c r="F592" s="7" t="inlineStr">
        <is>
          <t>Paper Products</t>
        </is>
      </c>
      <c r="G592" s="7" t="inlineStr">
        <is>
          <t>West</t>
        </is>
      </c>
      <c r="H592" s="7" t="inlineStr">
        <is>
          <t>Colorado</t>
        </is>
      </c>
      <c r="I592" s="7" t="inlineStr">
        <is>
          <t>Direct Sales</t>
        </is>
      </c>
      <c r="J592" s="7" t="inlineStr">
        <is>
          <t>Home Office</t>
        </is>
      </c>
      <c r="K592" s="8" t="n">
        <v>1</v>
      </c>
      <c r="L592" s="9" t="n">
        <v>32.99</v>
      </c>
      <c r="M592" s="10" t="n">
        <v>0</v>
      </c>
      <c r="N592" s="9" t="n">
        <v>19.79</v>
      </c>
      <c r="O592" s="9" t="n">
        <v>32.99</v>
      </c>
      <c r="P592" s="9" t="n">
        <v>0</v>
      </c>
      <c r="Q592" s="9" t="n">
        <v>32.99</v>
      </c>
      <c r="R592" s="9" t="n">
        <v>19.79</v>
      </c>
      <c r="S592" s="9" t="n">
        <v>13.2</v>
      </c>
      <c r="T592" s="10" t="n">
        <v>0.4001</v>
      </c>
    </row>
    <row r="593">
      <c r="A593" s="7" t="inlineStr">
        <is>
          <t>ORD-2024-1551</t>
        </is>
      </c>
      <c r="B593" s="7" t="inlineStr">
        <is>
          <t>2024-09-02</t>
        </is>
      </c>
      <c r="C593" s="7" t="inlineStr">
        <is>
          <t>OFF-DSK-007</t>
        </is>
      </c>
      <c r="D593" s="7" t="inlineStr">
        <is>
          <t>Gel Ergo Mouse Pad &amp; Wrist Rest Combo</t>
        </is>
      </c>
      <c r="E593" s="7" t="inlineStr">
        <is>
          <t>Office Supplies</t>
        </is>
      </c>
      <c r="F593" s="7" t="inlineStr">
        <is>
          <t>Desk Supplies</t>
        </is>
      </c>
      <c r="G593" s="7" t="inlineStr">
        <is>
          <t>South</t>
        </is>
      </c>
      <c r="H593" s="7" t="inlineStr">
        <is>
          <t>North Carolina</t>
        </is>
      </c>
      <c r="I593" s="7" t="inlineStr">
        <is>
          <t>Direct Sales</t>
        </is>
      </c>
      <c r="J593" s="7" t="inlineStr">
        <is>
          <t>Home Office</t>
        </is>
      </c>
      <c r="K593" s="8" t="n">
        <v>4</v>
      </c>
      <c r="L593" s="9" t="n">
        <v>21.99</v>
      </c>
      <c r="M593" s="10" t="n">
        <v>0</v>
      </c>
      <c r="N593" s="9" t="n">
        <v>10.56</v>
      </c>
      <c r="O593" s="9" t="n">
        <v>87.95999999999999</v>
      </c>
      <c r="P593" s="9" t="n">
        <v>0</v>
      </c>
      <c r="Q593" s="9" t="n">
        <v>87.95999999999999</v>
      </c>
      <c r="R593" s="9" t="n">
        <v>42.24</v>
      </c>
      <c r="S593" s="9" t="n">
        <v>45.72</v>
      </c>
      <c r="T593" s="10" t="n">
        <v>0.5198</v>
      </c>
    </row>
    <row r="594">
      <c r="A594" s="7" t="inlineStr">
        <is>
          <t>ORD-2024-1391</t>
        </is>
      </c>
      <c r="B594" s="7" t="inlineStr">
        <is>
          <t>2024-09-03</t>
        </is>
      </c>
      <c r="C594" s="7" t="inlineStr">
        <is>
          <t>FUR-BOK-005</t>
        </is>
      </c>
      <c r="D594" s="7" t="inlineStr">
        <is>
          <t>Modular 5-Tier Steel Bookcase</t>
        </is>
      </c>
      <c r="E594" s="7" t="inlineStr">
        <is>
          <t>Furniture</t>
        </is>
      </c>
      <c r="F594" s="7" t="inlineStr">
        <is>
          <t>Bookcases</t>
        </is>
      </c>
      <c r="G594" s="7" t="inlineStr">
        <is>
          <t>East</t>
        </is>
      </c>
      <c r="H594" s="7" t="inlineStr">
        <is>
          <t>New York</t>
        </is>
      </c>
      <c r="I594" s="7" t="inlineStr">
        <is>
          <t>Online</t>
        </is>
      </c>
      <c r="J594" s="7" t="inlineStr">
        <is>
          <t>Consumer</t>
        </is>
      </c>
      <c r="K594" s="8" t="n">
        <v>4</v>
      </c>
      <c r="L594" s="9" t="n">
        <v>189.99</v>
      </c>
      <c r="M594" s="10" t="n">
        <v>0</v>
      </c>
      <c r="N594" s="9" t="n">
        <v>142.49</v>
      </c>
      <c r="O594" s="9" t="n">
        <v>759.96</v>
      </c>
      <c r="P594" s="9" t="n">
        <v>0</v>
      </c>
      <c r="Q594" s="9" t="n">
        <v>759.96</v>
      </c>
      <c r="R594" s="9" t="n">
        <v>569.96</v>
      </c>
      <c r="S594" s="9" t="n">
        <v>190</v>
      </c>
      <c r="T594" s="10" t="n">
        <v>0.25</v>
      </c>
    </row>
    <row r="595">
      <c r="A595" s="7" t="inlineStr">
        <is>
          <t>ORD-2024-1391</t>
        </is>
      </c>
      <c r="B595" s="7" t="inlineStr">
        <is>
          <t>2024-09-03</t>
        </is>
      </c>
      <c r="C595" s="7" t="inlineStr">
        <is>
          <t>TEC-LAP-002</t>
        </is>
      </c>
      <c r="D595" s="7" t="inlineStr">
        <is>
          <t>Apex Gaming Laptop 17"</t>
        </is>
      </c>
      <c r="E595" s="7" t="inlineStr">
        <is>
          <t>Technology</t>
        </is>
      </c>
      <c r="F595" s="7" t="inlineStr">
        <is>
          <t>Laptops</t>
        </is>
      </c>
      <c r="G595" s="7" t="inlineStr">
        <is>
          <t>East</t>
        </is>
      </c>
      <c r="H595" s="7" t="inlineStr">
        <is>
          <t>New York</t>
        </is>
      </c>
      <c r="I595" s="7" t="inlineStr">
        <is>
          <t>Online</t>
        </is>
      </c>
      <c r="J595" s="7" t="inlineStr">
        <is>
          <t>Consumer</t>
        </is>
      </c>
      <c r="K595" s="8" t="n">
        <v>4</v>
      </c>
      <c r="L595" s="9" t="n">
        <v>1499.99</v>
      </c>
      <c r="M595" s="10" t="n">
        <v>0.2</v>
      </c>
      <c r="N595" s="9" t="n">
        <v>1259.99</v>
      </c>
      <c r="O595" s="9" t="n">
        <v>5999.96</v>
      </c>
      <c r="P595" s="9" t="n">
        <v>1199.99</v>
      </c>
      <c r="Q595" s="9" t="n">
        <v>4799.97</v>
      </c>
      <c r="R595" s="9" t="n">
        <v>5039.96</v>
      </c>
      <c r="S595" s="9" t="n">
        <v>-239.99</v>
      </c>
      <c r="T595" s="10" t="n">
        <v>-0.05</v>
      </c>
    </row>
    <row r="596">
      <c r="A596" s="7" t="inlineStr">
        <is>
          <t>ORD-2024-1070</t>
        </is>
      </c>
      <c r="B596" s="7" t="inlineStr">
        <is>
          <t>2024-09-05</t>
        </is>
      </c>
      <c r="C596" s="7" t="inlineStr">
        <is>
          <t>TEC-TAB-003</t>
        </is>
      </c>
      <c r="D596" s="7" t="inlineStr">
        <is>
          <t>VisionPad Pro 11"</t>
        </is>
      </c>
      <c r="E596" s="7" t="inlineStr">
        <is>
          <t>Technology</t>
        </is>
      </c>
      <c r="F596" s="7" t="inlineStr">
        <is>
          <t>Phones &amp; Tablets</t>
        </is>
      </c>
      <c r="G596" s="7" t="inlineStr">
        <is>
          <t>East</t>
        </is>
      </c>
      <c r="H596" s="7" t="inlineStr">
        <is>
          <t>Massachusetts</t>
        </is>
      </c>
      <c r="I596" s="7" t="inlineStr">
        <is>
          <t>Wholesale</t>
        </is>
      </c>
      <c r="J596" s="7" t="inlineStr">
        <is>
          <t>Consumer</t>
        </is>
      </c>
      <c r="K596" s="8" t="n">
        <v>8</v>
      </c>
      <c r="L596" s="9" t="n">
        <v>649.99</v>
      </c>
      <c r="M596" s="10" t="n">
        <v>0.1</v>
      </c>
      <c r="N596" s="9" t="n">
        <v>487.49</v>
      </c>
      <c r="O596" s="9" t="n">
        <v>5199.92</v>
      </c>
      <c r="P596" s="9" t="n">
        <v>519.99</v>
      </c>
      <c r="Q596" s="9" t="n">
        <v>4679.93</v>
      </c>
      <c r="R596" s="9" t="n">
        <v>3899.92</v>
      </c>
      <c r="S596" s="9" t="n">
        <v>780.01</v>
      </c>
      <c r="T596" s="10" t="n">
        <v>0.1667</v>
      </c>
    </row>
    <row r="597">
      <c r="A597" s="7" t="inlineStr">
        <is>
          <t>ORD-2024-1674</t>
        </is>
      </c>
      <c r="B597" s="7" t="inlineStr">
        <is>
          <t>2024-09-06</t>
        </is>
      </c>
      <c r="C597" s="7" t="inlineStr">
        <is>
          <t>OFF-BIN-005</t>
        </is>
      </c>
      <c r="D597" s="7" t="inlineStr">
        <is>
          <t>Heavy-Duty D-Ring Presentation Binder (6-Pk)</t>
        </is>
      </c>
      <c r="E597" s="7" t="inlineStr">
        <is>
          <t>Office Supplies</t>
        </is>
      </c>
      <c r="F597" s="7" t="inlineStr">
        <is>
          <t>Binders &amp; Fasteners</t>
        </is>
      </c>
      <c r="G597" s="7" t="inlineStr">
        <is>
          <t>East</t>
        </is>
      </c>
      <c r="H597" s="7" t="inlineStr">
        <is>
          <t>New Jersey</t>
        </is>
      </c>
      <c r="I597" s="7" t="inlineStr">
        <is>
          <t>Retail Partner</t>
        </is>
      </c>
      <c r="J597" s="7" t="inlineStr">
        <is>
          <t>Corporate</t>
        </is>
      </c>
      <c r="K597" s="8" t="n">
        <v>7</v>
      </c>
      <c r="L597" s="9" t="n">
        <v>27.99</v>
      </c>
      <c r="M597" s="10" t="n">
        <v>0.05</v>
      </c>
      <c r="N597" s="9" t="n">
        <v>13.99</v>
      </c>
      <c r="O597" s="9" t="n">
        <v>195.93</v>
      </c>
      <c r="P597" s="9" t="n">
        <v>9.800000000000001</v>
      </c>
      <c r="Q597" s="9" t="n">
        <v>186.13</v>
      </c>
      <c r="R597" s="9" t="n">
        <v>97.93000000000001</v>
      </c>
      <c r="S597" s="9" t="n">
        <v>88.2</v>
      </c>
      <c r="T597" s="10" t="n">
        <v>0.4739</v>
      </c>
    </row>
    <row r="598">
      <c r="A598" s="7" t="inlineStr">
        <is>
          <t>ORD-2024-1143</t>
        </is>
      </c>
      <c r="B598" s="7" t="inlineStr">
        <is>
          <t>2024-09-07</t>
        </is>
      </c>
      <c r="C598" s="7" t="inlineStr">
        <is>
          <t>OFF-ART-006</t>
        </is>
      </c>
      <c r="D598" s="7" t="inlineStr">
        <is>
          <t>Professional Presentation Dry Erase Board</t>
        </is>
      </c>
      <c r="E598" s="7" t="inlineStr">
        <is>
          <t>Office Supplies</t>
        </is>
      </c>
      <c r="F598" s="7" t="inlineStr">
        <is>
          <t>Presentation &amp; Art</t>
        </is>
      </c>
      <c r="G598" s="7" t="inlineStr">
        <is>
          <t>East</t>
        </is>
      </c>
      <c r="H598" s="7" t="inlineStr">
        <is>
          <t>New York</t>
        </is>
      </c>
      <c r="I598" s="7" t="inlineStr">
        <is>
          <t>Online</t>
        </is>
      </c>
      <c r="J598" s="7" t="inlineStr">
        <is>
          <t>Home Office</t>
        </is>
      </c>
      <c r="K598" s="8" t="n">
        <v>2</v>
      </c>
      <c r="L598" s="9" t="n">
        <v>89.98999999999999</v>
      </c>
      <c r="M598" s="10" t="n">
        <v>0</v>
      </c>
      <c r="N598" s="9" t="n">
        <v>53.99</v>
      </c>
      <c r="O598" s="9" t="n">
        <v>179.98</v>
      </c>
      <c r="P598" s="9" t="n">
        <v>0</v>
      </c>
      <c r="Q598" s="9" t="n">
        <v>179.98</v>
      </c>
      <c r="R598" s="9" t="n">
        <v>107.98</v>
      </c>
      <c r="S598" s="9" t="n">
        <v>72</v>
      </c>
      <c r="T598" s="10" t="n">
        <v>0.4</v>
      </c>
    </row>
    <row r="599">
      <c r="A599" s="7" t="inlineStr">
        <is>
          <t>ORD-2024-1143</t>
        </is>
      </c>
      <c r="B599" s="7" t="inlineStr">
        <is>
          <t>2024-09-07</t>
        </is>
      </c>
      <c r="C599" s="7" t="inlineStr">
        <is>
          <t>TEC-ACC-008</t>
        </is>
      </c>
      <c r="D599" s="7" t="inlineStr">
        <is>
          <t>Precision Laser Bluetooth Mouse</t>
        </is>
      </c>
      <c r="E599" s="7" t="inlineStr">
        <is>
          <t>Technology</t>
        </is>
      </c>
      <c r="F599" s="7" t="inlineStr">
        <is>
          <t>Audio &amp; Accessories</t>
        </is>
      </c>
      <c r="G599" s="7" t="inlineStr">
        <is>
          <t>East</t>
        </is>
      </c>
      <c r="H599" s="7" t="inlineStr">
        <is>
          <t>New York</t>
        </is>
      </c>
      <c r="I599" s="7" t="inlineStr">
        <is>
          <t>Online</t>
        </is>
      </c>
      <c r="J599" s="7" t="inlineStr">
        <is>
          <t>Home Office</t>
        </is>
      </c>
      <c r="K599" s="8" t="n">
        <v>2</v>
      </c>
      <c r="L599" s="9" t="n">
        <v>49.99</v>
      </c>
      <c r="M599" s="10" t="n">
        <v>0.1</v>
      </c>
      <c r="N599" s="9" t="n">
        <v>27.49</v>
      </c>
      <c r="O599" s="9" t="n">
        <v>99.98</v>
      </c>
      <c r="P599" s="9" t="n">
        <v>10</v>
      </c>
      <c r="Q599" s="9" t="n">
        <v>89.98</v>
      </c>
      <c r="R599" s="9" t="n">
        <v>54.98</v>
      </c>
      <c r="S599" s="9" t="n">
        <v>35</v>
      </c>
      <c r="T599" s="10" t="n">
        <v>0.389</v>
      </c>
    </row>
    <row r="600">
      <c r="A600" s="7" t="inlineStr">
        <is>
          <t>ORD-2024-1166</t>
        </is>
      </c>
      <c r="B600" s="7" t="inlineStr">
        <is>
          <t>2024-09-08</t>
        </is>
      </c>
      <c r="C600" s="7" t="inlineStr">
        <is>
          <t>TEC-ACC-008</t>
        </is>
      </c>
      <c r="D600" s="7" t="inlineStr">
        <is>
          <t>Precision Laser Bluetooth Mouse</t>
        </is>
      </c>
      <c r="E600" s="7" t="inlineStr">
        <is>
          <t>Technology</t>
        </is>
      </c>
      <c r="F600" s="7" t="inlineStr">
        <is>
          <t>Audio &amp; Accessories</t>
        </is>
      </c>
      <c r="G600" s="7" t="inlineStr">
        <is>
          <t>South</t>
        </is>
      </c>
      <c r="H600" s="7" t="inlineStr">
        <is>
          <t>Virginia</t>
        </is>
      </c>
      <c r="I600" s="7" t="inlineStr">
        <is>
          <t>Wholesale</t>
        </is>
      </c>
      <c r="J600" s="7" t="inlineStr">
        <is>
          <t>Corporate</t>
        </is>
      </c>
      <c r="K600" s="8" t="n">
        <v>9</v>
      </c>
      <c r="L600" s="9" t="n">
        <v>49.99</v>
      </c>
      <c r="M600" s="10" t="n">
        <v>0.15</v>
      </c>
      <c r="N600" s="9" t="n">
        <v>27.49</v>
      </c>
      <c r="O600" s="9" t="n">
        <v>449.91</v>
      </c>
      <c r="P600" s="9" t="n">
        <v>67.48999999999999</v>
      </c>
      <c r="Q600" s="9" t="n">
        <v>382.42</v>
      </c>
      <c r="R600" s="9" t="n">
        <v>247.41</v>
      </c>
      <c r="S600" s="9" t="n">
        <v>135.01</v>
      </c>
      <c r="T600" s="10" t="n">
        <v>0.353</v>
      </c>
    </row>
    <row r="601">
      <c r="A601" s="7" t="inlineStr">
        <is>
          <t>ORD-2024-1418</t>
        </is>
      </c>
      <c r="B601" s="7" t="inlineStr">
        <is>
          <t>2024-09-08</t>
        </is>
      </c>
      <c r="C601" s="7" t="inlineStr">
        <is>
          <t>TEC-LAP-001</t>
        </is>
      </c>
      <c r="D601" s="7" t="inlineStr">
        <is>
          <t>ProBook Elite 15.6"</t>
        </is>
      </c>
      <c r="E601" s="7" t="inlineStr">
        <is>
          <t>Technology</t>
        </is>
      </c>
      <c r="F601" s="7" t="inlineStr">
        <is>
          <t>Laptops</t>
        </is>
      </c>
      <c r="G601" s="7" t="inlineStr">
        <is>
          <t>West</t>
        </is>
      </c>
      <c r="H601" s="7" t="inlineStr">
        <is>
          <t>California</t>
        </is>
      </c>
      <c r="I601" s="7" t="inlineStr">
        <is>
          <t>Online</t>
        </is>
      </c>
      <c r="J601" s="7" t="inlineStr">
        <is>
          <t>Corporate</t>
        </is>
      </c>
      <c r="K601" s="8" t="n">
        <v>7</v>
      </c>
      <c r="L601" s="9" t="n">
        <v>1199.99</v>
      </c>
      <c r="M601" s="10" t="n">
        <v>0</v>
      </c>
      <c r="N601" s="9" t="n">
        <v>863.99</v>
      </c>
      <c r="O601" s="9" t="n">
        <v>8399.93</v>
      </c>
      <c r="P601" s="9" t="n">
        <v>0</v>
      </c>
      <c r="Q601" s="9" t="n">
        <v>8399.93</v>
      </c>
      <c r="R601" s="9" t="n">
        <v>6047.93</v>
      </c>
      <c r="S601" s="9" t="n">
        <v>2352</v>
      </c>
      <c r="T601" s="10" t="n">
        <v>0.28</v>
      </c>
    </row>
    <row r="602">
      <c r="A602" s="7" t="inlineStr">
        <is>
          <t>ORD-2024-1664</t>
        </is>
      </c>
      <c r="B602" s="7" t="inlineStr">
        <is>
          <t>2024-09-08</t>
        </is>
      </c>
      <c r="C602" s="7" t="inlineStr">
        <is>
          <t>TEC-TAB-004</t>
        </is>
      </c>
      <c r="D602" s="7" t="inlineStr">
        <is>
          <t>VisionPad Lite 8.5"</t>
        </is>
      </c>
      <c r="E602" s="7" t="inlineStr">
        <is>
          <t>Technology</t>
        </is>
      </c>
      <c r="F602" s="7" t="inlineStr">
        <is>
          <t>Phones &amp; Tablets</t>
        </is>
      </c>
      <c r="G602" s="7" t="inlineStr">
        <is>
          <t>South</t>
        </is>
      </c>
      <c r="H602" s="7" t="inlineStr">
        <is>
          <t>North Carolina</t>
        </is>
      </c>
      <c r="I602" s="7" t="inlineStr">
        <is>
          <t>Retail Partner</t>
        </is>
      </c>
      <c r="J602" s="7" t="inlineStr">
        <is>
          <t>Corporate</t>
        </is>
      </c>
      <c r="K602" s="8" t="n">
        <v>3</v>
      </c>
      <c r="L602" s="9" t="n">
        <v>299.99</v>
      </c>
      <c r="M602" s="10" t="n">
        <v>0</v>
      </c>
      <c r="N602" s="9" t="n">
        <v>245.99</v>
      </c>
      <c r="O602" s="9" t="n">
        <v>899.97</v>
      </c>
      <c r="P602" s="9" t="n">
        <v>0</v>
      </c>
      <c r="Q602" s="9" t="n">
        <v>899.97</v>
      </c>
      <c r="R602" s="9" t="n">
        <v>737.97</v>
      </c>
      <c r="S602" s="9" t="n">
        <v>162</v>
      </c>
      <c r="T602" s="10" t="n">
        <v>0.18</v>
      </c>
    </row>
    <row r="603">
      <c r="A603" s="7" t="inlineStr">
        <is>
          <t>ORD-2024-1123</t>
        </is>
      </c>
      <c r="B603" s="7" t="inlineStr">
        <is>
          <t>2024-09-09</t>
        </is>
      </c>
      <c r="C603" s="7" t="inlineStr">
        <is>
          <t>TEC-TAB-003</t>
        </is>
      </c>
      <c r="D603" s="7" t="inlineStr">
        <is>
          <t>VisionPad Pro 11"</t>
        </is>
      </c>
      <c r="E603" s="7" t="inlineStr">
        <is>
          <t>Technology</t>
        </is>
      </c>
      <c r="F603" s="7" t="inlineStr">
        <is>
          <t>Phones &amp; Tablets</t>
        </is>
      </c>
      <c r="G603" s="7" t="inlineStr">
        <is>
          <t>East</t>
        </is>
      </c>
      <c r="H603" s="7" t="inlineStr">
        <is>
          <t>New Jersey</t>
        </is>
      </c>
      <c r="I603" s="7" t="inlineStr">
        <is>
          <t>Direct Sales</t>
        </is>
      </c>
      <c r="J603" s="7" t="inlineStr">
        <is>
          <t>Home Office</t>
        </is>
      </c>
      <c r="K603" s="8" t="n">
        <v>3</v>
      </c>
      <c r="L603" s="9" t="n">
        <v>649.99</v>
      </c>
      <c r="M603" s="10" t="n">
        <v>0.05</v>
      </c>
      <c r="N603" s="9" t="n">
        <v>487.49</v>
      </c>
      <c r="O603" s="9" t="n">
        <v>1949.97</v>
      </c>
      <c r="P603" s="9" t="n">
        <v>97.5</v>
      </c>
      <c r="Q603" s="9" t="n">
        <v>1852.47</v>
      </c>
      <c r="R603" s="9" t="n">
        <v>1462.47</v>
      </c>
      <c r="S603" s="9" t="n">
        <v>390</v>
      </c>
      <c r="T603" s="10" t="n">
        <v>0.2105</v>
      </c>
    </row>
    <row r="604">
      <c r="A604" s="7" t="inlineStr">
        <is>
          <t>ORD-2024-1179</t>
        </is>
      </c>
      <c r="B604" s="7" t="inlineStr">
        <is>
          <t>2024-09-09</t>
        </is>
      </c>
      <c r="C604" s="7" t="inlineStr">
        <is>
          <t>TEC-TAB-004</t>
        </is>
      </c>
      <c r="D604" s="7" t="inlineStr">
        <is>
          <t>VisionPad Lite 8.5"</t>
        </is>
      </c>
      <c r="E604" s="7" t="inlineStr">
        <is>
          <t>Technology</t>
        </is>
      </c>
      <c r="F604" s="7" t="inlineStr">
        <is>
          <t>Phones &amp; Tablets</t>
        </is>
      </c>
      <c r="G604" s="7" t="inlineStr">
        <is>
          <t>Central</t>
        </is>
      </c>
      <c r="H604" s="7" t="inlineStr">
        <is>
          <t>Michigan</t>
        </is>
      </c>
      <c r="I604" s="7" t="inlineStr">
        <is>
          <t>Online</t>
        </is>
      </c>
      <c r="J604" s="7" t="inlineStr">
        <is>
          <t>Corporate</t>
        </is>
      </c>
      <c r="K604" s="8" t="n">
        <v>8</v>
      </c>
      <c r="L604" s="9" t="n">
        <v>299.99</v>
      </c>
      <c r="M604" s="10" t="n">
        <v>0</v>
      </c>
      <c r="N604" s="9" t="n">
        <v>245.99</v>
      </c>
      <c r="O604" s="9" t="n">
        <v>2399.92</v>
      </c>
      <c r="P604" s="9" t="n">
        <v>0</v>
      </c>
      <c r="Q604" s="9" t="n">
        <v>2399.92</v>
      </c>
      <c r="R604" s="9" t="n">
        <v>1967.92</v>
      </c>
      <c r="S604" s="9" t="n">
        <v>432</v>
      </c>
      <c r="T604" s="10" t="n">
        <v>0.18</v>
      </c>
    </row>
    <row r="605">
      <c r="A605" s="7" t="inlineStr">
        <is>
          <t>ORD-2024-1449</t>
        </is>
      </c>
      <c r="B605" s="7" t="inlineStr">
        <is>
          <t>2024-09-09</t>
        </is>
      </c>
      <c r="C605" s="7" t="inlineStr">
        <is>
          <t>TEC-ACC-008</t>
        </is>
      </c>
      <c r="D605" s="7" t="inlineStr">
        <is>
          <t>Precision Laser Bluetooth Mouse</t>
        </is>
      </c>
      <c r="E605" s="7" t="inlineStr">
        <is>
          <t>Technology</t>
        </is>
      </c>
      <c r="F605" s="7" t="inlineStr">
        <is>
          <t>Audio &amp; Accessories</t>
        </is>
      </c>
      <c r="G605" s="7" t="inlineStr">
        <is>
          <t>East</t>
        </is>
      </c>
      <c r="H605" s="7" t="inlineStr">
        <is>
          <t>New Jersey</t>
        </is>
      </c>
      <c r="I605" s="7" t="inlineStr">
        <is>
          <t>Retail Partner</t>
        </is>
      </c>
      <c r="J605" s="7" t="inlineStr">
        <is>
          <t>Consumer</t>
        </is>
      </c>
      <c r="K605" s="8" t="n">
        <v>2</v>
      </c>
      <c r="L605" s="9" t="n">
        <v>49.99</v>
      </c>
      <c r="M605" s="10" t="n">
        <v>0.1</v>
      </c>
      <c r="N605" s="9" t="n">
        <v>27.49</v>
      </c>
      <c r="O605" s="9" t="n">
        <v>99.98</v>
      </c>
      <c r="P605" s="9" t="n">
        <v>10</v>
      </c>
      <c r="Q605" s="9" t="n">
        <v>89.98</v>
      </c>
      <c r="R605" s="9" t="n">
        <v>54.98</v>
      </c>
      <c r="S605" s="9" t="n">
        <v>35</v>
      </c>
      <c r="T605" s="10" t="n">
        <v>0.389</v>
      </c>
    </row>
    <row r="606">
      <c r="A606" s="7" t="inlineStr">
        <is>
          <t>ORD-2024-1621</t>
        </is>
      </c>
      <c r="B606" s="7" t="inlineStr">
        <is>
          <t>2024-09-09</t>
        </is>
      </c>
      <c r="C606" s="7" t="inlineStr">
        <is>
          <t>OFF-DSK-007</t>
        </is>
      </c>
      <c r="D606" s="7" t="inlineStr">
        <is>
          <t>Gel Ergo Mouse Pad &amp; Wrist Rest Combo</t>
        </is>
      </c>
      <c r="E606" s="7" t="inlineStr">
        <is>
          <t>Office Supplies</t>
        </is>
      </c>
      <c r="F606" s="7" t="inlineStr">
        <is>
          <t>Desk Supplies</t>
        </is>
      </c>
      <c r="G606" s="7" t="inlineStr">
        <is>
          <t>West</t>
        </is>
      </c>
      <c r="H606" s="7" t="inlineStr">
        <is>
          <t>Washington</t>
        </is>
      </c>
      <c r="I606" s="7" t="inlineStr">
        <is>
          <t>Online</t>
        </is>
      </c>
      <c r="J606" s="7" t="inlineStr">
        <is>
          <t>Consumer</t>
        </is>
      </c>
      <c r="K606" s="8" t="n">
        <v>4</v>
      </c>
      <c r="L606" s="9" t="n">
        <v>21.99</v>
      </c>
      <c r="M606" s="10" t="n">
        <v>0.15</v>
      </c>
      <c r="N606" s="9" t="n">
        <v>10.56</v>
      </c>
      <c r="O606" s="9" t="n">
        <v>87.95999999999999</v>
      </c>
      <c r="P606" s="9" t="n">
        <v>13.19</v>
      </c>
      <c r="Q606" s="9" t="n">
        <v>74.77</v>
      </c>
      <c r="R606" s="9" t="n">
        <v>42.24</v>
      </c>
      <c r="S606" s="9" t="n">
        <v>32.53</v>
      </c>
      <c r="T606" s="10" t="n">
        <v>0.4351</v>
      </c>
    </row>
    <row r="607">
      <c r="A607" s="7" t="inlineStr">
        <is>
          <t>ORD-2024-1621</t>
        </is>
      </c>
      <c r="B607" s="7" t="inlineStr">
        <is>
          <t>2024-09-09</t>
        </is>
      </c>
      <c r="C607" s="7" t="inlineStr">
        <is>
          <t>OFF-ART-006</t>
        </is>
      </c>
      <c r="D607" s="7" t="inlineStr">
        <is>
          <t>Professional Presentation Dry Erase Board</t>
        </is>
      </c>
      <c r="E607" s="7" t="inlineStr">
        <is>
          <t>Office Supplies</t>
        </is>
      </c>
      <c r="F607" s="7" t="inlineStr">
        <is>
          <t>Presentation &amp; Art</t>
        </is>
      </c>
      <c r="G607" s="7" t="inlineStr">
        <is>
          <t>West</t>
        </is>
      </c>
      <c r="H607" s="7" t="inlineStr">
        <is>
          <t>Washington</t>
        </is>
      </c>
      <c r="I607" s="7" t="inlineStr">
        <is>
          <t>Online</t>
        </is>
      </c>
      <c r="J607" s="7" t="inlineStr">
        <is>
          <t>Consumer</t>
        </is>
      </c>
      <c r="K607" s="8" t="n">
        <v>2</v>
      </c>
      <c r="L607" s="9" t="n">
        <v>89.98999999999999</v>
      </c>
      <c r="M607" s="10" t="n">
        <v>0</v>
      </c>
      <c r="N607" s="9" t="n">
        <v>53.99</v>
      </c>
      <c r="O607" s="9" t="n">
        <v>179.98</v>
      </c>
      <c r="P607" s="9" t="n">
        <v>0</v>
      </c>
      <c r="Q607" s="9" t="n">
        <v>179.98</v>
      </c>
      <c r="R607" s="9" t="n">
        <v>107.98</v>
      </c>
      <c r="S607" s="9" t="n">
        <v>72</v>
      </c>
      <c r="T607" s="10" t="n">
        <v>0.4</v>
      </c>
    </row>
    <row r="608">
      <c r="A608" s="7" t="inlineStr">
        <is>
          <t>ORD-2024-1472</t>
        </is>
      </c>
      <c r="B608" s="7" t="inlineStr">
        <is>
          <t>2024-09-10</t>
        </is>
      </c>
      <c r="C608" s="7" t="inlineStr">
        <is>
          <t>OFF-ART-006</t>
        </is>
      </c>
      <c r="D608" s="7" t="inlineStr">
        <is>
          <t>Professional Presentation Dry Erase Board</t>
        </is>
      </c>
      <c r="E608" s="7" t="inlineStr">
        <is>
          <t>Office Supplies</t>
        </is>
      </c>
      <c r="F608" s="7" t="inlineStr">
        <is>
          <t>Presentation &amp; Art</t>
        </is>
      </c>
      <c r="G608" s="7" t="inlineStr">
        <is>
          <t>West</t>
        </is>
      </c>
      <c r="H608" s="7" t="inlineStr">
        <is>
          <t>California</t>
        </is>
      </c>
      <c r="I608" s="7" t="inlineStr">
        <is>
          <t>Online</t>
        </is>
      </c>
      <c r="J608" s="7" t="inlineStr">
        <is>
          <t>Consumer</t>
        </is>
      </c>
      <c r="K608" s="8" t="n">
        <v>4</v>
      </c>
      <c r="L608" s="9" t="n">
        <v>89.98999999999999</v>
      </c>
      <c r="M608" s="10" t="n">
        <v>0</v>
      </c>
      <c r="N608" s="9" t="n">
        <v>53.99</v>
      </c>
      <c r="O608" s="9" t="n">
        <v>359.96</v>
      </c>
      <c r="P608" s="9" t="n">
        <v>0</v>
      </c>
      <c r="Q608" s="9" t="n">
        <v>359.96</v>
      </c>
      <c r="R608" s="9" t="n">
        <v>215.96</v>
      </c>
      <c r="S608" s="9" t="n">
        <v>144</v>
      </c>
      <c r="T608" s="10" t="n">
        <v>0.4</v>
      </c>
    </row>
    <row r="609">
      <c r="A609" s="7" t="inlineStr">
        <is>
          <t>ORD-2024-1395</t>
        </is>
      </c>
      <c r="B609" s="7" t="inlineStr">
        <is>
          <t>2024-09-12</t>
        </is>
      </c>
      <c r="C609" s="7" t="inlineStr">
        <is>
          <t>OFF-DSK-007</t>
        </is>
      </c>
      <c r="D609" s="7" t="inlineStr">
        <is>
          <t>Gel Ergo Mouse Pad &amp; Wrist Rest Combo</t>
        </is>
      </c>
      <c r="E609" s="7" t="inlineStr">
        <is>
          <t>Office Supplies</t>
        </is>
      </c>
      <c r="F609" s="7" t="inlineStr">
        <is>
          <t>Desk Supplies</t>
        </is>
      </c>
      <c r="G609" s="7" t="inlineStr">
        <is>
          <t>South</t>
        </is>
      </c>
      <c r="H609" s="7" t="inlineStr">
        <is>
          <t>North Carolina</t>
        </is>
      </c>
      <c r="I609" s="7" t="inlineStr">
        <is>
          <t>Online</t>
        </is>
      </c>
      <c r="J609" s="7" t="inlineStr">
        <is>
          <t>Corporate</t>
        </is>
      </c>
      <c r="K609" s="8" t="n">
        <v>3</v>
      </c>
      <c r="L609" s="9" t="n">
        <v>21.99</v>
      </c>
      <c r="M609" s="10" t="n">
        <v>0.05</v>
      </c>
      <c r="N609" s="9" t="n">
        <v>10.56</v>
      </c>
      <c r="O609" s="9" t="n">
        <v>65.97</v>
      </c>
      <c r="P609" s="9" t="n">
        <v>3.3</v>
      </c>
      <c r="Q609" s="9" t="n">
        <v>62.67</v>
      </c>
      <c r="R609" s="9" t="n">
        <v>31.68</v>
      </c>
      <c r="S609" s="9" t="n">
        <v>30.99</v>
      </c>
      <c r="T609" s="10" t="n">
        <v>0.4945</v>
      </c>
    </row>
    <row r="610">
      <c r="A610" s="7" t="inlineStr">
        <is>
          <t>ORD-2024-1645</t>
        </is>
      </c>
      <c r="B610" s="7" t="inlineStr">
        <is>
          <t>2024-09-12</t>
        </is>
      </c>
      <c r="C610" s="7" t="inlineStr">
        <is>
          <t>FUR-DSK-003</t>
        </is>
      </c>
      <c r="D610" s="7" t="inlineStr">
        <is>
          <t>ApexMotor Dual-Motor Standing Desk</t>
        </is>
      </c>
      <c r="E610" s="7" t="inlineStr">
        <is>
          <t>Furniture</t>
        </is>
      </c>
      <c r="F610" s="7" t="inlineStr">
        <is>
          <t>Desks &amp; Workstations</t>
        </is>
      </c>
      <c r="G610" s="7" t="inlineStr">
        <is>
          <t>West</t>
        </is>
      </c>
      <c r="H610" s="7" t="inlineStr">
        <is>
          <t>Oregon</t>
        </is>
      </c>
      <c r="I610" s="7" t="inlineStr">
        <is>
          <t>Online</t>
        </is>
      </c>
      <c r="J610" s="7" t="inlineStr">
        <is>
          <t>Corporate</t>
        </is>
      </c>
      <c r="K610" s="8" t="n">
        <v>5</v>
      </c>
      <c r="L610" s="9" t="n">
        <v>549.99</v>
      </c>
      <c r="M610" s="10" t="n">
        <v>0</v>
      </c>
      <c r="N610" s="9" t="n">
        <v>439.99</v>
      </c>
      <c r="O610" s="9" t="n">
        <v>2749.95</v>
      </c>
      <c r="P610" s="9" t="n">
        <v>0</v>
      </c>
      <c r="Q610" s="9" t="n">
        <v>2749.95</v>
      </c>
      <c r="R610" s="9" t="n">
        <v>2199.95</v>
      </c>
      <c r="S610" s="9" t="n">
        <v>550</v>
      </c>
      <c r="T610" s="10" t="n">
        <v>0.2</v>
      </c>
    </row>
    <row r="611">
      <c r="A611" s="7" t="inlineStr">
        <is>
          <t>ORD-2024-1645</t>
        </is>
      </c>
      <c r="B611" s="7" t="inlineStr">
        <is>
          <t>2024-09-12</t>
        </is>
      </c>
      <c r="C611" s="7" t="inlineStr">
        <is>
          <t>TEC-ACC-007</t>
        </is>
      </c>
      <c r="D611" s="7" t="inlineStr">
        <is>
          <t>ErgoMechanical Wireless Keyboard</t>
        </is>
      </c>
      <c r="E611" s="7" t="inlineStr">
        <is>
          <t>Technology</t>
        </is>
      </c>
      <c r="F611" s="7" t="inlineStr">
        <is>
          <t>Audio &amp; Accessories</t>
        </is>
      </c>
      <c r="G611" s="7" t="inlineStr">
        <is>
          <t>West</t>
        </is>
      </c>
      <c r="H611" s="7" t="inlineStr">
        <is>
          <t>Oregon</t>
        </is>
      </c>
      <c r="I611" s="7" t="inlineStr">
        <is>
          <t>Online</t>
        </is>
      </c>
      <c r="J611" s="7" t="inlineStr">
        <is>
          <t>Corporate</t>
        </is>
      </c>
      <c r="K611" s="8" t="n">
        <v>6</v>
      </c>
      <c r="L611" s="9" t="n">
        <v>109.99</v>
      </c>
      <c r="M611" s="10" t="n">
        <v>0.1</v>
      </c>
      <c r="N611" s="9" t="n">
        <v>65.98999999999999</v>
      </c>
      <c r="O611" s="9" t="n">
        <v>659.9400000000001</v>
      </c>
      <c r="P611" s="9" t="n">
        <v>65.98999999999999</v>
      </c>
      <c r="Q611" s="9" t="n">
        <v>593.95</v>
      </c>
      <c r="R611" s="9" t="n">
        <v>395.94</v>
      </c>
      <c r="S611" s="9" t="n">
        <v>198.01</v>
      </c>
      <c r="T611" s="10" t="n">
        <v>0.3334</v>
      </c>
    </row>
    <row r="612">
      <c r="A612" s="7" t="inlineStr">
        <is>
          <t>ORD-2024-1645</t>
        </is>
      </c>
      <c r="B612" s="7" t="inlineStr">
        <is>
          <t>2024-09-12</t>
        </is>
      </c>
      <c r="C612" s="7" t="inlineStr">
        <is>
          <t>OFF-STR-002</t>
        </is>
      </c>
      <c r="D612" s="7" t="inlineStr">
        <is>
          <t>Stackable Heavy-Duty Storage Bins (4-Pk)</t>
        </is>
      </c>
      <c r="E612" s="7" t="inlineStr">
        <is>
          <t>Office Supplies</t>
        </is>
      </c>
      <c r="F612" s="7" t="inlineStr">
        <is>
          <t>Storage &amp; Organizers</t>
        </is>
      </c>
      <c r="G612" s="7" t="inlineStr">
        <is>
          <t>West</t>
        </is>
      </c>
      <c r="H612" s="7" t="inlineStr">
        <is>
          <t>Oregon</t>
        </is>
      </c>
      <c r="I612" s="7" t="inlineStr">
        <is>
          <t>Online</t>
        </is>
      </c>
      <c r="J612" s="7" t="inlineStr">
        <is>
          <t>Corporate</t>
        </is>
      </c>
      <c r="K612" s="8" t="n">
        <v>4</v>
      </c>
      <c r="L612" s="9" t="n">
        <v>44.99</v>
      </c>
      <c r="M612" s="10" t="n">
        <v>0.05</v>
      </c>
      <c r="N612" s="9" t="n">
        <v>24.74</v>
      </c>
      <c r="O612" s="9" t="n">
        <v>179.96</v>
      </c>
      <c r="P612" s="9" t="n">
        <v>9</v>
      </c>
      <c r="Q612" s="9" t="n">
        <v>170.96</v>
      </c>
      <c r="R612" s="9" t="n">
        <v>98.95999999999999</v>
      </c>
      <c r="S612" s="9" t="n">
        <v>72</v>
      </c>
      <c r="T612" s="10" t="n">
        <v>0.4212</v>
      </c>
    </row>
    <row r="613">
      <c r="A613" s="7" t="inlineStr">
        <is>
          <t>ORD-2024-1605</t>
        </is>
      </c>
      <c r="B613" s="7" t="inlineStr">
        <is>
          <t>2024-09-14</t>
        </is>
      </c>
      <c r="C613" s="7" t="inlineStr">
        <is>
          <t>OFF-DSK-008</t>
        </is>
      </c>
      <c r="D613" s="7" t="inlineStr">
        <is>
          <t>Steel Desktop Mesh Organizer Caddy</t>
        </is>
      </c>
      <c r="E613" s="7" t="inlineStr">
        <is>
          <t>Office Supplies</t>
        </is>
      </c>
      <c r="F613" s="7" t="inlineStr">
        <is>
          <t>Desk Supplies</t>
        </is>
      </c>
      <c r="G613" s="7" t="inlineStr">
        <is>
          <t>Central</t>
        </is>
      </c>
      <c r="H613" s="7" t="inlineStr">
        <is>
          <t>Texas</t>
        </is>
      </c>
      <c r="I613" s="7" t="inlineStr">
        <is>
          <t>Online</t>
        </is>
      </c>
      <c r="J613" s="7" t="inlineStr">
        <is>
          <t>Consumer</t>
        </is>
      </c>
      <c r="K613" s="8" t="n">
        <v>4</v>
      </c>
      <c r="L613" s="9" t="n">
        <v>18.99</v>
      </c>
      <c r="M613" s="10" t="n">
        <v>0.05</v>
      </c>
      <c r="N613" s="9" t="n">
        <v>8.550000000000001</v>
      </c>
      <c r="O613" s="9" t="n">
        <v>75.95999999999999</v>
      </c>
      <c r="P613" s="9" t="n">
        <v>3.8</v>
      </c>
      <c r="Q613" s="9" t="n">
        <v>72.16</v>
      </c>
      <c r="R613" s="9" t="n">
        <v>34.2</v>
      </c>
      <c r="S613" s="9" t="n">
        <v>37.96</v>
      </c>
      <c r="T613" s="10" t="n">
        <v>0.5261</v>
      </c>
    </row>
    <row r="614">
      <c r="A614" s="7" t="inlineStr">
        <is>
          <t>ORD-2024-1184</t>
        </is>
      </c>
      <c r="B614" s="7" t="inlineStr">
        <is>
          <t>2024-09-15</t>
        </is>
      </c>
      <c r="C614" s="7" t="inlineStr">
        <is>
          <t>FUR-CHA-002</t>
        </is>
      </c>
      <c r="D614" s="7" t="inlineStr">
        <is>
          <t>AeroTask Operator Task Chair</t>
        </is>
      </c>
      <c r="E614" s="7" t="inlineStr">
        <is>
          <t>Furniture</t>
        </is>
      </c>
      <c r="F614" s="7" t="inlineStr">
        <is>
          <t>Chairs</t>
        </is>
      </c>
      <c r="G614" s="7" t="inlineStr">
        <is>
          <t>South</t>
        </is>
      </c>
      <c r="H614" s="7" t="inlineStr">
        <is>
          <t>Virginia</t>
        </is>
      </c>
      <c r="I614" s="7" t="inlineStr">
        <is>
          <t>Direct Sales</t>
        </is>
      </c>
      <c r="J614" s="7" t="inlineStr">
        <is>
          <t>Consumer</t>
        </is>
      </c>
      <c r="K614" s="8" t="n">
        <v>4</v>
      </c>
      <c r="L614" s="9" t="n">
        <v>219.99</v>
      </c>
      <c r="M614" s="10" t="n">
        <v>0</v>
      </c>
      <c r="N614" s="9" t="n">
        <v>171.59</v>
      </c>
      <c r="O614" s="9" t="n">
        <v>879.96</v>
      </c>
      <c r="P614" s="9" t="n">
        <v>0</v>
      </c>
      <c r="Q614" s="9" t="n">
        <v>879.96</v>
      </c>
      <c r="R614" s="9" t="n">
        <v>686.36</v>
      </c>
      <c r="S614" s="9" t="n">
        <v>193.6</v>
      </c>
      <c r="T614" s="10" t="n">
        <v>0.22</v>
      </c>
    </row>
    <row r="615">
      <c r="A615" s="7" t="inlineStr">
        <is>
          <t>ORD-2024-1294</t>
        </is>
      </c>
      <c r="B615" s="7" t="inlineStr">
        <is>
          <t>2024-09-15</t>
        </is>
      </c>
      <c r="C615" s="7" t="inlineStr">
        <is>
          <t>TEC-TAB-004</t>
        </is>
      </c>
      <c r="D615" s="7" t="inlineStr">
        <is>
          <t>VisionPad Lite 8.5"</t>
        </is>
      </c>
      <c r="E615" s="7" t="inlineStr">
        <is>
          <t>Technology</t>
        </is>
      </c>
      <c r="F615" s="7" t="inlineStr">
        <is>
          <t>Phones &amp; Tablets</t>
        </is>
      </c>
      <c r="G615" s="7" t="inlineStr">
        <is>
          <t>East</t>
        </is>
      </c>
      <c r="H615" s="7" t="inlineStr">
        <is>
          <t>New Jersey</t>
        </is>
      </c>
      <c r="I615" s="7" t="inlineStr">
        <is>
          <t>Online</t>
        </is>
      </c>
      <c r="J615" s="7" t="inlineStr">
        <is>
          <t>Corporate</t>
        </is>
      </c>
      <c r="K615" s="8" t="n">
        <v>8</v>
      </c>
      <c r="L615" s="9" t="n">
        <v>299.99</v>
      </c>
      <c r="M615" s="10" t="n">
        <v>0.1</v>
      </c>
      <c r="N615" s="9" t="n">
        <v>245.99</v>
      </c>
      <c r="O615" s="9" t="n">
        <v>2399.92</v>
      </c>
      <c r="P615" s="9" t="n">
        <v>239.99</v>
      </c>
      <c r="Q615" s="9" t="n">
        <v>2159.93</v>
      </c>
      <c r="R615" s="9" t="n">
        <v>1967.92</v>
      </c>
      <c r="S615" s="9" t="n">
        <v>192.01</v>
      </c>
      <c r="T615" s="10" t="n">
        <v>0.08890000000000001</v>
      </c>
    </row>
    <row r="616">
      <c r="A616" s="7" t="inlineStr">
        <is>
          <t>ORD-2024-1525</t>
        </is>
      </c>
      <c r="B616" s="7" t="inlineStr">
        <is>
          <t>2024-09-15</t>
        </is>
      </c>
      <c r="C616" s="7" t="inlineStr">
        <is>
          <t>OFF-STR-001</t>
        </is>
      </c>
      <c r="D616" s="7" t="inlineStr">
        <is>
          <t>SteelLock 3-Drawer File Cabinet</t>
        </is>
      </c>
      <c r="E616" s="7" t="inlineStr">
        <is>
          <t>Office Supplies</t>
        </is>
      </c>
      <c r="F616" s="7" t="inlineStr">
        <is>
          <t>Storage &amp; Organizers</t>
        </is>
      </c>
      <c r="G616" s="7" t="inlineStr">
        <is>
          <t>Central</t>
        </is>
      </c>
      <c r="H616" s="7" t="inlineStr">
        <is>
          <t>Illinois</t>
        </is>
      </c>
      <c r="I616" s="7" t="inlineStr">
        <is>
          <t>Online</t>
        </is>
      </c>
      <c r="J616" s="7" t="inlineStr">
        <is>
          <t>Corporate</t>
        </is>
      </c>
      <c r="K616" s="8" t="n">
        <v>3</v>
      </c>
      <c r="L616" s="9" t="n">
        <v>169.99</v>
      </c>
      <c r="M616" s="10" t="n">
        <v>0</v>
      </c>
      <c r="N616" s="9" t="n">
        <v>115.59</v>
      </c>
      <c r="O616" s="9" t="n">
        <v>509.97</v>
      </c>
      <c r="P616" s="9" t="n">
        <v>0</v>
      </c>
      <c r="Q616" s="9" t="n">
        <v>509.97</v>
      </c>
      <c r="R616" s="9" t="n">
        <v>346.77</v>
      </c>
      <c r="S616" s="9" t="n">
        <v>163.2</v>
      </c>
      <c r="T616" s="10" t="n">
        <v>0.32</v>
      </c>
    </row>
    <row r="617">
      <c r="A617" s="7" t="inlineStr">
        <is>
          <t>ORD-2024-1538</t>
        </is>
      </c>
      <c r="B617" s="7" t="inlineStr">
        <is>
          <t>2024-09-15</t>
        </is>
      </c>
      <c r="C617" s="7" t="inlineStr">
        <is>
          <t>TEC-ACC-005</t>
        </is>
      </c>
      <c r="D617" s="7" t="inlineStr">
        <is>
          <t>UltraWireless Noise-Canceling Headset</t>
        </is>
      </c>
      <c r="E617" s="7" t="inlineStr">
        <is>
          <t>Technology</t>
        </is>
      </c>
      <c r="F617" s="7" t="inlineStr">
        <is>
          <t>Audio &amp; Accessories</t>
        </is>
      </c>
      <c r="G617" s="7" t="inlineStr">
        <is>
          <t>East</t>
        </is>
      </c>
      <c r="H617" s="7" t="inlineStr">
        <is>
          <t>Massachusetts</t>
        </is>
      </c>
      <c r="I617" s="7" t="inlineStr">
        <is>
          <t>Direct Sales</t>
        </is>
      </c>
      <c r="J617" s="7" t="inlineStr">
        <is>
          <t>Home Office</t>
        </is>
      </c>
      <c r="K617" s="8" t="n">
        <v>3</v>
      </c>
      <c r="L617" s="9" t="n">
        <v>179.99</v>
      </c>
      <c r="M617" s="10" t="n">
        <v>0.05</v>
      </c>
      <c r="N617" s="9" t="n">
        <v>111.59</v>
      </c>
      <c r="O617" s="9" t="n">
        <v>539.97</v>
      </c>
      <c r="P617" s="9" t="n">
        <v>27</v>
      </c>
      <c r="Q617" s="9" t="n">
        <v>512.97</v>
      </c>
      <c r="R617" s="9" t="n">
        <v>334.77</v>
      </c>
      <c r="S617" s="9" t="n">
        <v>178.2</v>
      </c>
      <c r="T617" s="10" t="n">
        <v>0.3474</v>
      </c>
    </row>
    <row r="618">
      <c r="A618" s="7" t="inlineStr">
        <is>
          <t>ORD-2024-1565</t>
        </is>
      </c>
      <c r="B618" s="7" t="inlineStr">
        <is>
          <t>2024-09-15</t>
        </is>
      </c>
      <c r="C618" s="7" t="inlineStr">
        <is>
          <t>FUR-CHA-002</t>
        </is>
      </c>
      <c r="D618" s="7" t="inlineStr">
        <is>
          <t>AeroTask Operator Task Chair</t>
        </is>
      </c>
      <c r="E618" s="7" t="inlineStr">
        <is>
          <t>Furniture</t>
        </is>
      </c>
      <c r="F618" s="7" t="inlineStr">
        <is>
          <t>Chairs</t>
        </is>
      </c>
      <c r="G618" s="7" t="inlineStr">
        <is>
          <t>East</t>
        </is>
      </c>
      <c r="H618" s="7" t="inlineStr">
        <is>
          <t>Massachusetts</t>
        </is>
      </c>
      <c r="I618" s="7" t="inlineStr">
        <is>
          <t>Direct Sales</t>
        </is>
      </c>
      <c r="J618" s="7" t="inlineStr">
        <is>
          <t>Consumer</t>
        </is>
      </c>
      <c r="K618" s="8" t="n">
        <v>3</v>
      </c>
      <c r="L618" s="9" t="n">
        <v>219.99</v>
      </c>
      <c r="M618" s="10" t="n">
        <v>0</v>
      </c>
      <c r="N618" s="9" t="n">
        <v>171.59</v>
      </c>
      <c r="O618" s="9" t="n">
        <v>659.97</v>
      </c>
      <c r="P618" s="9" t="n">
        <v>0</v>
      </c>
      <c r="Q618" s="9" t="n">
        <v>659.97</v>
      </c>
      <c r="R618" s="9" t="n">
        <v>514.77</v>
      </c>
      <c r="S618" s="9" t="n">
        <v>145.2</v>
      </c>
      <c r="T618" s="10" t="n">
        <v>0.22</v>
      </c>
    </row>
    <row r="619">
      <c r="A619" s="7" t="inlineStr">
        <is>
          <t>ORD-2024-1646</t>
        </is>
      </c>
      <c r="B619" s="7" t="inlineStr">
        <is>
          <t>2024-09-16</t>
        </is>
      </c>
      <c r="C619" s="7" t="inlineStr">
        <is>
          <t>OFF-STR-001</t>
        </is>
      </c>
      <c r="D619" s="7" t="inlineStr">
        <is>
          <t>SteelLock 3-Drawer File Cabinet</t>
        </is>
      </c>
      <c r="E619" s="7" t="inlineStr">
        <is>
          <t>Office Supplies</t>
        </is>
      </c>
      <c r="F619" s="7" t="inlineStr">
        <is>
          <t>Storage &amp; Organizers</t>
        </is>
      </c>
      <c r="G619" s="7" t="inlineStr">
        <is>
          <t>East</t>
        </is>
      </c>
      <c r="H619" s="7" t="inlineStr">
        <is>
          <t>New York</t>
        </is>
      </c>
      <c r="I619" s="7" t="inlineStr">
        <is>
          <t>Online</t>
        </is>
      </c>
      <c r="J619" s="7" t="inlineStr">
        <is>
          <t>Consumer</t>
        </is>
      </c>
      <c r="K619" s="8" t="n">
        <v>4</v>
      </c>
      <c r="L619" s="9" t="n">
        <v>169.99</v>
      </c>
      <c r="M619" s="10" t="n">
        <v>0</v>
      </c>
      <c r="N619" s="9" t="n">
        <v>115.59</v>
      </c>
      <c r="O619" s="9" t="n">
        <v>679.96</v>
      </c>
      <c r="P619" s="9" t="n">
        <v>0</v>
      </c>
      <c r="Q619" s="9" t="n">
        <v>679.96</v>
      </c>
      <c r="R619" s="9" t="n">
        <v>462.36</v>
      </c>
      <c r="S619" s="9" t="n">
        <v>217.6</v>
      </c>
      <c r="T619" s="10" t="n">
        <v>0.32</v>
      </c>
    </row>
    <row r="620">
      <c r="A620" s="7" t="inlineStr">
        <is>
          <t>ORD-2024-1228</t>
        </is>
      </c>
      <c r="B620" s="7" t="inlineStr">
        <is>
          <t>2024-09-17</t>
        </is>
      </c>
      <c r="C620" s="7" t="inlineStr">
        <is>
          <t>TEC-LAP-001</t>
        </is>
      </c>
      <c r="D620" s="7" t="inlineStr">
        <is>
          <t>ProBook Elite 15.6"</t>
        </is>
      </c>
      <c r="E620" s="7" t="inlineStr">
        <is>
          <t>Technology</t>
        </is>
      </c>
      <c r="F620" s="7" t="inlineStr">
        <is>
          <t>Laptops</t>
        </is>
      </c>
      <c r="G620" s="7" t="inlineStr">
        <is>
          <t>West</t>
        </is>
      </c>
      <c r="H620" s="7" t="inlineStr">
        <is>
          <t>Colorado</t>
        </is>
      </c>
      <c r="I620" s="7" t="inlineStr">
        <is>
          <t>Wholesale</t>
        </is>
      </c>
      <c r="J620" s="7" t="inlineStr">
        <is>
          <t>Corporate</t>
        </is>
      </c>
      <c r="K620" s="8" t="n">
        <v>7</v>
      </c>
      <c r="L620" s="9" t="n">
        <v>1199.99</v>
      </c>
      <c r="M620" s="10" t="n">
        <v>0.1</v>
      </c>
      <c r="N620" s="9" t="n">
        <v>863.99</v>
      </c>
      <c r="O620" s="9" t="n">
        <v>8399.93</v>
      </c>
      <c r="P620" s="9" t="n">
        <v>839.99</v>
      </c>
      <c r="Q620" s="9" t="n">
        <v>7559.94</v>
      </c>
      <c r="R620" s="9" t="n">
        <v>6047.93</v>
      </c>
      <c r="S620" s="9" t="n">
        <v>1512.01</v>
      </c>
      <c r="T620" s="10" t="n">
        <v>0.2</v>
      </c>
    </row>
    <row r="621">
      <c r="A621" s="7" t="inlineStr">
        <is>
          <t>ORD-2024-1351</t>
        </is>
      </c>
      <c r="B621" s="7" t="inlineStr">
        <is>
          <t>2024-09-17</t>
        </is>
      </c>
      <c r="C621" s="7" t="inlineStr">
        <is>
          <t>FUR-DSK-004</t>
        </is>
      </c>
      <c r="D621" s="7" t="inlineStr">
        <is>
          <t>Metro Compact Corner Workstation</t>
        </is>
      </c>
      <c r="E621" s="7" t="inlineStr">
        <is>
          <t>Furniture</t>
        </is>
      </c>
      <c r="F621" s="7" t="inlineStr">
        <is>
          <t>Desks &amp; Workstations</t>
        </is>
      </c>
      <c r="G621" s="7" t="inlineStr">
        <is>
          <t>South</t>
        </is>
      </c>
      <c r="H621" s="7" t="inlineStr">
        <is>
          <t>Georgia</t>
        </is>
      </c>
      <c r="I621" s="7" t="inlineStr">
        <is>
          <t>Online</t>
        </is>
      </c>
      <c r="J621" s="7" t="inlineStr">
        <is>
          <t>Consumer</t>
        </is>
      </c>
      <c r="K621" s="8" t="n">
        <v>3</v>
      </c>
      <c r="L621" s="9" t="n">
        <v>329.99</v>
      </c>
      <c r="M621" s="10" t="n">
        <v>0.05</v>
      </c>
      <c r="N621" s="9" t="n">
        <v>250.79</v>
      </c>
      <c r="O621" s="9" t="n">
        <v>989.97</v>
      </c>
      <c r="P621" s="9" t="n">
        <v>49.5</v>
      </c>
      <c r="Q621" s="9" t="n">
        <v>940.47</v>
      </c>
      <c r="R621" s="9" t="n">
        <v>752.37</v>
      </c>
      <c r="S621" s="9" t="n">
        <v>188.1</v>
      </c>
      <c r="T621" s="10" t="n">
        <v>0.2</v>
      </c>
    </row>
    <row r="622">
      <c r="A622" s="7" t="inlineStr">
        <is>
          <t>ORD-2024-1461</t>
        </is>
      </c>
      <c r="B622" s="7" t="inlineStr">
        <is>
          <t>2024-09-17</t>
        </is>
      </c>
      <c r="C622" s="7" t="inlineStr">
        <is>
          <t>OFF-PAP-004</t>
        </is>
      </c>
      <c r="D622" s="7" t="inlineStr">
        <is>
          <t>EcoRecycled Copy Paper (5 Reams)</t>
        </is>
      </c>
      <c r="E622" s="7" t="inlineStr">
        <is>
          <t>Office Supplies</t>
        </is>
      </c>
      <c r="F622" s="7" t="inlineStr">
        <is>
          <t>Paper Products</t>
        </is>
      </c>
      <c r="G622" s="7" t="inlineStr">
        <is>
          <t>West</t>
        </is>
      </c>
      <c r="H622" s="7" t="inlineStr">
        <is>
          <t>Colorado</t>
        </is>
      </c>
      <c r="I622" s="7" t="inlineStr">
        <is>
          <t>Retail Partner</t>
        </is>
      </c>
      <c r="J622" s="7" t="inlineStr">
        <is>
          <t>Corporate</t>
        </is>
      </c>
      <c r="K622" s="8" t="n">
        <v>4</v>
      </c>
      <c r="L622" s="9" t="n">
        <v>32.99</v>
      </c>
      <c r="M622" s="10" t="n">
        <v>0</v>
      </c>
      <c r="N622" s="9" t="n">
        <v>19.79</v>
      </c>
      <c r="O622" s="9" t="n">
        <v>131.96</v>
      </c>
      <c r="P622" s="9" t="n">
        <v>0</v>
      </c>
      <c r="Q622" s="9" t="n">
        <v>131.96</v>
      </c>
      <c r="R622" s="9" t="n">
        <v>79.16</v>
      </c>
      <c r="S622" s="9" t="n">
        <v>52.8</v>
      </c>
      <c r="T622" s="10" t="n">
        <v>0.4001</v>
      </c>
    </row>
    <row r="623">
      <c r="A623" s="7" t="inlineStr">
        <is>
          <t>ORD-2024-1469</t>
        </is>
      </c>
      <c r="B623" s="7" t="inlineStr">
        <is>
          <t>2024-09-17</t>
        </is>
      </c>
      <c r="C623" s="7" t="inlineStr">
        <is>
          <t>OFF-BIN-005</t>
        </is>
      </c>
      <c r="D623" s="7" t="inlineStr">
        <is>
          <t>Heavy-Duty D-Ring Presentation Binder (6-Pk)</t>
        </is>
      </c>
      <c r="E623" s="7" t="inlineStr">
        <is>
          <t>Office Supplies</t>
        </is>
      </c>
      <c r="F623" s="7" t="inlineStr">
        <is>
          <t>Binders &amp; Fasteners</t>
        </is>
      </c>
      <c r="G623" s="7" t="inlineStr">
        <is>
          <t>East</t>
        </is>
      </c>
      <c r="H623" s="7" t="inlineStr">
        <is>
          <t>New Jersey</t>
        </is>
      </c>
      <c r="I623" s="7" t="inlineStr">
        <is>
          <t>Online</t>
        </is>
      </c>
      <c r="J623" s="7" t="inlineStr">
        <is>
          <t>Home Office</t>
        </is>
      </c>
      <c r="K623" s="8" t="n">
        <v>3</v>
      </c>
      <c r="L623" s="9" t="n">
        <v>27.99</v>
      </c>
      <c r="M623" s="10" t="n">
        <v>0</v>
      </c>
      <c r="N623" s="9" t="n">
        <v>13.99</v>
      </c>
      <c r="O623" s="9" t="n">
        <v>83.97</v>
      </c>
      <c r="P623" s="9" t="n">
        <v>0</v>
      </c>
      <c r="Q623" s="9" t="n">
        <v>83.97</v>
      </c>
      <c r="R623" s="9" t="n">
        <v>41.97</v>
      </c>
      <c r="S623" s="9" t="n">
        <v>42</v>
      </c>
      <c r="T623" s="10" t="n">
        <v>0.5002</v>
      </c>
    </row>
    <row r="624">
      <c r="A624" s="7" t="inlineStr">
        <is>
          <t>ORD-2024-1005</t>
        </is>
      </c>
      <c r="B624" s="7" t="inlineStr">
        <is>
          <t>2024-09-18</t>
        </is>
      </c>
      <c r="C624" s="7" t="inlineStr">
        <is>
          <t>TEC-ACC-008</t>
        </is>
      </c>
      <c r="D624" s="7" t="inlineStr">
        <is>
          <t>Precision Laser Bluetooth Mouse</t>
        </is>
      </c>
      <c r="E624" s="7" t="inlineStr">
        <is>
          <t>Technology</t>
        </is>
      </c>
      <c r="F624" s="7" t="inlineStr">
        <is>
          <t>Audio &amp; Accessories</t>
        </is>
      </c>
      <c r="G624" s="7" t="inlineStr">
        <is>
          <t>West</t>
        </is>
      </c>
      <c r="H624" s="7" t="inlineStr">
        <is>
          <t>Colorado</t>
        </is>
      </c>
      <c r="I624" s="7" t="inlineStr">
        <is>
          <t>Direct Sales</t>
        </is>
      </c>
      <c r="J624" s="7" t="inlineStr">
        <is>
          <t>Consumer</t>
        </is>
      </c>
      <c r="K624" s="8" t="n">
        <v>4</v>
      </c>
      <c r="L624" s="9" t="n">
        <v>49.99</v>
      </c>
      <c r="M624" s="10" t="n">
        <v>0.1</v>
      </c>
      <c r="N624" s="9" t="n">
        <v>27.49</v>
      </c>
      <c r="O624" s="9" t="n">
        <v>199.96</v>
      </c>
      <c r="P624" s="9" t="n">
        <v>20</v>
      </c>
      <c r="Q624" s="9" t="n">
        <v>179.96</v>
      </c>
      <c r="R624" s="9" t="n">
        <v>109.96</v>
      </c>
      <c r="S624" s="9" t="n">
        <v>70</v>
      </c>
      <c r="T624" s="10" t="n">
        <v>0.389</v>
      </c>
    </row>
    <row r="625">
      <c r="A625" s="7" t="inlineStr">
        <is>
          <t>ORD-2024-1213</t>
        </is>
      </c>
      <c r="B625" s="7" t="inlineStr">
        <is>
          <t>2024-09-18</t>
        </is>
      </c>
      <c r="C625" s="7" t="inlineStr">
        <is>
          <t>OFF-PAP-004</t>
        </is>
      </c>
      <c r="D625" s="7" t="inlineStr">
        <is>
          <t>EcoRecycled Copy Paper (5 Reams)</t>
        </is>
      </c>
      <c r="E625" s="7" t="inlineStr">
        <is>
          <t>Office Supplies</t>
        </is>
      </c>
      <c r="F625" s="7" t="inlineStr">
        <is>
          <t>Paper Products</t>
        </is>
      </c>
      <c r="G625" s="7" t="inlineStr">
        <is>
          <t>South</t>
        </is>
      </c>
      <c r="H625" s="7" t="inlineStr">
        <is>
          <t>Florida</t>
        </is>
      </c>
      <c r="I625" s="7" t="inlineStr">
        <is>
          <t>Online</t>
        </is>
      </c>
      <c r="J625" s="7" t="inlineStr">
        <is>
          <t>Corporate</t>
        </is>
      </c>
      <c r="K625" s="8" t="n">
        <v>5</v>
      </c>
      <c r="L625" s="9" t="n">
        <v>32.99</v>
      </c>
      <c r="M625" s="10" t="n">
        <v>0.05</v>
      </c>
      <c r="N625" s="9" t="n">
        <v>19.79</v>
      </c>
      <c r="O625" s="9" t="n">
        <v>164.95</v>
      </c>
      <c r="P625" s="9" t="n">
        <v>8.25</v>
      </c>
      <c r="Q625" s="9" t="n">
        <v>156.7</v>
      </c>
      <c r="R625" s="9" t="n">
        <v>98.95</v>
      </c>
      <c r="S625" s="9" t="n">
        <v>57.75</v>
      </c>
      <c r="T625" s="10" t="n">
        <v>0.3685</v>
      </c>
    </row>
    <row r="626">
      <c r="A626" s="7" t="inlineStr">
        <is>
          <t>ORD-2024-1301</t>
        </is>
      </c>
      <c r="B626" s="7" t="inlineStr">
        <is>
          <t>2024-09-18</t>
        </is>
      </c>
      <c r="C626" s="7" t="inlineStr">
        <is>
          <t>OFF-BIN-005</t>
        </is>
      </c>
      <c r="D626" s="7" t="inlineStr">
        <is>
          <t>Heavy-Duty D-Ring Presentation Binder (6-Pk)</t>
        </is>
      </c>
      <c r="E626" s="7" t="inlineStr">
        <is>
          <t>Office Supplies</t>
        </is>
      </c>
      <c r="F626" s="7" t="inlineStr">
        <is>
          <t>Binders &amp; Fasteners</t>
        </is>
      </c>
      <c r="G626" s="7" t="inlineStr">
        <is>
          <t>East</t>
        </is>
      </c>
      <c r="H626" s="7" t="inlineStr">
        <is>
          <t>New York</t>
        </is>
      </c>
      <c r="I626" s="7" t="inlineStr">
        <is>
          <t>Retail Partner</t>
        </is>
      </c>
      <c r="J626" s="7" t="inlineStr">
        <is>
          <t>Consumer</t>
        </is>
      </c>
      <c r="K626" s="8" t="n">
        <v>3</v>
      </c>
      <c r="L626" s="9" t="n">
        <v>27.99</v>
      </c>
      <c r="M626" s="10" t="n">
        <v>0</v>
      </c>
      <c r="N626" s="9" t="n">
        <v>13.99</v>
      </c>
      <c r="O626" s="9" t="n">
        <v>83.97</v>
      </c>
      <c r="P626" s="9" t="n">
        <v>0</v>
      </c>
      <c r="Q626" s="9" t="n">
        <v>83.97</v>
      </c>
      <c r="R626" s="9" t="n">
        <v>41.97</v>
      </c>
      <c r="S626" s="9" t="n">
        <v>42</v>
      </c>
      <c r="T626" s="10" t="n">
        <v>0.5002</v>
      </c>
    </row>
    <row r="627">
      <c r="A627" s="7" t="inlineStr">
        <is>
          <t>ORD-2024-1684</t>
        </is>
      </c>
      <c r="B627" s="7" t="inlineStr">
        <is>
          <t>2024-09-18</t>
        </is>
      </c>
      <c r="C627" s="7" t="inlineStr">
        <is>
          <t>OFF-ART-006</t>
        </is>
      </c>
      <c r="D627" s="7" t="inlineStr">
        <is>
          <t>Professional Presentation Dry Erase Board</t>
        </is>
      </c>
      <c r="E627" s="7" t="inlineStr">
        <is>
          <t>Office Supplies</t>
        </is>
      </c>
      <c r="F627" s="7" t="inlineStr">
        <is>
          <t>Presentation &amp; Art</t>
        </is>
      </c>
      <c r="G627" s="7" t="inlineStr">
        <is>
          <t>Central</t>
        </is>
      </c>
      <c r="H627" s="7" t="inlineStr">
        <is>
          <t>Ohio</t>
        </is>
      </c>
      <c r="I627" s="7" t="inlineStr">
        <is>
          <t>Direct Sales</t>
        </is>
      </c>
      <c r="J627" s="7" t="inlineStr">
        <is>
          <t>Consumer</t>
        </is>
      </c>
      <c r="K627" s="8" t="n">
        <v>2</v>
      </c>
      <c r="L627" s="9" t="n">
        <v>89.98999999999999</v>
      </c>
      <c r="M627" s="10" t="n">
        <v>0</v>
      </c>
      <c r="N627" s="9" t="n">
        <v>53.99</v>
      </c>
      <c r="O627" s="9" t="n">
        <v>179.98</v>
      </c>
      <c r="P627" s="9" t="n">
        <v>0</v>
      </c>
      <c r="Q627" s="9" t="n">
        <v>179.98</v>
      </c>
      <c r="R627" s="9" t="n">
        <v>107.98</v>
      </c>
      <c r="S627" s="9" t="n">
        <v>72</v>
      </c>
      <c r="T627" s="10" t="n">
        <v>0.4</v>
      </c>
    </row>
    <row r="628">
      <c r="A628" s="7" t="inlineStr">
        <is>
          <t>ORD-2024-1684</t>
        </is>
      </c>
      <c r="B628" s="7" t="inlineStr">
        <is>
          <t>2024-09-18</t>
        </is>
      </c>
      <c r="C628" s="7" t="inlineStr">
        <is>
          <t>FUR-DSK-003</t>
        </is>
      </c>
      <c r="D628" s="7" t="inlineStr">
        <is>
          <t>ApexMotor Dual-Motor Standing Desk</t>
        </is>
      </c>
      <c r="E628" s="7" t="inlineStr">
        <is>
          <t>Furniture</t>
        </is>
      </c>
      <c r="F628" s="7" t="inlineStr">
        <is>
          <t>Desks &amp; Workstations</t>
        </is>
      </c>
      <c r="G628" s="7" t="inlineStr">
        <is>
          <t>Central</t>
        </is>
      </c>
      <c r="H628" s="7" t="inlineStr">
        <is>
          <t>Ohio</t>
        </is>
      </c>
      <c r="I628" s="7" t="inlineStr">
        <is>
          <t>Direct Sales</t>
        </is>
      </c>
      <c r="J628" s="7" t="inlineStr">
        <is>
          <t>Consumer</t>
        </is>
      </c>
      <c r="K628" s="8" t="n">
        <v>3</v>
      </c>
      <c r="L628" s="9" t="n">
        <v>549.99</v>
      </c>
      <c r="M628" s="10" t="n">
        <v>0.05</v>
      </c>
      <c r="N628" s="9" t="n">
        <v>439.99</v>
      </c>
      <c r="O628" s="9" t="n">
        <v>1649.97</v>
      </c>
      <c r="P628" s="9" t="n">
        <v>82.5</v>
      </c>
      <c r="Q628" s="9" t="n">
        <v>1567.47</v>
      </c>
      <c r="R628" s="9" t="n">
        <v>1319.97</v>
      </c>
      <c r="S628" s="9" t="n">
        <v>247.5</v>
      </c>
      <c r="T628" s="10" t="n">
        <v>0.1579</v>
      </c>
    </row>
    <row r="629">
      <c r="A629" s="7" t="inlineStr">
        <is>
          <t>ORD-2024-1684</t>
        </is>
      </c>
      <c r="B629" s="7" t="inlineStr">
        <is>
          <t>2024-09-18</t>
        </is>
      </c>
      <c r="C629" s="7" t="inlineStr">
        <is>
          <t>FUR-CHA-002</t>
        </is>
      </c>
      <c r="D629" s="7" t="inlineStr">
        <is>
          <t>AeroTask Operator Task Chair</t>
        </is>
      </c>
      <c r="E629" s="7" t="inlineStr">
        <is>
          <t>Furniture</t>
        </is>
      </c>
      <c r="F629" s="7" t="inlineStr">
        <is>
          <t>Chairs</t>
        </is>
      </c>
      <c r="G629" s="7" t="inlineStr">
        <is>
          <t>Central</t>
        </is>
      </c>
      <c r="H629" s="7" t="inlineStr">
        <is>
          <t>Ohio</t>
        </is>
      </c>
      <c r="I629" s="7" t="inlineStr">
        <is>
          <t>Direct Sales</t>
        </is>
      </c>
      <c r="J629" s="7" t="inlineStr">
        <is>
          <t>Consumer</t>
        </is>
      </c>
      <c r="K629" s="8" t="n">
        <v>3</v>
      </c>
      <c r="L629" s="9" t="n">
        <v>219.99</v>
      </c>
      <c r="M629" s="10" t="n">
        <v>0</v>
      </c>
      <c r="N629" s="9" t="n">
        <v>171.59</v>
      </c>
      <c r="O629" s="9" t="n">
        <v>659.97</v>
      </c>
      <c r="P629" s="9" t="n">
        <v>0</v>
      </c>
      <c r="Q629" s="9" t="n">
        <v>659.97</v>
      </c>
      <c r="R629" s="9" t="n">
        <v>514.77</v>
      </c>
      <c r="S629" s="9" t="n">
        <v>145.2</v>
      </c>
      <c r="T629" s="10" t="n">
        <v>0.22</v>
      </c>
    </row>
    <row r="630">
      <c r="A630" s="7" t="inlineStr">
        <is>
          <t>ORD-2024-1113</t>
        </is>
      </c>
      <c r="B630" s="7" t="inlineStr">
        <is>
          <t>2024-09-19</t>
        </is>
      </c>
      <c r="C630" s="7" t="inlineStr">
        <is>
          <t>FUR-BOK-005</t>
        </is>
      </c>
      <c r="D630" s="7" t="inlineStr">
        <is>
          <t>Modular 5-Tier Steel Bookcase</t>
        </is>
      </c>
      <c r="E630" s="7" t="inlineStr">
        <is>
          <t>Furniture</t>
        </is>
      </c>
      <c r="F630" s="7" t="inlineStr">
        <is>
          <t>Bookcases</t>
        </is>
      </c>
      <c r="G630" s="7" t="inlineStr">
        <is>
          <t>Central</t>
        </is>
      </c>
      <c r="H630" s="7" t="inlineStr">
        <is>
          <t>Texas</t>
        </is>
      </c>
      <c r="I630" s="7" t="inlineStr">
        <is>
          <t>Online</t>
        </is>
      </c>
      <c r="J630" s="7" t="inlineStr">
        <is>
          <t>Corporate</t>
        </is>
      </c>
      <c r="K630" s="8" t="n">
        <v>5</v>
      </c>
      <c r="L630" s="9" t="n">
        <v>189.99</v>
      </c>
      <c r="M630" s="10" t="n">
        <v>0</v>
      </c>
      <c r="N630" s="9" t="n">
        <v>142.49</v>
      </c>
      <c r="O630" s="9" t="n">
        <v>949.95</v>
      </c>
      <c r="P630" s="9" t="n">
        <v>0</v>
      </c>
      <c r="Q630" s="9" t="n">
        <v>949.95</v>
      </c>
      <c r="R630" s="9" t="n">
        <v>712.45</v>
      </c>
      <c r="S630" s="9" t="n">
        <v>237.5</v>
      </c>
      <c r="T630" s="10" t="n">
        <v>0.25</v>
      </c>
    </row>
    <row r="631">
      <c r="A631" s="7" t="inlineStr">
        <is>
          <t>ORD-2024-1676</t>
        </is>
      </c>
      <c r="B631" s="7" t="inlineStr">
        <is>
          <t>2024-09-19</t>
        </is>
      </c>
      <c r="C631" s="7" t="inlineStr">
        <is>
          <t>FUR-CHA-001</t>
        </is>
      </c>
      <c r="D631" s="7" t="inlineStr">
        <is>
          <t>ErgoFlex Executive Mesh Chair</t>
        </is>
      </c>
      <c r="E631" s="7" t="inlineStr">
        <is>
          <t>Furniture</t>
        </is>
      </c>
      <c r="F631" s="7" t="inlineStr">
        <is>
          <t>Chairs</t>
        </is>
      </c>
      <c r="G631" s="7" t="inlineStr">
        <is>
          <t>West</t>
        </is>
      </c>
      <c r="H631" s="7" t="inlineStr">
        <is>
          <t>California</t>
        </is>
      </c>
      <c r="I631" s="7" t="inlineStr">
        <is>
          <t>Wholesale</t>
        </is>
      </c>
      <c r="J631" s="7" t="inlineStr">
        <is>
          <t>Corporate</t>
        </is>
      </c>
      <c r="K631" s="8" t="n">
        <v>13</v>
      </c>
      <c r="L631" s="9" t="n">
        <v>389.99</v>
      </c>
      <c r="M631" s="10" t="n">
        <v>0.15</v>
      </c>
      <c r="N631" s="9" t="n">
        <v>331.49</v>
      </c>
      <c r="O631" s="9" t="n">
        <v>5069.87</v>
      </c>
      <c r="P631" s="9" t="n">
        <v>760.48</v>
      </c>
      <c r="Q631" s="9" t="n">
        <v>4309.39</v>
      </c>
      <c r="R631" s="9" t="n">
        <v>4309.37</v>
      </c>
      <c r="S631" s="9" t="n">
        <v>0.02</v>
      </c>
      <c r="T631" s="10" t="n">
        <v>0</v>
      </c>
    </row>
    <row r="632">
      <c r="A632" s="7" t="inlineStr">
        <is>
          <t>ORD-2024-1579</t>
        </is>
      </c>
      <c r="B632" s="7" t="inlineStr">
        <is>
          <t>2024-09-20</t>
        </is>
      </c>
      <c r="C632" s="7" t="inlineStr">
        <is>
          <t>OFF-DSK-008</t>
        </is>
      </c>
      <c r="D632" s="7" t="inlineStr">
        <is>
          <t>Steel Desktop Mesh Organizer Caddy</t>
        </is>
      </c>
      <c r="E632" s="7" t="inlineStr">
        <is>
          <t>Office Supplies</t>
        </is>
      </c>
      <c r="F632" s="7" t="inlineStr">
        <is>
          <t>Desk Supplies</t>
        </is>
      </c>
      <c r="G632" s="7" t="inlineStr">
        <is>
          <t>South</t>
        </is>
      </c>
      <c r="H632" s="7" t="inlineStr">
        <is>
          <t>Virginia</t>
        </is>
      </c>
      <c r="I632" s="7" t="inlineStr">
        <is>
          <t>Online</t>
        </is>
      </c>
      <c r="J632" s="7" t="inlineStr">
        <is>
          <t>Consumer</t>
        </is>
      </c>
      <c r="K632" s="8" t="n">
        <v>4</v>
      </c>
      <c r="L632" s="9" t="n">
        <v>18.99</v>
      </c>
      <c r="M632" s="10" t="n">
        <v>0.1</v>
      </c>
      <c r="N632" s="9" t="n">
        <v>8.550000000000001</v>
      </c>
      <c r="O632" s="9" t="n">
        <v>75.95999999999999</v>
      </c>
      <c r="P632" s="9" t="n">
        <v>7.6</v>
      </c>
      <c r="Q632" s="9" t="n">
        <v>68.36</v>
      </c>
      <c r="R632" s="9" t="n">
        <v>34.2</v>
      </c>
      <c r="S632" s="9" t="n">
        <v>34.16</v>
      </c>
      <c r="T632" s="10" t="n">
        <v>0.4997</v>
      </c>
    </row>
    <row r="633">
      <c r="A633" s="7" t="inlineStr">
        <is>
          <t>ORD-2024-1502</t>
        </is>
      </c>
      <c r="B633" s="7" t="inlineStr">
        <is>
          <t>2024-09-21</t>
        </is>
      </c>
      <c r="C633" s="7" t="inlineStr">
        <is>
          <t>TEC-ACC-005</t>
        </is>
      </c>
      <c r="D633" s="7" t="inlineStr">
        <is>
          <t>UltraWireless Noise-Canceling Headset</t>
        </is>
      </c>
      <c r="E633" s="7" t="inlineStr">
        <is>
          <t>Technology</t>
        </is>
      </c>
      <c r="F633" s="7" t="inlineStr">
        <is>
          <t>Audio &amp; Accessories</t>
        </is>
      </c>
      <c r="G633" s="7" t="inlineStr">
        <is>
          <t>East</t>
        </is>
      </c>
      <c r="H633" s="7" t="inlineStr">
        <is>
          <t>New Jersey</t>
        </is>
      </c>
      <c r="I633" s="7" t="inlineStr">
        <is>
          <t>Online</t>
        </is>
      </c>
      <c r="J633" s="7" t="inlineStr">
        <is>
          <t>Home Office</t>
        </is>
      </c>
      <c r="K633" s="8" t="n">
        <v>4</v>
      </c>
      <c r="L633" s="9" t="n">
        <v>179.99</v>
      </c>
      <c r="M633" s="10" t="n">
        <v>0.1</v>
      </c>
      <c r="N633" s="9" t="n">
        <v>111.59</v>
      </c>
      <c r="O633" s="9" t="n">
        <v>719.96</v>
      </c>
      <c r="P633" s="9" t="n">
        <v>72</v>
      </c>
      <c r="Q633" s="9" t="n">
        <v>647.96</v>
      </c>
      <c r="R633" s="9" t="n">
        <v>446.36</v>
      </c>
      <c r="S633" s="9" t="n">
        <v>201.6</v>
      </c>
      <c r="T633" s="10" t="n">
        <v>0.3111</v>
      </c>
    </row>
    <row r="634">
      <c r="A634" s="7" t="inlineStr">
        <is>
          <t>ORD-2024-1471</t>
        </is>
      </c>
      <c r="B634" s="7" t="inlineStr">
        <is>
          <t>2024-09-22</t>
        </is>
      </c>
      <c r="C634" s="7" t="inlineStr">
        <is>
          <t>FUR-LGT-006</t>
        </is>
      </c>
      <c r="D634" s="7" t="inlineStr">
        <is>
          <t>Architect LED Desk Task Lamp</t>
        </is>
      </c>
      <c r="E634" s="7" t="inlineStr">
        <is>
          <t>Furniture</t>
        </is>
      </c>
      <c r="F634" s="7" t="inlineStr">
        <is>
          <t>Lighting</t>
        </is>
      </c>
      <c r="G634" s="7" t="inlineStr">
        <is>
          <t>Central</t>
        </is>
      </c>
      <c r="H634" s="7" t="inlineStr">
        <is>
          <t>Illinois</t>
        </is>
      </c>
      <c r="I634" s="7" t="inlineStr">
        <is>
          <t>Wholesale</t>
        </is>
      </c>
      <c r="J634" s="7" t="inlineStr">
        <is>
          <t>Consumer</t>
        </is>
      </c>
      <c r="K634" s="8" t="n">
        <v>14</v>
      </c>
      <c r="L634" s="9" t="n">
        <v>69.98999999999999</v>
      </c>
      <c r="M634" s="10" t="n">
        <v>0.1</v>
      </c>
      <c r="N634" s="9" t="n">
        <v>43.39</v>
      </c>
      <c r="O634" s="9" t="n">
        <v>979.86</v>
      </c>
      <c r="P634" s="9" t="n">
        <v>97.98999999999999</v>
      </c>
      <c r="Q634" s="9" t="n">
        <v>881.87</v>
      </c>
      <c r="R634" s="9" t="n">
        <v>607.46</v>
      </c>
      <c r="S634" s="9" t="n">
        <v>274.41</v>
      </c>
      <c r="T634" s="10" t="n">
        <v>0.3112</v>
      </c>
    </row>
    <row r="635">
      <c r="A635" s="7" t="inlineStr">
        <is>
          <t>ORD-2024-1540</t>
        </is>
      </c>
      <c r="B635" s="7" t="inlineStr">
        <is>
          <t>2024-09-22</t>
        </is>
      </c>
      <c r="C635" s="7" t="inlineStr">
        <is>
          <t>OFF-ART-006</t>
        </is>
      </c>
      <c r="D635" s="7" t="inlineStr">
        <is>
          <t>Professional Presentation Dry Erase Board</t>
        </is>
      </c>
      <c r="E635" s="7" t="inlineStr">
        <is>
          <t>Office Supplies</t>
        </is>
      </c>
      <c r="F635" s="7" t="inlineStr">
        <is>
          <t>Presentation &amp; Art</t>
        </is>
      </c>
      <c r="G635" s="7" t="inlineStr">
        <is>
          <t>South</t>
        </is>
      </c>
      <c r="H635" s="7" t="inlineStr">
        <is>
          <t>Virginia</t>
        </is>
      </c>
      <c r="I635" s="7" t="inlineStr">
        <is>
          <t>Wholesale</t>
        </is>
      </c>
      <c r="J635" s="7" t="inlineStr">
        <is>
          <t>Consumer</t>
        </is>
      </c>
      <c r="K635" s="8" t="n">
        <v>5</v>
      </c>
      <c r="L635" s="9" t="n">
        <v>89.98999999999999</v>
      </c>
      <c r="M635" s="10" t="n">
        <v>0.1</v>
      </c>
      <c r="N635" s="9" t="n">
        <v>53.99</v>
      </c>
      <c r="O635" s="9" t="n">
        <v>449.95</v>
      </c>
      <c r="P635" s="9" t="n">
        <v>45</v>
      </c>
      <c r="Q635" s="9" t="n">
        <v>404.95</v>
      </c>
      <c r="R635" s="9" t="n">
        <v>269.95</v>
      </c>
      <c r="S635" s="9" t="n">
        <v>135</v>
      </c>
      <c r="T635" s="10" t="n">
        <v>0.3334</v>
      </c>
    </row>
    <row r="636">
      <c r="A636" s="7" t="inlineStr">
        <is>
          <t>ORD-2024-1246</t>
        </is>
      </c>
      <c r="B636" s="7" t="inlineStr">
        <is>
          <t>2024-09-23</t>
        </is>
      </c>
      <c r="C636" s="7" t="inlineStr">
        <is>
          <t>OFF-STR-001</t>
        </is>
      </c>
      <c r="D636" s="7" t="inlineStr">
        <is>
          <t>SteelLock 3-Drawer File Cabinet</t>
        </is>
      </c>
      <c r="E636" s="7" t="inlineStr">
        <is>
          <t>Office Supplies</t>
        </is>
      </c>
      <c r="F636" s="7" t="inlineStr">
        <is>
          <t>Storage &amp; Organizers</t>
        </is>
      </c>
      <c r="G636" s="7" t="inlineStr">
        <is>
          <t>East</t>
        </is>
      </c>
      <c r="H636" s="7" t="inlineStr">
        <is>
          <t>Massachusetts</t>
        </is>
      </c>
      <c r="I636" s="7" t="inlineStr">
        <is>
          <t>Direct Sales</t>
        </is>
      </c>
      <c r="J636" s="7" t="inlineStr">
        <is>
          <t>Consumer</t>
        </is>
      </c>
      <c r="K636" s="8" t="n">
        <v>3</v>
      </c>
      <c r="L636" s="9" t="n">
        <v>169.99</v>
      </c>
      <c r="M636" s="10" t="n">
        <v>0.1</v>
      </c>
      <c r="N636" s="9" t="n">
        <v>115.59</v>
      </c>
      <c r="O636" s="9" t="n">
        <v>509.97</v>
      </c>
      <c r="P636" s="9" t="n">
        <v>51</v>
      </c>
      <c r="Q636" s="9" t="n">
        <v>458.97</v>
      </c>
      <c r="R636" s="9" t="n">
        <v>346.77</v>
      </c>
      <c r="S636" s="9" t="n">
        <v>112.2</v>
      </c>
      <c r="T636" s="10" t="n">
        <v>0.2445</v>
      </c>
    </row>
    <row r="637">
      <c r="A637" s="7" t="inlineStr">
        <is>
          <t>ORD-2024-1375</t>
        </is>
      </c>
      <c r="B637" s="7" t="inlineStr">
        <is>
          <t>2024-09-23</t>
        </is>
      </c>
      <c r="C637" s="7" t="inlineStr">
        <is>
          <t>FUR-CHA-002</t>
        </is>
      </c>
      <c r="D637" s="7" t="inlineStr">
        <is>
          <t>AeroTask Operator Task Chair</t>
        </is>
      </c>
      <c r="E637" s="7" t="inlineStr">
        <is>
          <t>Furniture</t>
        </is>
      </c>
      <c r="F637" s="7" t="inlineStr">
        <is>
          <t>Chairs</t>
        </is>
      </c>
      <c r="G637" s="7" t="inlineStr">
        <is>
          <t>East</t>
        </is>
      </c>
      <c r="H637" s="7" t="inlineStr">
        <is>
          <t>New York</t>
        </is>
      </c>
      <c r="I637" s="7" t="inlineStr">
        <is>
          <t>Direct Sales</t>
        </is>
      </c>
      <c r="J637" s="7" t="inlineStr">
        <is>
          <t>Corporate</t>
        </is>
      </c>
      <c r="K637" s="8" t="n">
        <v>2</v>
      </c>
      <c r="L637" s="9" t="n">
        <v>219.99</v>
      </c>
      <c r="M637" s="10" t="n">
        <v>0</v>
      </c>
      <c r="N637" s="9" t="n">
        <v>171.59</v>
      </c>
      <c r="O637" s="9" t="n">
        <v>439.98</v>
      </c>
      <c r="P637" s="9" t="n">
        <v>0</v>
      </c>
      <c r="Q637" s="9" t="n">
        <v>439.98</v>
      </c>
      <c r="R637" s="9" t="n">
        <v>343.18</v>
      </c>
      <c r="S637" s="9" t="n">
        <v>96.8</v>
      </c>
      <c r="T637" s="10" t="n">
        <v>0.22</v>
      </c>
    </row>
    <row r="638">
      <c r="A638" s="7" t="inlineStr">
        <is>
          <t>ORD-2024-1513</t>
        </is>
      </c>
      <c r="B638" s="7" t="inlineStr">
        <is>
          <t>2024-09-23</t>
        </is>
      </c>
      <c r="C638" s="7" t="inlineStr">
        <is>
          <t>TEC-LAP-002</t>
        </is>
      </c>
      <c r="D638" s="7" t="inlineStr">
        <is>
          <t>Apex Gaming Laptop 17"</t>
        </is>
      </c>
      <c r="E638" s="7" t="inlineStr">
        <is>
          <t>Technology</t>
        </is>
      </c>
      <c r="F638" s="7" t="inlineStr">
        <is>
          <t>Laptops</t>
        </is>
      </c>
      <c r="G638" s="7" t="inlineStr">
        <is>
          <t>East</t>
        </is>
      </c>
      <c r="H638" s="7" t="inlineStr">
        <is>
          <t>Pennsylvania</t>
        </is>
      </c>
      <c r="I638" s="7" t="inlineStr">
        <is>
          <t>Retail Partner</t>
        </is>
      </c>
      <c r="J638" s="7" t="inlineStr">
        <is>
          <t>Consumer</t>
        </is>
      </c>
      <c r="K638" s="8" t="n">
        <v>1</v>
      </c>
      <c r="L638" s="9" t="n">
        <v>1499.99</v>
      </c>
      <c r="M638" s="10" t="n">
        <v>0.2</v>
      </c>
      <c r="N638" s="9" t="n">
        <v>1259.99</v>
      </c>
      <c r="O638" s="9" t="n">
        <v>1499.99</v>
      </c>
      <c r="P638" s="9" t="n">
        <v>300</v>
      </c>
      <c r="Q638" s="9" t="n">
        <v>1199.99</v>
      </c>
      <c r="R638" s="9" t="n">
        <v>1259.99</v>
      </c>
      <c r="S638" s="9" t="n">
        <v>-60</v>
      </c>
      <c r="T638" s="10" t="n">
        <v>-0.05</v>
      </c>
    </row>
    <row r="639">
      <c r="A639" s="7" t="inlineStr">
        <is>
          <t>ORD-2024-1682</t>
        </is>
      </c>
      <c r="B639" s="7" t="inlineStr">
        <is>
          <t>2024-09-24</t>
        </is>
      </c>
      <c r="C639" s="7" t="inlineStr">
        <is>
          <t>OFF-ART-006</t>
        </is>
      </c>
      <c r="D639" s="7" t="inlineStr">
        <is>
          <t>Professional Presentation Dry Erase Board</t>
        </is>
      </c>
      <c r="E639" s="7" t="inlineStr">
        <is>
          <t>Office Supplies</t>
        </is>
      </c>
      <c r="F639" s="7" t="inlineStr">
        <is>
          <t>Presentation &amp; Art</t>
        </is>
      </c>
      <c r="G639" s="7" t="inlineStr">
        <is>
          <t>South</t>
        </is>
      </c>
      <c r="H639" s="7" t="inlineStr">
        <is>
          <t>North Carolina</t>
        </is>
      </c>
      <c r="I639" s="7" t="inlineStr">
        <is>
          <t>Online</t>
        </is>
      </c>
      <c r="J639" s="7" t="inlineStr">
        <is>
          <t>Consumer</t>
        </is>
      </c>
      <c r="K639" s="8" t="n">
        <v>4</v>
      </c>
      <c r="L639" s="9" t="n">
        <v>89.98999999999999</v>
      </c>
      <c r="M639" s="10" t="n">
        <v>0</v>
      </c>
      <c r="N639" s="9" t="n">
        <v>53.99</v>
      </c>
      <c r="O639" s="9" t="n">
        <v>359.96</v>
      </c>
      <c r="P639" s="9" t="n">
        <v>0</v>
      </c>
      <c r="Q639" s="9" t="n">
        <v>359.96</v>
      </c>
      <c r="R639" s="9" t="n">
        <v>215.96</v>
      </c>
      <c r="S639" s="9" t="n">
        <v>144</v>
      </c>
      <c r="T639" s="10" t="n">
        <v>0.4</v>
      </c>
    </row>
    <row r="640">
      <c r="A640" s="7" t="inlineStr">
        <is>
          <t>ORD-2024-1041</t>
        </is>
      </c>
      <c r="B640" s="7" t="inlineStr">
        <is>
          <t>2024-09-25</t>
        </is>
      </c>
      <c r="C640" s="7" t="inlineStr">
        <is>
          <t>FUR-CHA-002</t>
        </is>
      </c>
      <c r="D640" s="7" t="inlineStr">
        <is>
          <t>AeroTask Operator Task Chair</t>
        </is>
      </c>
      <c r="E640" s="7" t="inlineStr">
        <is>
          <t>Furniture</t>
        </is>
      </c>
      <c r="F640" s="7" t="inlineStr">
        <is>
          <t>Chairs</t>
        </is>
      </c>
      <c r="G640" s="7" t="inlineStr">
        <is>
          <t>South</t>
        </is>
      </c>
      <c r="H640" s="7" t="inlineStr">
        <is>
          <t>Georgia</t>
        </is>
      </c>
      <c r="I640" s="7" t="inlineStr">
        <is>
          <t>Online</t>
        </is>
      </c>
      <c r="J640" s="7" t="inlineStr">
        <is>
          <t>Corporate</t>
        </is>
      </c>
      <c r="K640" s="8" t="n">
        <v>5</v>
      </c>
      <c r="L640" s="9" t="n">
        <v>219.99</v>
      </c>
      <c r="M640" s="10" t="n">
        <v>0.05</v>
      </c>
      <c r="N640" s="9" t="n">
        <v>171.59</v>
      </c>
      <c r="O640" s="9" t="n">
        <v>1099.95</v>
      </c>
      <c r="P640" s="9" t="n">
        <v>55</v>
      </c>
      <c r="Q640" s="9" t="n">
        <v>1044.95</v>
      </c>
      <c r="R640" s="9" t="n">
        <v>857.95</v>
      </c>
      <c r="S640" s="9" t="n">
        <v>187</v>
      </c>
      <c r="T640" s="10" t="n">
        <v>0.179</v>
      </c>
    </row>
    <row r="641">
      <c r="A641" s="7" t="inlineStr">
        <is>
          <t>ORD-2024-1041</t>
        </is>
      </c>
      <c r="B641" s="7" t="inlineStr">
        <is>
          <t>2024-09-25</t>
        </is>
      </c>
      <c r="C641" s="7" t="inlineStr">
        <is>
          <t>OFF-DSK-008</t>
        </is>
      </c>
      <c r="D641" s="7" t="inlineStr">
        <is>
          <t>Steel Desktop Mesh Organizer Caddy</t>
        </is>
      </c>
      <c r="E641" s="7" t="inlineStr">
        <is>
          <t>Office Supplies</t>
        </is>
      </c>
      <c r="F641" s="7" t="inlineStr">
        <is>
          <t>Desk Supplies</t>
        </is>
      </c>
      <c r="G641" s="7" t="inlineStr">
        <is>
          <t>South</t>
        </is>
      </c>
      <c r="H641" s="7" t="inlineStr">
        <is>
          <t>Georgia</t>
        </is>
      </c>
      <c r="I641" s="7" t="inlineStr">
        <is>
          <t>Online</t>
        </is>
      </c>
      <c r="J641" s="7" t="inlineStr">
        <is>
          <t>Corporate</t>
        </is>
      </c>
      <c r="K641" s="8" t="n">
        <v>7</v>
      </c>
      <c r="L641" s="9" t="n">
        <v>18.99</v>
      </c>
      <c r="M641" s="10" t="n">
        <v>0.05</v>
      </c>
      <c r="N641" s="9" t="n">
        <v>8.550000000000001</v>
      </c>
      <c r="O641" s="9" t="n">
        <v>132.93</v>
      </c>
      <c r="P641" s="9" t="n">
        <v>6.65</v>
      </c>
      <c r="Q641" s="9" t="n">
        <v>126.28</v>
      </c>
      <c r="R641" s="9" t="n">
        <v>59.85</v>
      </c>
      <c r="S641" s="9" t="n">
        <v>66.43000000000001</v>
      </c>
      <c r="T641" s="10" t="n">
        <v>0.5261</v>
      </c>
    </row>
    <row r="642">
      <c r="A642" s="7" t="inlineStr">
        <is>
          <t>ORD-2024-1197</t>
        </is>
      </c>
      <c r="B642" s="7" t="inlineStr">
        <is>
          <t>2024-09-25</t>
        </is>
      </c>
      <c r="C642" s="7" t="inlineStr">
        <is>
          <t>OFF-BIN-005</t>
        </is>
      </c>
      <c r="D642" s="7" t="inlineStr">
        <is>
          <t>Heavy-Duty D-Ring Presentation Binder (6-Pk)</t>
        </is>
      </c>
      <c r="E642" s="7" t="inlineStr">
        <is>
          <t>Office Supplies</t>
        </is>
      </c>
      <c r="F642" s="7" t="inlineStr">
        <is>
          <t>Binders &amp; Fasteners</t>
        </is>
      </c>
      <c r="G642" s="7" t="inlineStr">
        <is>
          <t>West</t>
        </is>
      </c>
      <c r="H642" s="7" t="inlineStr">
        <is>
          <t>Oregon</t>
        </is>
      </c>
      <c r="I642" s="7" t="inlineStr">
        <is>
          <t>Retail Partner</t>
        </is>
      </c>
      <c r="J642" s="7" t="inlineStr">
        <is>
          <t>Consumer</t>
        </is>
      </c>
      <c r="K642" s="8" t="n">
        <v>1</v>
      </c>
      <c r="L642" s="9" t="n">
        <v>27.99</v>
      </c>
      <c r="M642" s="10" t="n">
        <v>0</v>
      </c>
      <c r="N642" s="9" t="n">
        <v>13.99</v>
      </c>
      <c r="O642" s="9" t="n">
        <v>27.99</v>
      </c>
      <c r="P642" s="9" t="n">
        <v>0</v>
      </c>
      <c r="Q642" s="9" t="n">
        <v>27.99</v>
      </c>
      <c r="R642" s="9" t="n">
        <v>13.99</v>
      </c>
      <c r="S642" s="9" t="n">
        <v>14</v>
      </c>
      <c r="T642" s="10" t="n">
        <v>0.5002</v>
      </c>
    </row>
    <row r="643">
      <c r="A643" s="7" t="inlineStr">
        <is>
          <t>ORD-2024-1250</t>
        </is>
      </c>
      <c r="B643" s="7" t="inlineStr">
        <is>
          <t>2024-09-25</t>
        </is>
      </c>
      <c r="C643" s="7" t="inlineStr">
        <is>
          <t>OFF-ART-006</t>
        </is>
      </c>
      <c r="D643" s="7" t="inlineStr">
        <is>
          <t>Professional Presentation Dry Erase Board</t>
        </is>
      </c>
      <c r="E643" s="7" t="inlineStr">
        <is>
          <t>Office Supplies</t>
        </is>
      </c>
      <c r="F643" s="7" t="inlineStr">
        <is>
          <t>Presentation &amp; Art</t>
        </is>
      </c>
      <c r="G643" s="7" t="inlineStr">
        <is>
          <t>West</t>
        </is>
      </c>
      <c r="H643" s="7" t="inlineStr">
        <is>
          <t>California</t>
        </is>
      </c>
      <c r="I643" s="7" t="inlineStr">
        <is>
          <t>Online</t>
        </is>
      </c>
      <c r="J643" s="7" t="inlineStr">
        <is>
          <t>Consumer</t>
        </is>
      </c>
      <c r="K643" s="8" t="n">
        <v>4</v>
      </c>
      <c r="L643" s="9" t="n">
        <v>89.98999999999999</v>
      </c>
      <c r="M643" s="10" t="n">
        <v>0</v>
      </c>
      <c r="N643" s="9" t="n">
        <v>53.99</v>
      </c>
      <c r="O643" s="9" t="n">
        <v>359.96</v>
      </c>
      <c r="P643" s="9" t="n">
        <v>0</v>
      </c>
      <c r="Q643" s="9" t="n">
        <v>359.96</v>
      </c>
      <c r="R643" s="9" t="n">
        <v>215.96</v>
      </c>
      <c r="S643" s="9" t="n">
        <v>144</v>
      </c>
      <c r="T643" s="10" t="n">
        <v>0.4</v>
      </c>
    </row>
    <row r="644">
      <c r="A644" s="7" t="inlineStr">
        <is>
          <t>ORD-2024-1250</t>
        </is>
      </c>
      <c r="B644" s="7" t="inlineStr">
        <is>
          <t>2024-09-25</t>
        </is>
      </c>
      <c r="C644" s="7" t="inlineStr">
        <is>
          <t>FUR-CHA-002</t>
        </is>
      </c>
      <c r="D644" s="7" t="inlineStr">
        <is>
          <t>AeroTask Operator Task Chair</t>
        </is>
      </c>
      <c r="E644" s="7" t="inlineStr">
        <is>
          <t>Furniture</t>
        </is>
      </c>
      <c r="F644" s="7" t="inlineStr">
        <is>
          <t>Chairs</t>
        </is>
      </c>
      <c r="G644" s="7" t="inlineStr">
        <is>
          <t>West</t>
        </is>
      </c>
      <c r="H644" s="7" t="inlineStr">
        <is>
          <t>California</t>
        </is>
      </c>
      <c r="I644" s="7" t="inlineStr">
        <is>
          <t>Online</t>
        </is>
      </c>
      <c r="J644" s="7" t="inlineStr">
        <is>
          <t>Consumer</t>
        </is>
      </c>
      <c r="K644" s="8" t="n">
        <v>2</v>
      </c>
      <c r="L644" s="9" t="n">
        <v>219.99</v>
      </c>
      <c r="M644" s="10" t="n">
        <v>0</v>
      </c>
      <c r="N644" s="9" t="n">
        <v>171.59</v>
      </c>
      <c r="O644" s="9" t="n">
        <v>439.98</v>
      </c>
      <c r="P644" s="9" t="n">
        <v>0</v>
      </c>
      <c r="Q644" s="9" t="n">
        <v>439.98</v>
      </c>
      <c r="R644" s="9" t="n">
        <v>343.18</v>
      </c>
      <c r="S644" s="9" t="n">
        <v>96.8</v>
      </c>
      <c r="T644" s="10" t="n">
        <v>0.22</v>
      </c>
    </row>
    <row r="645">
      <c r="A645" s="7" t="inlineStr">
        <is>
          <t>ORD-2024-1109</t>
        </is>
      </c>
      <c r="B645" s="7" t="inlineStr">
        <is>
          <t>2024-09-26</t>
        </is>
      </c>
      <c r="C645" s="7" t="inlineStr">
        <is>
          <t>OFF-DSK-008</t>
        </is>
      </c>
      <c r="D645" s="7" t="inlineStr">
        <is>
          <t>Steel Desktop Mesh Organizer Caddy</t>
        </is>
      </c>
      <c r="E645" s="7" t="inlineStr">
        <is>
          <t>Office Supplies</t>
        </is>
      </c>
      <c r="F645" s="7" t="inlineStr">
        <is>
          <t>Desk Supplies</t>
        </is>
      </c>
      <c r="G645" s="7" t="inlineStr">
        <is>
          <t>West</t>
        </is>
      </c>
      <c r="H645" s="7" t="inlineStr">
        <is>
          <t>Washington</t>
        </is>
      </c>
      <c r="I645" s="7" t="inlineStr">
        <is>
          <t>Direct Sales</t>
        </is>
      </c>
      <c r="J645" s="7" t="inlineStr">
        <is>
          <t>Corporate</t>
        </is>
      </c>
      <c r="K645" s="8" t="n">
        <v>2</v>
      </c>
      <c r="L645" s="9" t="n">
        <v>18.99</v>
      </c>
      <c r="M645" s="10" t="n">
        <v>0</v>
      </c>
      <c r="N645" s="9" t="n">
        <v>8.550000000000001</v>
      </c>
      <c r="O645" s="9" t="n">
        <v>37.98</v>
      </c>
      <c r="P645" s="9" t="n">
        <v>0</v>
      </c>
      <c r="Q645" s="9" t="n">
        <v>37.98</v>
      </c>
      <c r="R645" s="9" t="n">
        <v>17.1</v>
      </c>
      <c r="S645" s="9" t="n">
        <v>20.88</v>
      </c>
      <c r="T645" s="10" t="n">
        <v>0.5498</v>
      </c>
    </row>
    <row r="646">
      <c r="A646" s="7" t="inlineStr">
        <is>
          <t>ORD-2024-1308</t>
        </is>
      </c>
      <c r="B646" s="7" t="inlineStr">
        <is>
          <t>2024-09-26</t>
        </is>
      </c>
      <c r="C646" s="7" t="inlineStr">
        <is>
          <t>OFF-PAP-004</t>
        </is>
      </c>
      <c r="D646" s="7" t="inlineStr">
        <is>
          <t>EcoRecycled Copy Paper (5 Reams)</t>
        </is>
      </c>
      <c r="E646" s="7" t="inlineStr">
        <is>
          <t>Office Supplies</t>
        </is>
      </c>
      <c r="F646" s="7" t="inlineStr">
        <is>
          <t>Paper Products</t>
        </is>
      </c>
      <c r="G646" s="7" t="inlineStr">
        <is>
          <t>West</t>
        </is>
      </c>
      <c r="H646" s="7" t="inlineStr">
        <is>
          <t>Colorado</t>
        </is>
      </c>
      <c r="I646" s="7" t="inlineStr">
        <is>
          <t>Online</t>
        </is>
      </c>
      <c r="J646" s="7" t="inlineStr">
        <is>
          <t>Consumer</t>
        </is>
      </c>
      <c r="K646" s="8" t="n">
        <v>1</v>
      </c>
      <c r="L646" s="9" t="n">
        <v>32.99</v>
      </c>
      <c r="M646" s="10" t="n">
        <v>0</v>
      </c>
      <c r="N646" s="9" t="n">
        <v>19.79</v>
      </c>
      <c r="O646" s="9" t="n">
        <v>32.99</v>
      </c>
      <c r="P646" s="9" t="n">
        <v>0</v>
      </c>
      <c r="Q646" s="9" t="n">
        <v>32.99</v>
      </c>
      <c r="R646" s="9" t="n">
        <v>19.79</v>
      </c>
      <c r="S646" s="9" t="n">
        <v>13.2</v>
      </c>
      <c r="T646" s="10" t="n">
        <v>0.4001</v>
      </c>
    </row>
    <row r="647">
      <c r="A647" s="7" t="inlineStr">
        <is>
          <t>ORD-2024-1615</t>
        </is>
      </c>
      <c r="B647" s="7" t="inlineStr">
        <is>
          <t>2024-09-26</t>
        </is>
      </c>
      <c r="C647" s="7" t="inlineStr">
        <is>
          <t>FUR-BOK-005</t>
        </is>
      </c>
      <c r="D647" s="7" t="inlineStr">
        <is>
          <t>Modular 5-Tier Steel Bookcase</t>
        </is>
      </c>
      <c r="E647" s="7" t="inlineStr">
        <is>
          <t>Furniture</t>
        </is>
      </c>
      <c r="F647" s="7" t="inlineStr">
        <is>
          <t>Bookcases</t>
        </is>
      </c>
      <c r="G647" s="7" t="inlineStr">
        <is>
          <t>West</t>
        </is>
      </c>
      <c r="H647" s="7" t="inlineStr">
        <is>
          <t>Oregon</t>
        </is>
      </c>
      <c r="I647" s="7" t="inlineStr">
        <is>
          <t>Online</t>
        </is>
      </c>
      <c r="J647" s="7" t="inlineStr">
        <is>
          <t>Consumer</t>
        </is>
      </c>
      <c r="K647" s="8" t="n">
        <v>1</v>
      </c>
      <c r="L647" s="9" t="n">
        <v>189.99</v>
      </c>
      <c r="M647" s="10" t="n">
        <v>0.15</v>
      </c>
      <c r="N647" s="9" t="n">
        <v>142.49</v>
      </c>
      <c r="O647" s="9" t="n">
        <v>189.99</v>
      </c>
      <c r="P647" s="9" t="n">
        <v>28.5</v>
      </c>
      <c r="Q647" s="9" t="n">
        <v>161.49</v>
      </c>
      <c r="R647" s="9" t="n">
        <v>142.49</v>
      </c>
      <c r="S647" s="9" t="n">
        <v>19</v>
      </c>
      <c r="T647" s="10" t="n">
        <v>0.1177</v>
      </c>
    </row>
    <row r="648">
      <c r="A648" s="7" t="inlineStr">
        <is>
          <t>ORD-2024-1672</t>
        </is>
      </c>
      <c r="B648" s="7" t="inlineStr">
        <is>
          <t>2024-09-26</t>
        </is>
      </c>
      <c r="C648" s="7" t="inlineStr">
        <is>
          <t>FUR-CHA-002</t>
        </is>
      </c>
      <c r="D648" s="7" t="inlineStr">
        <is>
          <t>AeroTask Operator Task Chair</t>
        </is>
      </c>
      <c r="E648" s="7" t="inlineStr">
        <is>
          <t>Furniture</t>
        </is>
      </c>
      <c r="F648" s="7" t="inlineStr">
        <is>
          <t>Chairs</t>
        </is>
      </c>
      <c r="G648" s="7" t="inlineStr">
        <is>
          <t>East</t>
        </is>
      </c>
      <c r="H648" s="7" t="inlineStr">
        <is>
          <t>Pennsylvania</t>
        </is>
      </c>
      <c r="I648" s="7" t="inlineStr">
        <is>
          <t>Online</t>
        </is>
      </c>
      <c r="J648" s="7" t="inlineStr">
        <is>
          <t>Consumer</t>
        </is>
      </c>
      <c r="K648" s="8" t="n">
        <v>1</v>
      </c>
      <c r="L648" s="9" t="n">
        <v>219.99</v>
      </c>
      <c r="M648" s="10" t="n">
        <v>0</v>
      </c>
      <c r="N648" s="9" t="n">
        <v>171.59</v>
      </c>
      <c r="O648" s="9" t="n">
        <v>219.99</v>
      </c>
      <c r="P648" s="9" t="n">
        <v>0</v>
      </c>
      <c r="Q648" s="9" t="n">
        <v>219.99</v>
      </c>
      <c r="R648" s="9" t="n">
        <v>171.59</v>
      </c>
      <c r="S648" s="9" t="n">
        <v>48.4</v>
      </c>
      <c r="T648" s="10" t="n">
        <v>0.22</v>
      </c>
    </row>
    <row r="649">
      <c r="A649" s="7" t="inlineStr">
        <is>
          <t>ORD-2024-1072</t>
        </is>
      </c>
      <c r="B649" s="7" t="inlineStr">
        <is>
          <t>2024-09-27</t>
        </is>
      </c>
      <c r="C649" s="7" t="inlineStr">
        <is>
          <t>OFF-ART-006</t>
        </is>
      </c>
      <c r="D649" s="7" t="inlineStr">
        <is>
          <t>Professional Presentation Dry Erase Board</t>
        </is>
      </c>
      <c r="E649" s="7" t="inlineStr">
        <is>
          <t>Office Supplies</t>
        </is>
      </c>
      <c r="F649" s="7" t="inlineStr">
        <is>
          <t>Presentation &amp; Art</t>
        </is>
      </c>
      <c r="G649" s="7" t="inlineStr">
        <is>
          <t>South</t>
        </is>
      </c>
      <c r="H649" s="7" t="inlineStr">
        <is>
          <t>North Carolina</t>
        </is>
      </c>
      <c r="I649" s="7" t="inlineStr">
        <is>
          <t>Online</t>
        </is>
      </c>
      <c r="J649" s="7" t="inlineStr">
        <is>
          <t>Consumer</t>
        </is>
      </c>
      <c r="K649" s="8" t="n">
        <v>1</v>
      </c>
      <c r="L649" s="9" t="n">
        <v>89.98999999999999</v>
      </c>
      <c r="M649" s="10" t="n">
        <v>0</v>
      </c>
      <c r="N649" s="9" t="n">
        <v>53.99</v>
      </c>
      <c r="O649" s="9" t="n">
        <v>89.98999999999999</v>
      </c>
      <c r="P649" s="9" t="n">
        <v>0</v>
      </c>
      <c r="Q649" s="9" t="n">
        <v>89.98999999999999</v>
      </c>
      <c r="R649" s="9" t="n">
        <v>53.99</v>
      </c>
      <c r="S649" s="9" t="n">
        <v>36</v>
      </c>
      <c r="T649" s="10" t="n">
        <v>0.4</v>
      </c>
    </row>
    <row r="650">
      <c r="A650" s="7" t="inlineStr">
        <is>
          <t>ORD-2024-1072</t>
        </is>
      </c>
      <c r="B650" s="7" t="inlineStr">
        <is>
          <t>2024-09-27</t>
        </is>
      </c>
      <c r="C650" s="7" t="inlineStr">
        <is>
          <t>OFF-DSK-008</t>
        </is>
      </c>
      <c r="D650" s="7" t="inlineStr">
        <is>
          <t>Steel Desktop Mesh Organizer Caddy</t>
        </is>
      </c>
      <c r="E650" s="7" t="inlineStr">
        <is>
          <t>Office Supplies</t>
        </is>
      </c>
      <c r="F650" s="7" t="inlineStr">
        <is>
          <t>Desk Supplies</t>
        </is>
      </c>
      <c r="G650" s="7" t="inlineStr">
        <is>
          <t>South</t>
        </is>
      </c>
      <c r="H650" s="7" t="inlineStr">
        <is>
          <t>North Carolina</t>
        </is>
      </c>
      <c r="I650" s="7" t="inlineStr">
        <is>
          <t>Online</t>
        </is>
      </c>
      <c r="J650" s="7" t="inlineStr">
        <is>
          <t>Consumer</t>
        </is>
      </c>
      <c r="K650" s="8" t="n">
        <v>3</v>
      </c>
      <c r="L650" s="9" t="n">
        <v>18.99</v>
      </c>
      <c r="M650" s="10" t="n">
        <v>0.15</v>
      </c>
      <c r="N650" s="9" t="n">
        <v>8.550000000000001</v>
      </c>
      <c r="O650" s="9" t="n">
        <v>56.97</v>
      </c>
      <c r="P650" s="9" t="n">
        <v>8.550000000000001</v>
      </c>
      <c r="Q650" s="9" t="n">
        <v>48.42</v>
      </c>
      <c r="R650" s="9" t="n">
        <v>25.65</v>
      </c>
      <c r="S650" s="9" t="n">
        <v>22.77</v>
      </c>
      <c r="T650" s="10" t="n">
        <v>0.4703</v>
      </c>
    </row>
    <row r="651">
      <c r="A651" s="7" t="inlineStr">
        <is>
          <t>ORD-2024-1219</t>
        </is>
      </c>
      <c r="B651" s="7" t="inlineStr">
        <is>
          <t>2024-09-27</t>
        </is>
      </c>
      <c r="C651" s="7" t="inlineStr">
        <is>
          <t>FUR-CHA-002</t>
        </is>
      </c>
      <c r="D651" s="7" t="inlineStr">
        <is>
          <t>AeroTask Operator Task Chair</t>
        </is>
      </c>
      <c r="E651" s="7" t="inlineStr">
        <is>
          <t>Furniture</t>
        </is>
      </c>
      <c r="F651" s="7" t="inlineStr">
        <is>
          <t>Chairs</t>
        </is>
      </c>
      <c r="G651" s="7" t="inlineStr">
        <is>
          <t>Central</t>
        </is>
      </c>
      <c r="H651" s="7" t="inlineStr">
        <is>
          <t>Illinois</t>
        </is>
      </c>
      <c r="I651" s="7" t="inlineStr">
        <is>
          <t>Online</t>
        </is>
      </c>
      <c r="J651" s="7" t="inlineStr">
        <is>
          <t>Consumer</t>
        </is>
      </c>
      <c r="K651" s="8" t="n">
        <v>3</v>
      </c>
      <c r="L651" s="9" t="n">
        <v>219.99</v>
      </c>
      <c r="M651" s="10" t="n">
        <v>0.05</v>
      </c>
      <c r="N651" s="9" t="n">
        <v>171.59</v>
      </c>
      <c r="O651" s="9" t="n">
        <v>659.97</v>
      </c>
      <c r="P651" s="9" t="n">
        <v>33</v>
      </c>
      <c r="Q651" s="9" t="n">
        <v>626.97</v>
      </c>
      <c r="R651" s="9" t="n">
        <v>514.77</v>
      </c>
      <c r="S651" s="9" t="n">
        <v>112.2</v>
      </c>
      <c r="T651" s="10" t="n">
        <v>0.179</v>
      </c>
    </row>
    <row r="652">
      <c r="A652" s="7" t="inlineStr">
        <is>
          <t>ORD-2024-1360</t>
        </is>
      </c>
      <c r="B652" s="7" t="inlineStr">
        <is>
          <t>2024-09-27</t>
        </is>
      </c>
      <c r="C652" s="7" t="inlineStr">
        <is>
          <t>OFF-DSK-008</t>
        </is>
      </c>
      <c r="D652" s="7" t="inlineStr">
        <is>
          <t>Steel Desktop Mesh Organizer Caddy</t>
        </is>
      </c>
      <c r="E652" s="7" t="inlineStr">
        <is>
          <t>Office Supplies</t>
        </is>
      </c>
      <c r="F652" s="7" t="inlineStr">
        <is>
          <t>Desk Supplies</t>
        </is>
      </c>
      <c r="G652" s="7" t="inlineStr">
        <is>
          <t>West</t>
        </is>
      </c>
      <c r="H652" s="7" t="inlineStr">
        <is>
          <t>Washington</t>
        </is>
      </c>
      <c r="I652" s="7" t="inlineStr">
        <is>
          <t>Online</t>
        </is>
      </c>
      <c r="J652" s="7" t="inlineStr">
        <is>
          <t>Corporate</t>
        </is>
      </c>
      <c r="K652" s="8" t="n">
        <v>7</v>
      </c>
      <c r="L652" s="9" t="n">
        <v>18.99</v>
      </c>
      <c r="M652" s="10" t="n">
        <v>0</v>
      </c>
      <c r="N652" s="9" t="n">
        <v>8.550000000000001</v>
      </c>
      <c r="O652" s="9" t="n">
        <v>132.93</v>
      </c>
      <c r="P652" s="9" t="n">
        <v>0</v>
      </c>
      <c r="Q652" s="9" t="n">
        <v>132.93</v>
      </c>
      <c r="R652" s="9" t="n">
        <v>59.85</v>
      </c>
      <c r="S652" s="9" t="n">
        <v>73.08</v>
      </c>
      <c r="T652" s="10" t="n">
        <v>0.5498</v>
      </c>
    </row>
    <row r="653">
      <c r="A653" s="7" t="inlineStr">
        <is>
          <t>ORD-2024-1009</t>
        </is>
      </c>
      <c r="B653" s="7" t="inlineStr">
        <is>
          <t>2024-09-28</t>
        </is>
      </c>
      <c r="C653" s="7" t="inlineStr">
        <is>
          <t>OFF-ART-006</t>
        </is>
      </c>
      <c r="D653" s="7" t="inlineStr">
        <is>
          <t>Professional Presentation Dry Erase Board</t>
        </is>
      </c>
      <c r="E653" s="7" t="inlineStr">
        <is>
          <t>Office Supplies</t>
        </is>
      </c>
      <c r="F653" s="7" t="inlineStr">
        <is>
          <t>Presentation &amp; Art</t>
        </is>
      </c>
      <c r="G653" s="7" t="inlineStr">
        <is>
          <t>South</t>
        </is>
      </c>
      <c r="H653" s="7" t="inlineStr">
        <is>
          <t>North Carolina</t>
        </is>
      </c>
      <c r="I653" s="7" t="inlineStr">
        <is>
          <t>Online</t>
        </is>
      </c>
      <c r="J653" s="7" t="inlineStr">
        <is>
          <t>Consumer</t>
        </is>
      </c>
      <c r="K653" s="8" t="n">
        <v>3</v>
      </c>
      <c r="L653" s="9" t="n">
        <v>89.98999999999999</v>
      </c>
      <c r="M653" s="10" t="n">
        <v>0</v>
      </c>
      <c r="N653" s="9" t="n">
        <v>53.99</v>
      </c>
      <c r="O653" s="9" t="n">
        <v>269.97</v>
      </c>
      <c r="P653" s="9" t="n">
        <v>0</v>
      </c>
      <c r="Q653" s="9" t="n">
        <v>269.97</v>
      </c>
      <c r="R653" s="9" t="n">
        <v>161.97</v>
      </c>
      <c r="S653" s="9" t="n">
        <v>108</v>
      </c>
      <c r="T653" s="10" t="n">
        <v>0.4</v>
      </c>
    </row>
    <row r="654">
      <c r="A654" s="7" t="inlineStr">
        <is>
          <t>ORD-2024-1356</t>
        </is>
      </c>
      <c r="B654" s="7" t="inlineStr">
        <is>
          <t>2024-09-28</t>
        </is>
      </c>
      <c r="C654" s="7" t="inlineStr">
        <is>
          <t>FUR-DSK-003</t>
        </is>
      </c>
      <c r="D654" s="7" t="inlineStr">
        <is>
          <t>ApexMotor Dual-Motor Standing Desk</t>
        </is>
      </c>
      <c r="E654" s="7" t="inlineStr">
        <is>
          <t>Furniture</t>
        </is>
      </c>
      <c r="F654" s="7" t="inlineStr">
        <is>
          <t>Desks &amp; Workstations</t>
        </is>
      </c>
      <c r="G654" s="7" t="inlineStr">
        <is>
          <t>Central</t>
        </is>
      </c>
      <c r="H654" s="7" t="inlineStr">
        <is>
          <t>Texas</t>
        </is>
      </c>
      <c r="I654" s="7" t="inlineStr">
        <is>
          <t>Online</t>
        </is>
      </c>
      <c r="J654" s="7" t="inlineStr">
        <is>
          <t>Corporate</t>
        </is>
      </c>
      <c r="K654" s="8" t="n">
        <v>2</v>
      </c>
      <c r="L654" s="9" t="n">
        <v>549.99</v>
      </c>
      <c r="M654" s="10" t="n">
        <v>0</v>
      </c>
      <c r="N654" s="9" t="n">
        <v>439.99</v>
      </c>
      <c r="O654" s="9" t="n">
        <v>1099.98</v>
      </c>
      <c r="P654" s="9" t="n">
        <v>0</v>
      </c>
      <c r="Q654" s="9" t="n">
        <v>1099.98</v>
      </c>
      <c r="R654" s="9" t="n">
        <v>879.98</v>
      </c>
      <c r="S654" s="9" t="n">
        <v>220</v>
      </c>
      <c r="T654" s="10" t="n">
        <v>0.2</v>
      </c>
    </row>
    <row r="655">
      <c r="A655" s="7" t="inlineStr">
        <is>
          <t>ORD-2024-1592</t>
        </is>
      </c>
      <c r="B655" s="7" t="inlineStr">
        <is>
          <t>2024-09-28</t>
        </is>
      </c>
      <c r="C655" s="7" t="inlineStr">
        <is>
          <t>OFF-DSK-007</t>
        </is>
      </c>
      <c r="D655" s="7" t="inlineStr">
        <is>
          <t>Gel Ergo Mouse Pad &amp; Wrist Rest Combo</t>
        </is>
      </c>
      <c r="E655" s="7" t="inlineStr">
        <is>
          <t>Office Supplies</t>
        </is>
      </c>
      <c r="F655" s="7" t="inlineStr">
        <is>
          <t>Desk Supplies</t>
        </is>
      </c>
      <c r="G655" s="7" t="inlineStr">
        <is>
          <t>East</t>
        </is>
      </c>
      <c r="H655" s="7" t="inlineStr">
        <is>
          <t>New Jersey</t>
        </is>
      </c>
      <c r="I655" s="7" t="inlineStr">
        <is>
          <t>Online</t>
        </is>
      </c>
      <c r="J655" s="7" t="inlineStr">
        <is>
          <t>Consumer</t>
        </is>
      </c>
      <c r="K655" s="8" t="n">
        <v>3</v>
      </c>
      <c r="L655" s="9" t="n">
        <v>21.99</v>
      </c>
      <c r="M655" s="10" t="n">
        <v>0.1</v>
      </c>
      <c r="N655" s="9" t="n">
        <v>10.56</v>
      </c>
      <c r="O655" s="9" t="n">
        <v>65.97</v>
      </c>
      <c r="P655" s="9" t="n">
        <v>6.6</v>
      </c>
      <c r="Q655" s="9" t="n">
        <v>59.37</v>
      </c>
      <c r="R655" s="9" t="n">
        <v>31.68</v>
      </c>
      <c r="S655" s="9" t="n">
        <v>27.69</v>
      </c>
      <c r="T655" s="10" t="n">
        <v>0.4664</v>
      </c>
    </row>
    <row r="656">
      <c r="A656" s="7" t="inlineStr">
        <is>
          <t>ORD-2024-1685</t>
        </is>
      </c>
      <c r="B656" s="7" t="inlineStr">
        <is>
          <t>2024-09-28</t>
        </is>
      </c>
      <c r="C656" s="7" t="inlineStr">
        <is>
          <t>TEC-ACC-005</t>
        </is>
      </c>
      <c r="D656" s="7" t="inlineStr">
        <is>
          <t>UltraWireless Noise-Canceling Headset</t>
        </is>
      </c>
      <c r="E656" s="7" t="inlineStr">
        <is>
          <t>Technology</t>
        </is>
      </c>
      <c r="F656" s="7" t="inlineStr">
        <is>
          <t>Audio &amp; Accessories</t>
        </is>
      </c>
      <c r="G656" s="7" t="inlineStr">
        <is>
          <t>East</t>
        </is>
      </c>
      <c r="H656" s="7" t="inlineStr">
        <is>
          <t>New York</t>
        </is>
      </c>
      <c r="I656" s="7" t="inlineStr">
        <is>
          <t>Online</t>
        </is>
      </c>
      <c r="J656" s="7" t="inlineStr">
        <is>
          <t>Consumer</t>
        </is>
      </c>
      <c r="K656" s="8" t="n">
        <v>4</v>
      </c>
      <c r="L656" s="9" t="n">
        <v>179.99</v>
      </c>
      <c r="M656" s="10" t="n">
        <v>0.05</v>
      </c>
      <c r="N656" s="9" t="n">
        <v>111.59</v>
      </c>
      <c r="O656" s="9" t="n">
        <v>719.96</v>
      </c>
      <c r="P656" s="9" t="n">
        <v>36</v>
      </c>
      <c r="Q656" s="9" t="n">
        <v>683.96</v>
      </c>
      <c r="R656" s="9" t="n">
        <v>446.36</v>
      </c>
      <c r="S656" s="9" t="n">
        <v>237.6</v>
      </c>
      <c r="T656" s="10" t="n">
        <v>0.3474</v>
      </c>
    </row>
    <row r="657">
      <c r="A657" s="7" t="inlineStr">
        <is>
          <t>ORD-2024-1595</t>
        </is>
      </c>
      <c r="B657" s="7" t="inlineStr">
        <is>
          <t>2024-09-29</t>
        </is>
      </c>
      <c r="C657" s="7" t="inlineStr">
        <is>
          <t>TEC-ACC-006</t>
        </is>
      </c>
      <c r="D657" s="7" t="inlineStr">
        <is>
          <t>MultiPort Thunderbolt 4 Dock</t>
        </is>
      </c>
      <c r="E657" s="7" t="inlineStr">
        <is>
          <t>Technology</t>
        </is>
      </c>
      <c r="F657" s="7" t="inlineStr">
        <is>
          <t>Audio &amp; Accessories</t>
        </is>
      </c>
      <c r="G657" s="7" t="inlineStr">
        <is>
          <t>East</t>
        </is>
      </c>
      <c r="H657" s="7" t="inlineStr">
        <is>
          <t>New York</t>
        </is>
      </c>
      <c r="I657" s="7" t="inlineStr">
        <is>
          <t>Online</t>
        </is>
      </c>
      <c r="J657" s="7" t="inlineStr">
        <is>
          <t>Home Office</t>
        </is>
      </c>
      <c r="K657" s="8" t="n">
        <v>3</v>
      </c>
      <c r="L657" s="9" t="n">
        <v>149.99</v>
      </c>
      <c r="M657" s="10" t="n">
        <v>0</v>
      </c>
      <c r="N657" s="9" t="n">
        <v>98.98999999999999</v>
      </c>
      <c r="O657" s="9" t="n">
        <v>449.97</v>
      </c>
      <c r="P657" s="9" t="n">
        <v>0</v>
      </c>
      <c r="Q657" s="9" t="n">
        <v>449.97</v>
      </c>
      <c r="R657" s="9" t="n">
        <v>296.97</v>
      </c>
      <c r="S657" s="9" t="n">
        <v>153</v>
      </c>
      <c r="T657" s="10" t="n">
        <v>0.34</v>
      </c>
    </row>
    <row r="658">
      <c r="A658" s="7" t="inlineStr">
        <is>
          <t>ORD-2024-1710</t>
        </is>
      </c>
      <c r="B658" s="7" t="inlineStr">
        <is>
          <t>2024-09-29</t>
        </is>
      </c>
      <c r="C658" s="7" t="inlineStr">
        <is>
          <t>TEC-ACC-005</t>
        </is>
      </c>
      <c r="D658" s="7" t="inlineStr">
        <is>
          <t>UltraWireless Noise-Canceling Headset</t>
        </is>
      </c>
      <c r="E658" s="7" t="inlineStr">
        <is>
          <t>Technology</t>
        </is>
      </c>
      <c r="F658" s="7" t="inlineStr">
        <is>
          <t>Audio &amp; Accessories</t>
        </is>
      </c>
      <c r="G658" s="7" t="inlineStr">
        <is>
          <t>East</t>
        </is>
      </c>
      <c r="H658" s="7" t="inlineStr">
        <is>
          <t>Massachusetts</t>
        </is>
      </c>
      <c r="I658" s="7" t="inlineStr">
        <is>
          <t>Online</t>
        </is>
      </c>
      <c r="J658" s="7" t="inlineStr">
        <is>
          <t>Corporate</t>
        </is>
      </c>
      <c r="K658" s="8" t="n">
        <v>5</v>
      </c>
      <c r="L658" s="9" t="n">
        <v>179.99</v>
      </c>
      <c r="M658" s="10" t="n">
        <v>0</v>
      </c>
      <c r="N658" s="9" t="n">
        <v>111.59</v>
      </c>
      <c r="O658" s="9" t="n">
        <v>899.95</v>
      </c>
      <c r="P658" s="9" t="n">
        <v>0</v>
      </c>
      <c r="Q658" s="9" t="n">
        <v>899.95</v>
      </c>
      <c r="R658" s="9" t="n">
        <v>557.95</v>
      </c>
      <c r="S658" s="9" t="n">
        <v>342</v>
      </c>
      <c r="T658" s="10" t="n">
        <v>0.38</v>
      </c>
    </row>
    <row r="659">
      <c r="A659" s="7" t="inlineStr">
        <is>
          <t>ORD-2024-1710</t>
        </is>
      </c>
      <c r="B659" s="7" t="inlineStr">
        <is>
          <t>2024-09-29</t>
        </is>
      </c>
      <c r="C659" s="7" t="inlineStr">
        <is>
          <t>TEC-ACC-005</t>
        </is>
      </c>
      <c r="D659" s="7" t="inlineStr">
        <is>
          <t>UltraWireless Noise-Canceling Headset</t>
        </is>
      </c>
      <c r="E659" s="7" t="inlineStr">
        <is>
          <t>Technology</t>
        </is>
      </c>
      <c r="F659" s="7" t="inlineStr">
        <is>
          <t>Audio &amp; Accessories</t>
        </is>
      </c>
      <c r="G659" s="7" t="inlineStr">
        <is>
          <t>East</t>
        </is>
      </c>
      <c r="H659" s="7" t="inlineStr">
        <is>
          <t>Massachusetts</t>
        </is>
      </c>
      <c r="I659" s="7" t="inlineStr">
        <is>
          <t>Online</t>
        </is>
      </c>
      <c r="J659" s="7" t="inlineStr">
        <is>
          <t>Corporate</t>
        </is>
      </c>
      <c r="K659" s="8" t="n">
        <v>7</v>
      </c>
      <c r="L659" s="9" t="n">
        <v>179.99</v>
      </c>
      <c r="M659" s="10" t="n">
        <v>0</v>
      </c>
      <c r="N659" s="9" t="n">
        <v>111.59</v>
      </c>
      <c r="O659" s="9" t="n">
        <v>1259.93</v>
      </c>
      <c r="P659" s="9" t="n">
        <v>0</v>
      </c>
      <c r="Q659" s="9" t="n">
        <v>1259.93</v>
      </c>
      <c r="R659" s="9" t="n">
        <v>781.13</v>
      </c>
      <c r="S659" s="9" t="n">
        <v>478.8</v>
      </c>
      <c r="T659" s="10" t="n">
        <v>0.38</v>
      </c>
    </row>
    <row r="660">
      <c r="A660" s="7" t="inlineStr">
        <is>
          <t>ORD-2024-1060</t>
        </is>
      </c>
      <c r="B660" s="7" t="inlineStr">
        <is>
          <t>2024-09-30</t>
        </is>
      </c>
      <c r="C660" s="7" t="inlineStr">
        <is>
          <t>FUR-CHA-002</t>
        </is>
      </c>
      <c r="D660" s="7" t="inlineStr">
        <is>
          <t>AeroTask Operator Task Chair</t>
        </is>
      </c>
      <c r="E660" s="7" t="inlineStr">
        <is>
          <t>Furniture</t>
        </is>
      </c>
      <c r="F660" s="7" t="inlineStr">
        <is>
          <t>Chairs</t>
        </is>
      </c>
      <c r="G660" s="7" t="inlineStr">
        <is>
          <t>South</t>
        </is>
      </c>
      <c r="H660" s="7" t="inlineStr">
        <is>
          <t>Virginia</t>
        </is>
      </c>
      <c r="I660" s="7" t="inlineStr">
        <is>
          <t>Retail Partner</t>
        </is>
      </c>
      <c r="J660" s="7" t="inlineStr">
        <is>
          <t>Home Office</t>
        </is>
      </c>
      <c r="K660" s="8" t="n">
        <v>4</v>
      </c>
      <c r="L660" s="9" t="n">
        <v>219.99</v>
      </c>
      <c r="M660" s="10" t="n">
        <v>0</v>
      </c>
      <c r="N660" s="9" t="n">
        <v>171.59</v>
      </c>
      <c r="O660" s="9" t="n">
        <v>879.96</v>
      </c>
      <c r="P660" s="9" t="n">
        <v>0</v>
      </c>
      <c r="Q660" s="9" t="n">
        <v>879.96</v>
      </c>
      <c r="R660" s="9" t="n">
        <v>686.36</v>
      </c>
      <c r="S660" s="9" t="n">
        <v>193.6</v>
      </c>
      <c r="T660" s="10" t="n">
        <v>0.22</v>
      </c>
    </row>
    <row r="661">
      <c r="A661" s="7" t="inlineStr">
        <is>
          <t>ORD-2024-1134</t>
        </is>
      </c>
      <c r="B661" s="7" t="inlineStr">
        <is>
          <t>2024-09-30</t>
        </is>
      </c>
      <c r="C661" s="7" t="inlineStr">
        <is>
          <t>OFF-ART-006</t>
        </is>
      </c>
      <c r="D661" s="7" t="inlineStr">
        <is>
          <t>Professional Presentation Dry Erase Board</t>
        </is>
      </c>
      <c r="E661" s="7" t="inlineStr">
        <is>
          <t>Office Supplies</t>
        </is>
      </c>
      <c r="F661" s="7" t="inlineStr">
        <is>
          <t>Presentation &amp; Art</t>
        </is>
      </c>
      <c r="G661" s="7" t="inlineStr">
        <is>
          <t>West</t>
        </is>
      </c>
      <c r="H661" s="7" t="inlineStr">
        <is>
          <t>Washington</t>
        </is>
      </c>
      <c r="I661" s="7" t="inlineStr">
        <is>
          <t>Retail Partner</t>
        </is>
      </c>
      <c r="J661" s="7" t="inlineStr">
        <is>
          <t>Corporate</t>
        </is>
      </c>
      <c r="K661" s="8" t="n">
        <v>6</v>
      </c>
      <c r="L661" s="9" t="n">
        <v>89.98999999999999</v>
      </c>
      <c r="M661" s="10" t="n">
        <v>0</v>
      </c>
      <c r="N661" s="9" t="n">
        <v>53.99</v>
      </c>
      <c r="O661" s="9" t="n">
        <v>539.9400000000001</v>
      </c>
      <c r="P661" s="9" t="n">
        <v>0</v>
      </c>
      <c r="Q661" s="9" t="n">
        <v>539.9400000000001</v>
      </c>
      <c r="R661" s="9" t="n">
        <v>323.94</v>
      </c>
      <c r="S661" s="9" t="n">
        <v>216</v>
      </c>
      <c r="T661" s="10" t="n">
        <v>0.4</v>
      </c>
    </row>
    <row r="662">
      <c r="A662" s="7" t="inlineStr">
        <is>
          <t>ORD-2024-1650</t>
        </is>
      </c>
      <c r="B662" s="7" t="inlineStr">
        <is>
          <t>2024-09-30</t>
        </is>
      </c>
      <c r="C662" s="7" t="inlineStr">
        <is>
          <t>OFF-PAP-003</t>
        </is>
      </c>
      <c r="D662" s="7" t="inlineStr">
        <is>
          <t>UltraWhite Premium Multipurpose Paper (Case)</t>
        </is>
      </c>
      <c r="E662" s="7" t="inlineStr">
        <is>
          <t>Office Supplies</t>
        </is>
      </c>
      <c r="F662" s="7" t="inlineStr">
        <is>
          <t>Paper Products</t>
        </is>
      </c>
      <c r="G662" s="7" t="inlineStr">
        <is>
          <t>West</t>
        </is>
      </c>
      <c r="H662" s="7" t="inlineStr">
        <is>
          <t>Washington</t>
        </is>
      </c>
      <c r="I662" s="7" t="inlineStr">
        <is>
          <t>Retail Partner</t>
        </is>
      </c>
      <c r="J662" s="7" t="inlineStr">
        <is>
          <t>Consumer</t>
        </is>
      </c>
      <c r="K662" s="8" t="n">
        <v>2</v>
      </c>
      <c r="L662" s="9" t="n">
        <v>54.99</v>
      </c>
      <c r="M662" s="10" t="n">
        <v>0.05</v>
      </c>
      <c r="N662" s="9" t="n">
        <v>31.89</v>
      </c>
      <c r="O662" s="9" t="n">
        <v>109.98</v>
      </c>
      <c r="P662" s="9" t="n">
        <v>5.5</v>
      </c>
      <c r="Q662" s="9" t="n">
        <v>104.48</v>
      </c>
      <c r="R662" s="9" t="n">
        <v>63.78</v>
      </c>
      <c r="S662" s="9" t="n">
        <v>40.7</v>
      </c>
      <c r="T662" s="10" t="n">
        <v>0.3895</v>
      </c>
    </row>
    <row r="663">
      <c r="A663" s="7" t="inlineStr">
        <is>
          <t>ORD-2024-1581</t>
        </is>
      </c>
      <c r="B663" s="7" t="inlineStr">
        <is>
          <t>2024-10-01</t>
        </is>
      </c>
      <c r="C663" s="7" t="inlineStr">
        <is>
          <t>OFF-PAP-003</t>
        </is>
      </c>
      <c r="D663" s="7" t="inlineStr">
        <is>
          <t>UltraWhite Premium Multipurpose Paper (Case)</t>
        </is>
      </c>
      <c r="E663" s="7" t="inlineStr">
        <is>
          <t>Office Supplies</t>
        </is>
      </c>
      <c r="F663" s="7" t="inlineStr">
        <is>
          <t>Paper Products</t>
        </is>
      </c>
      <c r="G663" s="7" t="inlineStr">
        <is>
          <t>South</t>
        </is>
      </c>
      <c r="H663" s="7" t="inlineStr">
        <is>
          <t>Florida</t>
        </is>
      </c>
      <c r="I663" s="7" t="inlineStr">
        <is>
          <t>Online</t>
        </is>
      </c>
      <c r="J663" s="7" t="inlineStr">
        <is>
          <t>Corporate</t>
        </is>
      </c>
      <c r="K663" s="8" t="n">
        <v>7</v>
      </c>
      <c r="L663" s="9" t="n">
        <v>54.99</v>
      </c>
      <c r="M663" s="10" t="n">
        <v>0</v>
      </c>
      <c r="N663" s="9" t="n">
        <v>31.89</v>
      </c>
      <c r="O663" s="9" t="n">
        <v>384.93</v>
      </c>
      <c r="P663" s="9" t="n">
        <v>0</v>
      </c>
      <c r="Q663" s="9" t="n">
        <v>384.93</v>
      </c>
      <c r="R663" s="9" t="n">
        <v>223.23</v>
      </c>
      <c r="S663" s="9" t="n">
        <v>161.7</v>
      </c>
      <c r="T663" s="10" t="n">
        <v>0.4201</v>
      </c>
    </row>
    <row r="664">
      <c r="A664" s="7" t="inlineStr">
        <is>
          <t>ORD-2024-1208</t>
        </is>
      </c>
      <c r="B664" s="7" t="inlineStr">
        <is>
          <t>2024-10-02</t>
        </is>
      </c>
      <c r="C664" s="7" t="inlineStr">
        <is>
          <t>OFF-PAP-003</t>
        </is>
      </c>
      <c r="D664" s="7" t="inlineStr">
        <is>
          <t>UltraWhite Premium Multipurpose Paper (Case)</t>
        </is>
      </c>
      <c r="E664" s="7" t="inlineStr">
        <is>
          <t>Office Supplies</t>
        </is>
      </c>
      <c r="F664" s="7" t="inlineStr">
        <is>
          <t>Paper Products</t>
        </is>
      </c>
      <c r="G664" s="7" t="inlineStr">
        <is>
          <t>East</t>
        </is>
      </c>
      <c r="H664" s="7" t="inlineStr">
        <is>
          <t>Pennsylvania</t>
        </is>
      </c>
      <c r="I664" s="7" t="inlineStr">
        <is>
          <t>Direct Sales</t>
        </is>
      </c>
      <c r="J664" s="7" t="inlineStr">
        <is>
          <t>Corporate</t>
        </is>
      </c>
      <c r="K664" s="8" t="n">
        <v>4</v>
      </c>
      <c r="L664" s="9" t="n">
        <v>54.99</v>
      </c>
      <c r="M664" s="10" t="n">
        <v>0.15</v>
      </c>
      <c r="N664" s="9" t="n">
        <v>31.89</v>
      </c>
      <c r="O664" s="9" t="n">
        <v>219.96</v>
      </c>
      <c r="P664" s="9" t="n">
        <v>32.99</v>
      </c>
      <c r="Q664" s="9" t="n">
        <v>186.97</v>
      </c>
      <c r="R664" s="9" t="n">
        <v>127.56</v>
      </c>
      <c r="S664" s="9" t="n">
        <v>59.41</v>
      </c>
      <c r="T664" s="10" t="n">
        <v>0.3178</v>
      </c>
    </row>
    <row r="665">
      <c r="A665" s="7" t="inlineStr">
        <is>
          <t>ORD-2024-1344</t>
        </is>
      </c>
      <c r="B665" s="7" t="inlineStr">
        <is>
          <t>2024-10-02</t>
        </is>
      </c>
      <c r="C665" s="7" t="inlineStr">
        <is>
          <t>FUR-CHA-002</t>
        </is>
      </c>
      <c r="D665" s="7" t="inlineStr">
        <is>
          <t>AeroTask Operator Task Chair</t>
        </is>
      </c>
      <c r="E665" s="7" t="inlineStr">
        <is>
          <t>Furniture</t>
        </is>
      </c>
      <c r="F665" s="7" t="inlineStr">
        <is>
          <t>Chairs</t>
        </is>
      </c>
      <c r="G665" s="7" t="inlineStr">
        <is>
          <t>East</t>
        </is>
      </c>
      <c r="H665" s="7" t="inlineStr">
        <is>
          <t>Massachusetts</t>
        </is>
      </c>
      <c r="I665" s="7" t="inlineStr">
        <is>
          <t>Online</t>
        </is>
      </c>
      <c r="J665" s="7" t="inlineStr">
        <is>
          <t>Consumer</t>
        </is>
      </c>
      <c r="K665" s="8" t="n">
        <v>1</v>
      </c>
      <c r="L665" s="9" t="n">
        <v>219.99</v>
      </c>
      <c r="M665" s="10" t="n">
        <v>0.1</v>
      </c>
      <c r="N665" s="9" t="n">
        <v>171.59</v>
      </c>
      <c r="O665" s="9" t="n">
        <v>219.99</v>
      </c>
      <c r="P665" s="9" t="n">
        <v>22</v>
      </c>
      <c r="Q665" s="9" t="n">
        <v>197.99</v>
      </c>
      <c r="R665" s="9" t="n">
        <v>171.59</v>
      </c>
      <c r="S665" s="9" t="n">
        <v>26.4</v>
      </c>
      <c r="T665" s="10" t="n">
        <v>0.1333</v>
      </c>
    </row>
    <row r="666">
      <c r="A666" s="7" t="inlineStr">
        <is>
          <t>ORD-2024-1242</t>
        </is>
      </c>
      <c r="B666" s="7" t="inlineStr">
        <is>
          <t>2024-10-03</t>
        </is>
      </c>
      <c r="C666" s="7" t="inlineStr">
        <is>
          <t>OFF-ART-006</t>
        </is>
      </c>
      <c r="D666" s="7" t="inlineStr">
        <is>
          <t>Professional Presentation Dry Erase Board</t>
        </is>
      </c>
      <c r="E666" s="7" t="inlineStr">
        <is>
          <t>Office Supplies</t>
        </is>
      </c>
      <c r="F666" s="7" t="inlineStr">
        <is>
          <t>Presentation &amp; Art</t>
        </is>
      </c>
      <c r="G666" s="7" t="inlineStr">
        <is>
          <t>West</t>
        </is>
      </c>
      <c r="H666" s="7" t="inlineStr">
        <is>
          <t>Colorado</t>
        </is>
      </c>
      <c r="I666" s="7" t="inlineStr">
        <is>
          <t>Direct Sales</t>
        </is>
      </c>
      <c r="J666" s="7" t="inlineStr">
        <is>
          <t>Consumer</t>
        </is>
      </c>
      <c r="K666" s="8" t="n">
        <v>2</v>
      </c>
      <c r="L666" s="9" t="n">
        <v>89.98999999999999</v>
      </c>
      <c r="M666" s="10" t="n">
        <v>0</v>
      </c>
      <c r="N666" s="9" t="n">
        <v>53.99</v>
      </c>
      <c r="O666" s="9" t="n">
        <v>179.98</v>
      </c>
      <c r="P666" s="9" t="n">
        <v>0</v>
      </c>
      <c r="Q666" s="9" t="n">
        <v>179.98</v>
      </c>
      <c r="R666" s="9" t="n">
        <v>107.98</v>
      </c>
      <c r="S666" s="9" t="n">
        <v>72</v>
      </c>
      <c r="T666" s="10" t="n">
        <v>0.4</v>
      </c>
    </row>
    <row r="667">
      <c r="A667" s="7" t="inlineStr">
        <is>
          <t>ORD-2024-1242</t>
        </is>
      </c>
      <c r="B667" s="7" t="inlineStr">
        <is>
          <t>2024-10-03</t>
        </is>
      </c>
      <c r="C667" s="7" t="inlineStr">
        <is>
          <t>OFF-STR-002</t>
        </is>
      </c>
      <c r="D667" s="7" t="inlineStr">
        <is>
          <t>Stackable Heavy-Duty Storage Bins (4-Pk)</t>
        </is>
      </c>
      <c r="E667" s="7" t="inlineStr">
        <is>
          <t>Office Supplies</t>
        </is>
      </c>
      <c r="F667" s="7" t="inlineStr">
        <is>
          <t>Storage &amp; Organizers</t>
        </is>
      </c>
      <c r="G667" s="7" t="inlineStr">
        <is>
          <t>West</t>
        </is>
      </c>
      <c r="H667" s="7" t="inlineStr">
        <is>
          <t>Colorado</t>
        </is>
      </c>
      <c r="I667" s="7" t="inlineStr">
        <is>
          <t>Direct Sales</t>
        </is>
      </c>
      <c r="J667" s="7" t="inlineStr">
        <is>
          <t>Consumer</t>
        </is>
      </c>
      <c r="K667" s="8" t="n">
        <v>2</v>
      </c>
      <c r="L667" s="9" t="n">
        <v>44.99</v>
      </c>
      <c r="M667" s="10" t="n">
        <v>0.1</v>
      </c>
      <c r="N667" s="9" t="n">
        <v>24.74</v>
      </c>
      <c r="O667" s="9" t="n">
        <v>89.98</v>
      </c>
      <c r="P667" s="9" t="n">
        <v>9</v>
      </c>
      <c r="Q667" s="9" t="n">
        <v>80.98</v>
      </c>
      <c r="R667" s="9" t="n">
        <v>49.48</v>
      </c>
      <c r="S667" s="9" t="n">
        <v>31.5</v>
      </c>
      <c r="T667" s="10" t="n">
        <v>0.389</v>
      </c>
    </row>
    <row r="668">
      <c r="A668" s="7" t="inlineStr">
        <is>
          <t>ORD-2024-1242</t>
        </is>
      </c>
      <c r="B668" s="7" t="inlineStr">
        <is>
          <t>2024-10-03</t>
        </is>
      </c>
      <c r="C668" s="7" t="inlineStr">
        <is>
          <t>TEC-ACC-008</t>
        </is>
      </c>
      <c r="D668" s="7" t="inlineStr">
        <is>
          <t>Precision Laser Bluetooth Mouse</t>
        </is>
      </c>
      <c r="E668" s="7" t="inlineStr">
        <is>
          <t>Technology</t>
        </is>
      </c>
      <c r="F668" s="7" t="inlineStr">
        <is>
          <t>Audio &amp; Accessories</t>
        </is>
      </c>
      <c r="G668" s="7" t="inlineStr">
        <is>
          <t>West</t>
        </is>
      </c>
      <c r="H668" s="7" t="inlineStr">
        <is>
          <t>Colorado</t>
        </is>
      </c>
      <c r="I668" s="7" t="inlineStr">
        <is>
          <t>Direct Sales</t>
        </is>
      </c>
      <c r="J668" s="7" t="inlineStr">
        <is>
          <t>Consumer</t>
        </is>
      </c>
      <c r="K668" s="8" t="n">
        <v>4</v>
      </c>
      <c r="L668" s="9" t="n">
        <v>49.99</v>
      </c>
      <c r="M668" s="10" t="n">
        <v>0.05</v>
      </c>
      <c r="N668" s="9" t="n">
        <v>27.49</v>
      </c>
      <c r="O668" s="9" t="n">
        <v>199.96</v>
      </c>
      <c r="P668" s="9" t="n">
        <v>10</v>
      </c>
      <c r="Q668" s="9" t="n">
        <v>189.96</v>
      </c>
      <c r="R668" s="9" t="n">
        <v>109.96</v>
      </c>
      <c r="S668" s="9" t="n">
        <v>80</v>
      </c>
      <c r="T668" s="10" t="n">
        <v>0.4211</v>
      </c>
    </row>
    <row r="669">
      <c r="A669" s="7" t="inlineStr">
        <is>
          <t>ORD-2024-1426</t>
        </is>
      </c>
      <c r="B669" s="7" t="inlineStr">
        <is>
          <t>2024-10-04</t>
        </is>
      </c>
      <c r="C669" s="7" t="inlineStr">
        <is>
          <t>TEC-ACC-005</t>
        </is>
      </c>
      <c r="D669" s="7" t="inlineStr">
        <is>
          <t>UltraWireless Noise-Canceling Headset</t>
        </is>
      </c>
      <c r="E669" s="7" t="inlineStr">
        <is>
          <t>Technology</t>
        </is>
      </c>
      <c r="F669" s="7" t="inlineStr">
        <is>
          <t>Audio &amp; Accessories</t>
        </is>
      </c>
      <c r="G669" s="7" t="inlineStr">
        <is>
          <t>South</t>
        </is>
      </c>
      <c r="H669" s="7" t="inlineStr">
        <is>
          <t>Georgia</t>
        </is>
      </c>
      <c r="I669" s="7" t="inlineStr">
        <is>
          <t>Retail Partner</t>
        </is>
      </c>
      <c r="J669" s="7" t="inlineStr">
        <is>
          <t>Consumer</t>
        </is>
      </c>
      <c r="K669" s="8" t="n">
        <v>2</v>
      </c>
      <c r="L669" s="9" t="n">
        <v>179.99</v>
      </c>
      <c r="M669" s="10" t="n">
        <v>0.05</v>
      </c>
      <c r="N669" s="9" t="n">
        <v>111.59</v>
      </c>
      <c r="O669" s="9" t="n">
        <v>359.98</v>
      </c>
      <c r="P669" s="9" t="n">
        <v>18</v>
      </c>
      <c r="Q669" s="9" t="n">
        <v>341.98</v>
      </c>
      <c r="R669" s="9" t="n">
        <v>223.18</v>
      </c>
      <c r="S669" s="9" t="n">
        <v>118.8</v>
      </c>
      <c r="T669" s="10" t="n">
        <v>0.3474</v>
      </c>
    </row>
    <row r="670">
      <c r="A670" s="7" t="inlineStr">
        <is>
          <t>ORD-2024-1426</t>
        </is>
      </c>
      <c r="B670" s="7" t="inlineStr">
        <is>
          <t>2024-10-04</t>
        </is>
      </c>
      <c r="C670" s="7" t="inlineStr">
        <is>
          <t>OFF-STR-002</t>
        </is>
      </c>
      <c r="D670" s="7" t="inlineStr">
        <is>
          <t>Stackable Heavy-Duty Storage Bins (4-Pk)</t>
        </is>
      </c>
      <c r="E670" s="7" t="inlineStr">
        <is>
          <t>Office Supplies</t>
        </is>
      </c>
      <c r="F670" s="7" t="inlineStr">
        <is>
          <t>Storage &amp; Organizers</t>
        </is>
      </c>
      <c r="G670" s="7" t="inlineStr">
        <is>
          <t>South</t>
        </is>
      </c>
      <c r="H670" s="7" t="inlineStr">
        <is>
          <t>Georgia</t>
        </is>
      </c>
      <c r="I670" s="7" t="inlineStr">
        <is>
          <t>Retail Partner</t>
        </is>
      </c>
      <c r="J670" s="7" t="inlineStr">
        <is>
          <t>Consumer</t>
        </is>
      </c>
      <c r="K670" s="8" t="n">
        <v>1</v>
      </c>
      <c r="L670" s="9" t="n">
        <v>44.99</v>
      </c>
      <c r="M670" s="10" t="n">
        <v>0.05</v>
      </c>
      <c r="N670" s="9" t="n">
        <v>24.74</v>
      </c>
      <c r="O670" s="9" t="n">
        <v>44.99</v>
      </c>
      <c r="P670" s="9" t="n">
        <v>2.25</v>
      </c>
      <c r="Q670" s="9" t="n">
        <v>42.74</v>
      </c>
      <c r="R670" s="9" t="n">
        <v>24.74</v>
      </c>
      <c r="S670" s="9" t="n">
        <v>18</v>
      </c>
      <c r="T670" s="10" t="n">
        <v>0.4212</v>
      </c>
    </row>
    <row r="671">
      <c r="A671" s="7" t="inlineStr">
        <is>
          <t>ORD-2024-1640</t>
        </is>
      </c>
      <c r="B671" s="7" t="inlineStr">
        <is>
          <t>2024-10-04</t>
        </is>
      </c>
      <c r="C671" s="7" t="inlineStr">
        <is>
          <t>TEC-ACC-008</t>
        </is>
      </c>
      <c r="D671" s="7" t="inlineStr">
        <is>
          <t>Precision Laser Bluetooth Mouse</t>
        </is>
      </c>
      <c r="E671" s="7" t="inlineStr">
        <is>
          <t>Technology</t>
        </is>
      </c>
      <c r="F671" s="7" t="inlineStr">
        <is>
          <t>Audio &amp; Accessories</t>
        </is>
      </c>
      <c r="G671" s="7" t="inlineStr">
        <is>
          <t>East</t>
        </is>
      </c>
      <c r="H671" s="7" t="inlineStr">
        <is>
          <t>Massachusetts</t>
        </is>
      </c>
      <c r="I671" s="7" t="inlineStr">
        <is>
          <t>Direct Sales</t>
        </is>
      </c>
      <c r="J671" s="7" t="inlineStr">
        <is>
          <t>Corporate</t>
        </is>
      </c>
      <c r="K671" s="8" t="n">
        <v>6</v>
      </c>
      <c r="L671" s="9" t="n">
        <v>49.99</v>
      </c>
      <c r="M671" s="10" t="n">
        <v>0</v>
      </c>
      <c r="N671" s="9" t="n">
        <v>27.49</v>
      </c>
      <c r="O671" s="9" t="n">
        <v>299.94</v>
      </c>
      <c r="P671" s="9" t="n">
        <v>0</v>
      </c>
      <c r="Q671" s="9" t="n">
        <v>299.94</v>
      </c>
      <c r="R671" s="9" t="n">
        <v>164.94</v>
      </c>
      <c r="S671" s="9" t="n">
        <v>135</v>
      </c>
      <c r="T671" s="10" t="n">
        <v>0.4501</v>
      </c>
    </row>
    <row r="672">
      <c r="A672" s="7" t="inlineStr">
        <is>
          <t>ORD-2024-1181</t>
        </is>
      </c>
      <c r="B672" s="7" t="inlineStr">
        <is>
          <t>2024-10-05</t>
        </is>
      </c>
      <c r="C672" s="7" t="inlineStr">
        <is>
          <t>OFF-BIN-005</t>
        </is>
      </c>
      <c r="D672" s="7" t="inlineStr">
        <is>
          <t>Heavy-Duty D-Ring Presentation Binder (6-Pk)</t>
        </is>
      </c>
      <c r="E672" s="7" t="inlineStr">
        <is>
          <t>Office Supplies</t>
        </is>
      </c>
      <c r="F672" s="7" t="inlineStr">
        <is>
          <t>Binders &amp; Fasteners</t>
        </is>
      </c>
      <c r="G672" s="7" t="inlineStr">
        <is>
          <t>Central</t>
        </is>
      </c>
      <c r="H672" s="7" t="inlineStr">
        <is>
          <t>Texas</t>
        </is>
      </c>
      <c r="I672" s="7" t="inlineStr">
        <is>
          <t>Direct Sales</t>
        </is>
      </c>
      <c r="J672" s="7" t="inlineStr">
        <is>
          <t>Corporate</t>
        </is>
      </c>
      <c r="K672" s="8" t="n">
        <v>4</v>
      </c>
      <c r="L672" s="9" t="n">
        <v>27.99</v>
      </c>
      <c r="M672" s="10" t="n">
        <v>0.1</v>
      </c>
      <c r="N672" s="9" t="n">
        <v>13.99</v>
      </c>
      <c r="O672" s="9" t="n">
        <v>111.96</v>
      </c>
      <c r="P672" s="9" t="n">
        <v>11.2</v>
      </c>
      <c r="Q672" s="9" t="n">
        <v>100.76</v>
      </c>
      <c r="R672" s="9" t="n">
        <v>55.96</v>
      </c>
      <c r="S672" s="9" t="n">
        <v>44.8</v>
      </c>
      <c r="T672" s="10" t="n">
        <v>0.4446</v>
      </c>
    </row>
    <row r="673">
      <c r="A673" s="7" t="inlineStr">
        <is>
          <t>ORD-2024-1340</t>
        </is>
      </c>
      <c r="B673" s="7" t="inlineStr">
        <is>
          <t>2024-10-05</t>
        </is>
      </c>
      <c r="C673" s="7" t="inlineStr">
        <is>
          <t>TEC-TAB-003</t>
        </is>
      </c>
      <c r="D673" s="7" t="inlineStr">
        <is>
          <t>VisionPad Pro 11"</t>
        </is>
      </c>
      <c r="E673" s="7" t="inlineStr">
        <is>
          <t>Technology</t>
        </is>
      </c>
      <c r="F673" s="7" t="inlineStr">
        <is>
          <t>Phones &amp; Tablets</t>
        </is>
      </c>
      <c r="G673" s="7" t="inlineStr">
        <is>
          <t>West</t>
        </is>
      </c>
      <c r="H673" s="7" t="inlineStr">
        <is>
          <t>Colorado</t>
        </is>
      </c>
      <c r="I673" s="7" t="inlineStr">
        <is>
          <t>Retail Partner</t>
        </is>
      </c>
      <c r="J673" s="7" t="inlineStr">
        <is>
          <t>Consumer</t>
        </is>
      </c>
      <c r="K673" s="8" t="n">
        <v>4</v>
      </c>
      <c r="L673" s="9" t="n">
        <v>649.99</v>
      </c>
      <c r="M673" s="10" t="n">
        <v>0.1</v>
      </c>
      <c r="N673" s="9" t="n">
        <v>487.49</v>
      </c>
      <c r="O673" s="9" t="n">
        <v>2599.96</v>
      </c>
      <c r="P673" s="9" t="n">
        <v>260</v>
      </c>
      <c r="Q673" s="9" t="n">
        <v>2339.96</v>
      </c>
      <c r="R673" s="9" t="n">
        <v>1949.96</v>
      </c>
      <c r="S673" s="9" t="n">
        <v>390</v>
      </c>
      <c r="T673" s="10" t="n">
        <v>0.1667</v>
      </c>
    </row>
    <row r="674">
      <c r="A674" s="7" t="inlineStr">
        <is>
          <t>ORD-2024-1479</t>
        </is>
      </c>
      <c r="B674" s="7" t="inlineStr">
        <is>
          <t>2024-10-05</t>
        </is>
      </c>
      <c r="C674" s="7" t="inlineStr">
        <is>
          <t>OFF-PAP-004</t>
        </is>
      </c>
      <c r="D674" s="7" t="inlineStr">
        <is>
          <t>EcoRecycled Copy Paper (5 Reams)</t>
        </is>
      </c>
      <c r="E674" s="7" t="inlineStr">
        <is>
          <t>Office Supplies</t>
        </is>
      </c>
      <c r="F674" s="7" t="inlineStr">
        <is>
          <t>Paper Products</t>
        </is>
      </c>
      <c r="G674" s="7" t="inlineStr">
        <is>
          <t>South</t>
        </is>
      </c>
      <c r="H674" s="7" t="inlineStr">
        <is>
          <t>Georgia</t>
        </is>
      </c>
      <c r="I674" s="7" t="inlineStr">
        <is>
          <t>Direct Sales</t>
        </is>
      </c>
      <c r="J674" s="7" t="inlineStr">
        <is>
          <t>Consumer</t>
        </is>
      </c>
      <c r="K674" s="8" t="n">
        <v>3</v>
      </c>
      <c r="L674" s="9" t="n">
        <v>32.99</v>
      </c>
      <c r="M674" s="10" t="n">
        <v>0.15</v>
      </c>
      <c r="N674" s="9" t="n">
        <v>19.79</v>
      </c>
      <c r="O674" s="9" t="n">
        <v>98.97</v>
      </c>
      <c r="P674" s="9" t="n">
        <v>14.85</v>
      </c>
      <c r="Q674" s="9" t="n">
        <v>84.12</v>
      </c>
      <c r="R674" s="9" t="n">
        <v>59.37</v>
      </c>
      <c r="S674" s="9" t="n">
        <v>24.75</v>
      </c>
      <c r="T674" s="10" t="n">
        <v>0.2942</v>
      </c>
    </row>
    <row r="675">
      <c r="A675" s="7" t="inlineStr">
        <is>
          <t>ORD-2024-1419</t>
        </is>
      </c>
      <c r="B675" s="7" t="inlineStr">
        <is>
          <t>2024-10-06</t>
        </is>
      </c>
      <c r="C675" s="7" t="inlineStr">
        <is>
          <t>OFF-PAP-003</t>
        </is>
      </c>
      <c r="D675" s="7" t="inlineStr">
        <is>
          <t>UltraWhite Premium Multipurpose Paper (Case)</t>
        </is>
      </c>
      <c r="E675" s="7" t="inlineStr">
        <is>
          <t>Office Supplies</t>
        </is>
      </c>
      <c r="F675" s="7" t="inlineStr">
        <is>
          <t>Paper Products</t>
        </is>
      </c>
      <c r="G675" s="7" t="inlineStr">
        <is>
          <t>East</t>
        </is>
      </c>
      <c r="H675" s="7" t="inlineStr">
        <is>
          <t>New Jersey</t>
        </is>
      </c>
      <c r="I675" s="7" t="inlineStr">
        <is>
          <t>Retail Partner</t>
        </is>
      </c>
      <c r="J675" s="7" t="inlineStr">
        <is>
          <t>Consumer</t>
        </is>
      </c>
      <c r="K675" s="8" t="n">
        <v>4</v>
      </c>
      <c r="L675" s="9" t="n">
        <v>54.99</v>
      </c>
      <c r="M675" s="10" t="n">
        <v>0</v>
      </c>
      <c r="N675" s="9" t="n">
        <v>31.89</v>
      </c>
      <c r="O675" s="9" t="n">
        <v>219.96</v>
      </c>
      <c r="P675" s="9" t="n">
        <v>0</v>
      </c>
      <c r="Q675" s="9" t="n">
        <v>219.96</v>
      </c>
      <c r="R675" s="9" t="n">
        <v>127.56</v>
      </c>
      <c r="S675" s="9" t="n">
        <v>92.40000000000001</v>
      </c>
      <c r="T675" s="10" t="n">
        <v>0.4201</v>
      </c>
    </row>
    <row r="676">
      <c r="A676" s="7" t="inlineStr">
        <is>
          <t>ORD-2024-1419</t>
        </is>
      </c>
      <c r="B676" s="7" t="inlineStr">
        <is>
          <t>2024-10-06</t>
        </is>
      </c>
      <c r="C676" s="7" t="inlineStr">
        <is>
          <t>OFF-PAP-004</t>
        </is>
      </c>
      <c r="D676" s="7" t="inlineStr">
        <is>
          <t>EcoRecycled Copy Paper (5 Reams)</t>
        </is>
      </c>
      <c r="E676" s="7" t="inlineStr">
        <is>
          <t>Office Supplies</t>
        </is>
      </c>
      <c r="F676" s="7" t="inlineStr">
        <is>
          <t>Paper Products</t>
        </is>
      </c>
      <c r="G676" s="7" t="inlineStr">
        <is>
          <t>East</t>
        </is>
      </c>
      <c r="H676" s="7" t="inlineStr">
        <is>
          <t>New Jersey</t>
        </is>
      </c>
      <c r="I676" s="7" t="inlineStr">
        <is>
          <t>Retail Partner</t>
        </is>
      </c>
      <c r="J676" s="7" t="inlineStr">
        <is>
          <t>Consumer</t>
        </is>
      </c>
      <c r="K676" s="8" t="n">
        <v>1</v>
      </c>
      <c r="L676" s="9" t="n">
        <v>32.99</v>
      </c>
      <c r="M676" s="10" t="n">
        <v>0</v>
      </c>
      <c r="N676" s="9" t="n">
        <v>19.79</v>
      </c>
      <c r="O676" s="9" t="n">
        <v>32.99</v>
      </c>
      <c r="P676" s="9" t="n">
        <v>0</v>
      </c>
      <c r="Q676" s="9" t="n">
        <v>32.99</v>
      </c>
      <c r="R676" s="9" t="n">
        <v>19.79</v>
      </c>
      <c r="S676" s="9" t="n">
        <v>13.2</v>
      </c>
      <c r="T676" s="10" t="n">
        <v>0.4001</v>
      </c>
    </row>
    <row r="677">
      <c r="A677" s="7" t="inlineStr">
        <is>
          <t>ORD-2024-1125</t>
        </is>
      </c>
      <c r="B677" s="7" t="inlineStr">
        <is>
          <t>2024-10-08</t>
        </is>
      </c>
      <c r="C677" s="7" t="inlineStr">
        <is>
          <t>TEC-ACC-005</t>
        </is>
      </c>
      <c r="D677" s="7" t="inlineStr">
        <is>
          <t>UltraWireless Noise-Canceling Headset</t>
        </is>
      </c>
      <c r="E677" s="7" t="inlineStr">
        <is>
          <t>Technology</t>
        </is>
      </c>
      <c r="F677" s="7" t="inlineStr">
        <is>
          <t>Audio &amp; Accessories</t>
        </is>
      </c>
      <c r="G677" s="7" t="inlineStr">
        <is>
          <t>West</t>
        </is>
      </c>
      <c r="H677" s="7" t="inlineStr">
        <is>
          <t>Colorado</t>
        </is>
      </c>
      <c r="I677" s="7" t="inlineStr">
        <is>
          <t>Direct Sales</t>
        </is>
      </c>
      <c r="J677" s="7" t="inlineStr">
        <is>
          <t>Corporate</t>
        </is>
      </c>
      <c r="K677" s="8" t="n">
        <v>7</v>
      </c>
      <c r="L677" s="9" t="n">
        <v>179.99</v>
      </c>
      <c r="M677" s="10" t="n">
        <v>0.05</v>
      </c>
      <c r="N677" s="9" t="n">
        <v>111.59</v>
      </c>
      <c r="O677" s="9" t="n">
        <v>1259.93</v>
      </c>
      <c r="P677" s="9" t="n">
        <v>63</v>
      </c>
      <c r="Q677" s="9" t="n">
        <v>1196.93</v>
      </c>
      <c r="R677" s="9" t="n">
        <v>781.13</v>
      </c>
      <c r="S677" s="9" t="n">
        <v>415.8</v>
      </c>
      <c r="T677" s="10" t="n">
        <v>0.3474</v>
      </c>
    </row>
    <row r="678">
      <c r="A678" s="7" t="inlineStr">
        <is>
          <t>ORD-2024-1015</t>
        </is>
      </c>
      <c r="B678" s="7" t="inlineStr">
        <is>
          <t>2024-10-09</t>
        </is>
      </c>
      <c r="C678" s="7" t="inlineStr">
        <is>
          <t>OFF-DSK-007</t>
        </is>
      </c>
      <c r="D678" s="7" t="inlineStr">
        <is>
          <t>Gel Ergo Mouse Pad &amp; Wrist Rest Combo</t>
        </is>
      </c>
      <c r="E678" s="7" t="inlineStr">
        <is>
          <t>Office Supplies</t>
        </is>
      </c>
      <c r="F678" s="7" t="inlineStr">
        <is>
          <t>Desk Supplies</t>
        </is>
      </c>
      <c r="G678" s="7" t="inlineStr">
        <is>
          <t>Central</t>
        </is>
      </c>
      <c r="H678" s="7" t="inlineStr">
        <is>
          <t>Michigan</t>
        </is>
      </c>
      <c r="I678" s="7" t="inlineStr">
        <is>
          <t>Direct Sales</t>
        </is>
      </c>
      <c r="J678" s="7" t="inlineStr">
        <is>
          <t>Corporate</t>
        </is>
      </c>
      <c r="K678" s="8" t="n">
        <v>8</v>
      </c>
      <c r="L678" s="9" t="n">
        <v>21.99</v>
      </c>
      <c r="M678" s="10" t="n">
        <v>0</v>
      </c>
      <c r="N678" s="9" t="n">
        <v>10.56</v>
      </c>
      <c r="O678" s="9" t="n">
        <v>175.92</v>
      </c>
      <c r="P678" s="9" t="n">
        <v>0</v>
      </c>
      <c r="Q678" s="9" t="n">
        <v>175.92</v>
      </c>
      <c r="R678" s="9" t="n">
        <v>84.48</v>
      </c>
      <c r="S678" s="9" t="n">
        <v>91.44</v>
      </c>
      <c r="T678" s="10" t="n">
        <v>0.5198</v>
      </c>
    </row>
    <row r="679">
      <c r="A679" s="7" t="inlineStr">
        <is>
          <t>ORD-2024-1137</t>
        </is>
      </c>
      <c r="B679" s="7" t="inlineStr">
        <is>
          <t>2024-10-09</t>
        </is>
      </c>
      <c r="C679" s="7" t="inlineStr">
        <is>
          <t>FUR-DSK-003</t>
        </is>
      </c>
      <c r="D679" s="7" t="inlineStr">
        <is>
          <t>ApexMotor Dual-Motor Standing Desk</t>
        </is>
      </c>
      <c r="E679" s="7" t="inlineStr">
        <is>
          <t>Furniture</t>
        </is>
      </c>
      <c r="F679" s="7" t="inlineStr">
        <is>
          <t>Desks &amp; Workstations</t>
        </is>
      </c>
      <c r="G679" s="7" t="inlineStr">
        <is>
          <t>West</t>
        </is>
      </c>
      <c r="H679" s="7" t="inlineStr">
        <is>
          <t>Colorado</t>
        </is>
      </c>
      <c r="I679" s="7" t="inlineStr">
        <is>
          <t>Online</t>
        </is>
      </c>
      <c r="J679" s="7" t="inlineStr">
        <is>
          <t>Consumer</t>
        </is>
      </c>
      <c r="K679" s="8" t="n">
        <v>2</v>
      </c>
      <c r="L679" s="9" t="n">
        <v>549.99</v>
      </c>
      <c r="M679" s="10" t="n">
        <v>0</v>
      </c>
      <c r="N679" s="9" t="n">
        <v>439.99</v>
      </c>
      <c r="O679" s="9" t="n">
        <v>1099.98</v>
      </c>
      <c r="P679" s="9" t="n">
        <v>0</v>
      </c>
      <c r="Q679" s="9" t="n">
        <v>1099.98</v>
      </c>
      <c r="R679" s="9" t="n">
        <v>879.98</v>
      </c>
      <c r="S679" s="9" t="n">
        <v>220</v>
      </c>
      <c r="T679" s="10" t="n">
        <v>0.2</v>
      </c>
    </row>
    <row r="680">
      <c r="A680" s="7" t="inlineStr">
        <is>
          <t>ORD-2024-1169</t>
        </is>
      </c>
      <c r="B680" s="7" t="inlineStr">
        <is>
          <t>2024-10-09</t>
        </is>
      </c>
      <c r="C680" s="7" t="inlineStr">
        <is>
          <t>FUR-CHA-001</t>
        </is>
      </c>
      <c r="D680" s="7" t="inlineStr">
        <is>
          <t>ErgoFlex Executive Mesh Chair</t>
        </is>
      </c>
      <c r="E680" s="7" t="inlineStr">
        <is>
          <t>Furniture</t>
        </is>
      </c>
      <c r="F680" s="7" t="inlineStr">
        <is>
          <t>Chairs</t>
        </is>
      </c>
      <c r="G680" s="7" t="inlineStr">
        <is>
          <t>West</t>
        </is>
      </c>
      <c r="H680" s="7" t="inlineStr">
        <is>
          <t>Oregon</t>
        </is>
      </c>
      <c r="I680" s="7" t="inlineStr">
        <is>
          <t>Wholesale</t>
        </is>
      </c>
      <c r="J680" s="7" t="inlineStr">
        <is>
          <t>Corporate</t>
        </is>
      </c>
      <c r="K680" s="8" t="n">
        <v>8</v>
      </c>
      <c r="L680" s="9" t="n">
        <v>389.99</v>
      </c>
      <c r="M680" s="10" t="n">
        <v>0.1</v>
      </c>
      <c r="N680" s="9" t="n">
        <v>331.49</v>
      </c>
      <c r="O680" s="9" t="n">
        <v>3119.92</v>
      </c>
      <c r="P680" s="9" t="n">
        <v>311.99</v>
      </c>
      <c r="Q680" s="9" t="n">
        <v>2807.93</v>
      </c>
      <c r="R680" s="9" t="n">
        <v>2651.92</v>
      </c>
      <c r="S680" s="9" t="n">
        <v>156.01</v>
      </c>
      <c r="T680" s="10" t="n">
        <v>0.0556</v>
      </c>
    </row>
    <row r="681">
      <c r="A681" s="7" t="inlineStr">
        <is>
          <t>ORD-2024-1249</t>
        </is>
      </c>
      <c r="B681" s="7" t="inlineStr">
        <is>
          <t>2024-10-09</t>
        </is>
      </c>
      <c r="C681" s="7" t="inlineStr">
        <is>
          <t>OFF-BIN-005</t>
        </is>
      </c>
      <c r="D681" s="7" t="inlineStr">
        <is>
          <t>Heavy-Duty D-Ring Presentation Binder (6-Pk)</t>
        </is>
      </c>
      <c r="E681" s="7" t="inlineStr">
        <is>
          <t>Office Supplies</t>
        </is>
      </c>
      <c r="F681" s="7" t="inlineStr">
        <is>
          <t>Binders &amp; Fasteners</t>
        </is>
      </c>
      <c r="G681" s="7" t="inlineStr">
        <is>
          <t>Central</t>
        </is>
      </c>
      <c r="H681" s="7" t="inlineStr">
        <is>
          <t>Illinois</t>
        </is>
      </c>
      <c r="I681" s="7" t="inlineStr">
        <is>
          <t>Wholesale</t>
        </is>
      </c>
      <c r="J681" s="7" t="inlineStr">
        <is>
          <t>Consumer</t>
        </is>
      </c>
      <c r="K681" s="8" t="n">
        <v>15</v>
      </c>
      <c r="L681" s="9" t="n">
        <v>27.99</v>
      </c>
      <c r="M681" s="10" t="n">
        <v>0.15</v>
      </c>
      <c r="N681" s="9" t="n">
        <v>13.99</v>
      </c>
      <c r="O681" s="9" t="n">
        <v>419.85</v>
      </c>
      <c r="P681" s="9" t="n">
        <v>62.98</v>
      </c>
      <c r="Q681" s="9" t="n">
        <v>356.87</v>
      </c>
      <c r="R681" s="9" t="n">
        <v>209.85</v>
      </c>
      <c r="S681" s="9" t="n">
        <v>147.02</v>
      </c>
      <c r="T681" s="10" t="n">
        <v>0.412</v>
      </c>
    </row>
    <row r="682">
      <c r="A682" s="7" t="inlineStr">
        <is>
          <t>ORD-2024-1365</t>
        </is>
      </c>
      <c r="B682" s="7" t="inlineStr">
        <is>
          <t>2024-10-10</t>
        </is>
      </c>
      <c r="C682" s="7" t="inlineStr">
        <is>
          <t>OFF-PAP-003</t>
        </is>
      </c>
      <c r="D682" s="7" t="inlineStr">
        <is>
          <t>UltraWhite Premium Multipurpose Paper (Case)</t>
        </is>
      </c>
      <c r="E682" s="7" t="inlineStr">
        <is>
          <t>Office Supplies</t>
        </is>
      </c>
      <c r="F682" s="7" t="inlineStr">
        <is>
          <t>Paper Products</t>
        </is>
      </c>
      <c r="G682" s="7" t="inlineStr">
        <is>
          <t>East</t>
        </is>
      </c>
      <c r="H682" s="7" t="inlineStr">
        <is>
          <t>New York</t>
        </is>
      </c>
      <c r="I682" s="7" t="inlineStr">
        <is>
          <t>Online</t>
        </is>
      </c>
      <c r="J682" s="7" t="inlineStr">
        <is>
          <t>Home Office</t>
        </is>
      </c>
      <c r="K682" s="8" t="n">
        <v>1</v>
      </c>
      <c r="L682" s="9" t="n">
        <v>54.99</v>
      </c>
      <c r="M682" s="10" t="n">
        <v>0.1</v>
      </c>
      <c r="N682" s="9" t="n">
        <v>31.89</v>
      </c>
      <c r="O682" s="9" t="n">
        <v>54.99</v>
      </c>
      <c r="P682" s="9" t="n">
        <v>5.5</v>
      </c>
      <c r="Q682" s="9" t="n">
        <v>49.49</v>
      </c>
      <c r="R682" s="9" t="n">
        <v>31.89</v>
      </c>
      <c r="S682" s="9" t="n">
        <v>17.6</v>
      </c>
      <c r="T682" s="10" t="n">
        <v>0.3556</v>
      </c>
    </row>
    <row r="683">
      <c r="A683" s="7" t="inlineStr">
        <is>
          <t>ORD-2024-1365</t>
        </is>
      </c>
      <c r="B683" s="7" t="inlineStr">
        <is>
          <t>2024-10-10</t>
        </is>
      </c>
      <c r="C683" s="7" t="inlineStr">
        <is>
          <t>OFF-DSK-008</t>
        </is>
      </c>
      <c r="D683" s="7" t="inlineStr">
        <is>
          <t>Steel Desktop Mesh Organizer Caddy</t>
        </is>
      </c>
      <c r="E683" s="7" t="inlineStr">
        <is>
          <t>Office Supplies</t>
        </is>
      </c>
      <c r="F683" s="7" t="inlineStr">
        <is>
          <t>Desk Supplies</t>
        </is>
      </c>
      <c r="G683" s="7" t="inlineStr">
        <is>
          <t>East</t>
        </is>
      </c>
      <c r="H683" s="7" t="inlineStr">
        <is>
          <t>New York</t>
        </is>
      </c>
      <c r="I683" s="7" t="inlineStr">
        <is>
          <t>Online</t>
        </is>
      </c>
      <c r="J683" s="7" t="inlineStr">
        <is>
          <t>Home Office</t>
        </is>
      </c>
      <c r="K683" s="8" t="n">
        <v>3</v>
      </c>
      <c r="L683" s="9" t="n">
        <v>18.99</v>
      </c>
      <c r="M683" s="10" t="n">
        <v>0</v>
      </c>
      <c r="N683" s="9" t="n">
        <v>8.550000000000001</v>
      </c>
      <c r="O683" s="9" t="n">
        <v>56.97</v>
      </c>
      <c r="P683" s="9" t="n">
        <v>0</v>
      </c>
      <c r="Q683" s="9" t="n">
        <v>56.97</v>
      </c>
      <c r="R683" s="9" t="n">
        <v>25.65</v>
      </c>
      <c r="S683" s="9" t="n">
        <v>31.32</v>
      </c>
      <c r="T683" s="10" t="n">
        <v>0.5498</v>
      </c>
    </row>
    <row r="684">
      <c r="A684" s="7" t="inlineStr">
        <is>
          <t>ORD-2024-1365</t>
        </is>
      </c>
      <c r="B684" s="7" t="inlineStr">
        <is>
          <t>2024-10-10</t>
        </is>
      </c>
      <c r="C684" s="7" t="inlineStr">
        <is>
          <t>OFF-ART-006</t>
        </is>
      </c>
      <c r="D684" s="7" t="inlineStr">
        <is>
          <t>Professional Presentation Dry Erase Board</t>
        </is>
      </c>
      <c r="E684" s="7" t="inlineStr">
        <is>
          <t>Office Supplies</t>
        </is>
      </c>
      <c r="F684" s="7" t="inlineStr">
        <is>
          <t>Presentation &amp; Art</t>
        </is>
      </c>
      <c r="G684" s="7" t="inlineStr">
        <is>
          <t>East</t>
        </is>
      </c>
      <c r="H684" s="7" t="inlineStr">
        <is>
          <t>New York</t>
        </is>
      </c>
      <c r="I684" s="7" t="inlineStr">
        <is>
          <t>Online</t>
        </is>
      </c>
      <c r="J684" s="7" t="inlineStr">
        <is>
          <t>Home Office</t>
        </is>
      </c>
      <c r="K684" s="8" t="n">
        <v>2</v>
      </c>
      <c r="L684" s="9" t="n">
        <v>89.98999999999999</v>
      </c>
      <c r="M684" s="10" t="n">
        <v>0.05</v>
      </c>
      <c r="N684" s="9" t="n">
        <v>53.99</v>
      </c>
      <c r="O684" s="9" t="n">
        <v>179.98</v>
      </c>
      <c r="P684" s="9" t="n">
        <v>9</v>
      </c>
      <c r="Q684" s="9" t="n">
        <v>170.98</v>
      </c>
      <c r="R684" s="9" t="n">
        <v>107.98</v>
      </c>
      <c r="S684" s="9" t="n">
        <v>63</v>
      </c>
      <c r="T684" s="10" t="n">
        <v>0.3685</v>
      </c>
    </row>
    <row r="685">
      <c r="A685" s="7" t="inlineStr">
        <is>
          <t>ORD-2024-1488</t>
        </is>
      </c>
      <c r="B685" s="7" t="inlineStr">
        <is>
          <t>2024-10-10</t>
        </is>
      </c>
      <c r="C685" s="7" t="inlineStr">
        <is>
          <t>FUR-DSK-004</t>
        </is>
      </c>
      <c r="D685" s="7" t="inlineStr">
        <is>
          <t>Metro Compact Corner Workstation</t>
        </is>
      </c>
      <c r="E685" s="7" t="inlineStr">
        <is>
          <t>Furniture</t>
        </is>
      </c>
      <c r="F685" s="7" t="inlineStr">
        <is>
          <t>Desks &amp; Workstations</t>
        </is>
      </c>
      <c r="G685" s="7" t="inlineStr">
        <is>
          <t>West</t>
        </is>
      </c>
      <c r="H685" s="7" t="inlineStr">
        <is>
          <t>California</t>
        </is>
      </c>
      <c r="I685" s="7" t="inlineStr">
        <is>
          <t>Online</t>
        </is>
      </c>
      <c r="J685" s="7" t="inlineStr">
        <is>
          <t>Home Office</t>
        </is>
      </c>
      <c r="K685" s="8" t="n">
        <v>4</v>
      </c>
      <c r="L685" s="9" t="n">
        <v>329.99</v>
      </c>
      <c r="M685" s="10" t="n">
        <v>0</v>
      </c>
      <c r="N685" s="9" t="n">
        <v>250.79</v>
      </c>
      <c r="O685" s="9" t="n">
        <v>1319.96</v>
      </c>
      <c r="P685" s="9" t="n">
        <v>0</v>
      </c>
      <c r="Q685" s="9" t="n">
        <v>1319.96</v>
      </c>
      <c r="R685" s="9" t="n">
        <v>1003.16</v>
      </c>
      <c r="S685" s="9" t="n">
        <v>316.8</v>
      </c>
      <c r="T685" s="10" t="n">
        <v>0.24</v>
      </c>
    </row>
    <row r="686">
      <c r="A686" s="7" t="inlineStr">
        <is>
          <t>ORD-2024-1528</t>
        </is>
      </c>
      <c r="B686" s="7" t="inlineStr">
        <is>
          <t>2024-10-10</t>
        </is>
      </c>
      <c r="C686" s="7" t="inlineStr">
        <is>
          <t>FUR-BOK-005</t>
        </is>
      </c>
      <c r="D686" s="7" t="inlineStr">
        <is>
          <t>Modular 5-Tier Steel Bookcase</t>
        </is>
      </c>
      <c r="E686" s="7" t="inlineStr">
        <is>
          <t>Furniture</t>
        </is>
      </c>
      <c r="F686" s="7" t="inlineStr">
        <is>
          <t>Bookcases</t>
        </is>
      </c>
      <c r="G686" s="7" t="inlineStr">
        <is>
          <t>Central</t>
        </is>
      </c>
      <c r="H686" s="7" t="inlineStr">
        <is>
          <t>Illinois</t>
        </is>
      </c>
      <c r="I686" s="7" t="inlineStr">
        <is>
          <t>Online</t>
        </is>
      </c>
      <c r="J686" s="7" t="inlineStr">
        <is>
          <t>Corporate</t>
        </is>
      </c>
      <c r="K686" s="8" t="n">
        <v>4</v>
      </c>
      <c r="L686" s="9" t="n">
        <v>189.99</v>
      </c>
      <c r="M686" s="10" t="n">
        <v>0.1</v>
      </c>
      <c r="N686" s="9" t="n">
        <v>142.49</v>
      </c>
      <c r="O686" s="9" t="n">
        <v>759.96</v>
      </c>
      <c r="P686" s="9" t="n">
        <v>76</v>
      </c>
      <c r="Q686" s="9" t="n">
        <v>683.96</v>
      </c>
      <c r="R686" s="9" t="n">
        <v>569.96</v>
      </c>
      <c r="S686" s="9" t="n">
        <v>114</v>
      </c>
      <c r="T686" s="10" t="n">
        <v>0.1667</v>
      </c>
    </row>
    <row r="687">
      <c r="A687" s="7" t="inlineStr">
        <is>
          <t>ORD-2024-1727</t>
        </is>
      </c>
      <c r="B687" s="7" t="inlineStr">
        <is>
          <t>2024-10-10</t>
        </is>
      </c>
      <c r="C687" s="7" t="inlineStr">
        <is>
          <t>OFF-PAP-003</t>
        </is>
      </c>
      <c r="D687" s="7" t="inlineStr">
        <is>
          <t>UltraWhite Premium Multipurpose Paper (Case)</t>
        </is>
      </c>
      <c r="E687" s="7" t="inlineStr">
        <is>
          <t>Office Supplies</t>
        </is>
      </c>
      <c r="F687" s="7" t="inlineStr">
        <is>
          <t>Paper Products</t>
        </is>
      </c>
      <c r="G687" s="7" t="inlineStr">
        <is>
          <t>East</t>
        </is>
      </c>
      <c r="H687" s="7" t="inlineStr">
        <is>
          <t>New York</t>
        </is>
      </c>
      <c r="I687" s="7" t="inlineStr">
        <is>
          <t>Direct Sales</t>
        </is>
      </c>
      <c r="J687" s="7" t="inlineStr">
        <is>
          <t>Corporate</t>
        </is>
      </c>
      <c r="K687" s="8" t="n">
        <v>3</v>
      </c>
      <c r="L687" s="9" t="n">
        <v>54.99</v>
      </c>
      <c r="M687" s="10" t="n">
        <v>0</v>
      </c>
      <c r="N687" s="9" t="n">
        <v>31.89</v>
      </c>
      <c r="O687" s="9" t="n">
        <v>164.97</v>
      </c>
      <c r="P687" s="9" t="n">
        <v>0</v>
      </c>
      <c r="Q687" s="9" t="n">
        <v>164.97</v>
      </c>
      <c r="R687" s="9" t="n">
        <v>95.67</v>
      </c>
      <c r="S687" s="9" t="n">
        <v>69.3</v>
      </c>
      <c r="T687" s="10" t="n">
        <v>0.4201</v>
      </c>
    </row>
    <row r="688">
      <c r="A688" s="7" t="inlineStr">
        <is>
          <t>ORD-2024-1333</t>
        </is>
      </c>
      <c r="B688" s="7" t="inlineStr">
        <is>
          <t>2024-10-11</t>
        </is>
      </c>
      <c r="C688" s="7" t="inlineStr">
        <is>
          <t>TEC-TAB-003</t>
        </is>
      </c>
      <c r="D688" s="7" t="inlineStr">
        <is>
          <t>VisionPad Pro 11"</t>
        </is>
      </c>
      <c r="E688" s="7" t="inlineStr">
        <is>
          <t>Technology</t>
        </is>
      </c>
      <c r="F688" s="7" t="inlineStr">
        <is>
          <t>Phones &amp; Tablets</t>
        </is>
      </c>
      <c r="G688" s="7" t="inlineStr">
        <is>
          <t>Central</t>
        </is>
      </c>
      <c r="H688" s="7" t="inlineStr">
        <is>
          <t>Texas</t>
        </is>
      </c>
      <c r="I688" s="7" t="inlineStr">
        <is>
          <t>Online</t>
        </is>
      </c>
      <c r="J688" s="7" t="inlineStr">
        <is>
          <t>Home Office</t>
        </is>
      </c>
      <c r="K688" s="8" t="n">
        <v>1</v>
      </c>
      <c r="L688" s="9" t="n">
        <v>649.99</v>
      </c>
      <c r="M688" s="10" t="n">
        <v>0</v>
      </c>
      <c r="N688" s="9" t="n">
        <v>487.49</v>
      </c>
      <c r="O688" s="9" t="n">
        <v>649.99</v>
      </c>
      <c r="P688" s="9" t="n">
        <v>0</v>
      </c>
      <c r="Q688" s="9" t="n">
        <v>649.99</v>
      </c>
      <c r="R688" s="9" t="n">
        <v>487.49</v>
      </c>
      <c r="S688" s="9" t="n">
        <v>162.5</v>
      </c>
      <c r="T688" s="10" t="n">
        <v>0.25</v>
      </c>
    </row>
    <row r="689">
      <c r="A689" s="7" t="inlineStr">
        <is>
          <t>ORD-2024-1523</t>
        </is>
      </c>
      <c r="B689" s="7" t="inlineStr">
        <is>
          <t>2024-10-11</t>
        </is>
      </c>
      <c r="C689" s="7" t="inlineStr">
        <is>
          <t>TEC-TAB-004</t>
        </is>
      </c>
      <c r="D689" s="7" t="inlineStr">
        <is>
          <t>VisionPad Lite 8.5"</t>
        </is>
      </c>
      <c r="E689" s="7" t="inlineStr">
        <is>
          <t>Technology</t>
        </is>
      </c>
      <c r="F689" s="7" t="inlineStr">
        <is>
          <t>Phones &amp; Tablets</t>
        </is>
      </c>
      <c r="G689" s="7" t="inlineStr">
        <is>
          <t>East</t>
        </is>
      </c>
      <c r="H689" s="7" t="inlineStr">
        <is>
          <t>New Jersey</t>
        </is>
      </c>
      <c r="I689" s="7" t="inlineStr">
        <is>
          <t>Retail Partner</t>
        </is>
      </c>
      <c r="J689" s="7" t="inlineStr">
        <is>
          <t>Consumer</t>
        </is>
      </c>
      <c r="K689" s="8" t="n">
        <v>2</v>
      </c>
      <c r="L689" s="9" t="n">
        <v>299.99</v>
      </c>
      <c r="M689" s="10" t="n">
        <v>0.1</v>
      </c>
      <c r="N689" s="9" t="n">
        <v>245.99</v>
      </c>
      <c r="O689" s="9" t="n">
        <v>599.98</v>
      </c>
      <c r="P689" s="9" t="n">
        <v>60</v>
      </c>
      <c r="Q689" s="9" t="n">
        <v>539.98</v>
      </c>
      <c r="R689" s="9" t="n">
        <v>491.98</v>
      </c>
      <c r="S689" s="9" t="n">
        <v>48</v>
      </c>
      <c r="T689" s="10" t="n">
        <v>0.08890000000000001</v>
      </c>
    </row>
    <row r="690">
      <c r="A690" s="7" t="inlineStr">
        <is>
          <t>ORD-2024-1693</t>
        </is>
      </c>
      <c r="B690" s="7" t="inlineStr">
        <is>
          <t>2024-10-11</t>
        </is>
      </c>
      <c r="C690" s="7" t="inlineStr">
        <is>
          <t>TEC-TAB-003</t>
        </is>
      </c>
      <c r="D690" s="7" t="inlineStr">
        <is>
          <t>VisionPad Pro 11"</t>
        </is>
      </c>
      <c r="E690" s="7" t="inlineStr">
        <is>
          <t>Technology</t>
        </is>
      </c>
      <c r="F690" s="7" t="inlineStr">
        <is>
          <t>Phones &amp; Tablets</t>
        </is>
      </c>
      <c r="G690" s="7" t="inlineStr">
        <is>
          <t>South</t>
        </is>
      </c>
      <c r="H690" s="7" t="inlineStr">
        <is>
          <t>Florida</t>
        </is>
      </c>
      <c r="I690" s="7" t="inlineStr">
        <is>
          <t>Online</t>
        </is>
      </c>
      <c r="J690" s="7" t="inlineStr">
        <is>
          <t>Consumer</t>
        </is>
      </c>
      <c r="K690" s="8" t="n">
        <v>4</v>
      </c>
      <c r="L690" s="9" t="n">
        <v>649.99</v>
      </c>
      <c r="M690" s="10" t="n">
        <v>0</v>
      </c>
      <c r="N690" s="9" t="n">
        <v>487.49</v>
      </c>
      <c r="O690" s="9" t="n">
        <v>2599.96</v>
      </c>
      <c r="P690" s="9" t="n">
        <v>0</v>
      </c>
      <c r="Q690" s="9" t="n">
        <v>2599.96</v>
      </c>
      <c r="R690" s="9" t="n">
        <v>1949.96</v>
      </c>
      <c r="S690" s="9" t="n">
        <v>650</v>
      </c>
      <c r="T690" s="10" t="n">
        <v>0.25</v>
      </c>
    </row>
    <row r="691">
      <c r="A691" s="7" t="inlineStr">
        <is>
          <t>ORD-2024-1042</t>
        </is>
      </c>
      <c r="B691" s="7" t="inlineStr">
        <is>
          <t>2024-10-12</t>
        </is>
      </c>
      <c r="C691" s="7" t="inlineStr">
        <is>
          <t>OFF-PAP-003</t>
        </is>
      </c>
      <c r="D691" s="7" t="inlineStr">
        <is>
          <t>UltraWhite Premium Multipurpose Paper (Case)</t>
        </is>
      </c>
      <c r="E691" s="7" t="inlineStr">
        <is>
          <t>Office Supplies</t>
        </is>
      </c>
      <c r="F691" s="7" t="inlineStr">
        <is>
          <t>Paper Products</t>
        </is>
      </c>
      <c r="G691" s="7" t="inlineStr">
        <is>
          <t>East</t>
        </is>
      </c>
      <c r="H691" s="7" t="inlineStr">
        <is>
          <t>New Jersey</t>
        </is>
      </c>
      <c r="I691" s="7" t="inlineStr">
        <is>
          <t>Online</t>
        </is>
      </c>
      <c r="J691" s="7" t="inlineStr">
        <is>
          <t>Home Office</t>
        </is>
      </c>
      <c r="K691" s="8" t="n">
        <v>4</v>
      </c>
      <c r="L691" s="9" t="n">
        <v>54.99</v>
      </c>
      <c r="M691" s="10" t="n">
        <v>0.1</v>
      </c>
      <c r="N691" s="9" t="n">
        <v>31.89</v>
      </c>
      <c r="O691" s="9" t="n">
        <v>219.96</v>
      </c>
      <c r="P691" s="9" t="n">
        <v>22</v>
      </c>
      <c r="Q691" s="9" t="n">
        <v>197.96</v>
      </c>
      <c r="R691" s="9" t="n">
        <v>127.56</v>
      </c>
      <c r="S691" s="9" t="n">
        <v>70.40000000000001</v>
      </c>
      <c r="T691" s="10" t="n">
        <v>0.3556</v>
      </c>
    </row>
    <row r="692">
      <c r="A692" s="7" t="inlineStr">
        <is>
          <t>ORD-2024-1042</t>
        </is>
      </c>
      <c r="B692" s="7" t="inlineStr">
        <is>
          <t>2024-10-12</t>
        </is>
      </c>
      <c r="C692" s="7" t="inlineStr">
        <is>
          <t>TEC-TAB-004</t>
        </is>
      </c>
      <c r="D692" s="7" t="inlineStr">
        <is>
          <t>VisionPad Lite 8.5"</t>
        </is>
      </c>
      <c r="E692" s="7" t="inlineStr">
        <is>
          <t>Technology</t>
        </is>
      </c>
      <c r="F692" s="7" t="inlineStr">
        <is>
          <t>Phones &amp; Tablets</t>
        </is>
      </c>
      <c r="G692" s="7" t="inlineStr">
        <is>
          <t>East</t>
        </is>
      </c>
      <c r="H692" s="7" t="inlineStr">
        <is>
          <t>New Jersey</t>
        </is>
      </c>
      <c r="I692" s="7" t="inlineStr">
        <is>
          <t>Online</t>
        </is>
      </c>
      <c r="J692" s="7" t="inlineStr">
        <is>
          <t>Home Office</t>
        </is>
      </c>
      <c r="K692" s="8" t="n">
        <v>2</v>
      </c>
      <c r="L692" s="9" t="n">
        <v>299.99</v>
      </c>
      <c r="M692" s="10" t="n">
        <v>0.1</v>
      </c>
      <c r="N692" s="9" t="n">
        <v>245.99</v>
      </c>
      <c r="O692" s="9" t="n">
        <v>599.98</v>
      </c>
      <c r="P692" s="9" t="n">
        <v>60</v>
      </c>
      <c r="Q692" s="9" t="n">
        <v>539.98</v>
      </c>
      <c r="R692" s="9" t="n">
        <v>491.98</v>
      </c>
      <c r="S692" s="9" t="n">
        <v>48</v>
      </c>
      <c r="T692" s="10" t="n">
        <v>0.08890000000000001</v>
      </c>
    </row>
    <row r="693">
      <c r="A693" s="7" t="inlineStr">
        <is>
          <t>ORD-2024-1566</t>
        </is>
      </c>
      <c r="B693" s="7" t="inlineStr">
        <is>
          <t>2024-10-12</t>
        </is>
      </c>
      <c r="C693" s="7" t="inlineStr">
        <is>
          <t>OFF-STR-001</t>
        </is>
      </c>
      <c r="D693" s="7" t="inlineStr">
        <is>
          <t>SteelLock 3-Drawer File Cabinet</t>
        </is>
      </c>
      <c r="E693" s="7" t="inlineStr">
        <is>
          <t>Office Supplies</t>
        </is>
      </c>
      <c r="F693" s="7" t="inlineStr">
        <is>
          <t>Storage &amp; Organizers</t>
        </is>
      </c>
      <c r="G693" s="7" t="inlineStr">
        <is>
          <t>West</t>
        </is>
      </c>
      <c r="H693" s="7" t="inlineStr">
        <is>
          <t>Colorado</t>
        </is>
      </c>
      <c r="I693" s="7" t="inlineStr">
        <is>
          <t>Direct Sales</t>
        </is>
      </c>
      <c r="J693" s="7" t="inlineStr">
        <is>
          <t>Consumer</t>
        </is>
      </c>
      <c r="K693" s="8" t="n">
        <v>1</v>
      </c>
      <c r="L693" s="9" t="n">
        <v>169.99</v>
      </c>
      <c r="M693" s="10" t="n">
        <v>0</v>
      </c>
      <c r="N693" s="9" t="n">
        <v>115.59</v>
      </c>
      <c r="O693" s="9" t="n">
        <v>169.99</v>
      </c>
      <c r="P693" s="9" t="n">
        <v>0</v>
      </c>
      <c r="Q693" s="9" t="n">
        <v>169.99</v>
      </c>
      <c r="R693" s="9" t="n">
        <v>115.59</v>
      </c>
      <c r="S693" s="9" t="n">
        <v>54.4</v>
      </c>
      <c r="T693" s="10" t="n">
        <v>0.32</v>
      </c>
    </row>
    <row r="694">
      <c r="A694" s="7" t="inlineStr">
        <is>
          <t>ORD-2024-1665</t>
        </is>
      </c>
      <c r="B694" s="7" t="inlineStr">
        <is>
          <t>2024-10-12</t>
        </is>
      </c>
      <c r="C694" s="7" t="inlineStr">
        <is>
          <t>OFF-PAP-003</t>
        </is>
      </c>
      <c r="D694" s="7" t="inlineStr">
        <is>
          <t>UltraWhite Premium Multipurpose Paper (Case)</t>
        </is>
      </c>
      <c r="E694" s="7" t="inlineStr">
        <is>
          <t>Office Supplies</t>
        </is>
      </c>
      <c r="F694" s="7" t="inlineStr">
        <is>
          <t>Paper Products</t>
        </is>
      </c>
      <c r="G694" s="7" t="inlineStr">
        <is>
          <t>East</t>
        </is>
      </c>
      <c r="H694" s="7" t="inlineStr">
        <is>
          <t>Pennsylvania</t>
        </is>
      </c>
      <c r="I694" s="7" t="inlineStr">
        <is>
          <t>Online</t>
        </is>
      </c>
      <c r="J694" s="7" t="inlineStr">
        <is>
          <t>Corporate</t>
        </is>
      </c>
      <c r="K694" s="8" t="n">
        <v>5</v>
      </c>
      <c r="L694" s="9" t="n">
        <v>54.99</v>
      </c>
      <c r="M694" s="10" t="n">
        <v>0</v>
      </c>
      <c r="N694" s="9" t="n">
        <v>31.89</v>
      </c>
      <c r="O694" s="9" t="n">
        <v>274.95</v>
      </c>
      <c r="P694" s="9" t="n">
        <v>0</v>
      </c>
      <c r="Q694" s="9" t="n">
        <v>274.95</v>
      </c>
      <c r="R694" s="9" t="n">
        <v>159.45</v>
      </c>
      <c r="S694" s="9" t="n">
        <v>115.5</v>
      </c>
      <c r="T694" s="10" t="n">
        <v>0.4201</v>
      </c>
    </row>
    <row r="695">
      <c r="A695" s="7" t="inlineStr">
        <is>
          <t>ORD-2024-1224</t>
        </is>
      </c>
      <c r="B695" s="7" t="inlineStr">
        <is>
          <t>2024-10-13</t>
        </is>
      </c>
      <c r="C695" s="7" t="inlineStr">
        <is>
          <t>FUR-LGT-006</t>
        </is>
      </c>
      <c r="D695" s="7" t="inlineStr">
        <is>
          <t>Architect LED Desk Task Lamp</t>
        </is>
      </c>
      <c r="E695" s="7" t="inlineStr">
        <is>
          <t>Furniture</t>
        </is>
      </c>
      <c r="F695" s="7" t="inlineStr">
        <is>
          <t>Lighting</t>
        </is>
      </c>
      <c r="G695" s="7" t="inlineStr">
        <is>
          <t>South</t>
        </is>
      </c>
      <c r="H695" s="7" t="inlineStr">
        <is>
          <t>Georgia</t>
        </is>
      </c>
      <c r="I695" s="7" t="inlineStr">
        <is>
          <t>Direct Sales</t>
        </is>
      </c>
      <c r="J695" s="7" t="inlineStr">
        <is>
          <t>Corporate</t>
        </is>
      </c>
      <c r="K695" s="8" t="n">
        <v>2</v>
      </c>
      <c r="L695" s="9" t="n">
        <v>69.98999999999999</v>
      </c>
      <c r="M695" s="10" t="n">
        <v>0.05</v>
      </c>
      <c r="N695" s="9" t="n">
        <v>43.39</v>
      </c>
      <c r="O695" s="9" t="n">
        <v>139.98</v>
      </c>
      <c r="P695" s="9" t="n">
        <v>7</v>
      </c>
      <c r="Q695" s="9" t="n">
        <v>132.98</v>
      </c>
      <c r="R695" s="9" t="n">
        <v>86.78</v>
      </c>
      <c r="S695" s="9" t="n">
        <v>46.2</v>
      </c>
      <c r="T695" s="10" t="n">
        <v>0.3474</v>
      </c>
    </row>
    <row r="696">
      <c r="A696" s="7" t="inlineStr">
        <is>
          <t>ORD-2024-1229</t>
        </is>
      </c>
      <c r="B696" s="7" t="inlineStr">
        <is>
          <t>2024-10-14</t>
        </is>
      </c>
      <c r="C696" s="7" t="inlineStr">
        <is>
          <t>TEC-TAB-003</t>
        </is>
      </c>
      <c r="D696" s="7" t="inlineStr">
        <is>
          <t>VisionPad Pro 11"</t>
        </is>
      </c>
      <c r="E696" s="7" t="inlineStr">
        <is>
          <t>Technology</t>
        </is>
      </c>
      <c r="F696" s="7" t="inlineStr">
        <is>
          <t>Phones &amp; Tablets</t>
        </is>
      </c>
      <c r="G696" s="7" t="inlineStr">
        <is>
          <t>East</t>
        </is>
      </c>
      <c r="H696" s="7" t="inlineStr">
        <is>
          <t>Pennsylvania</t>
        </is>
      </c>
      <c r="I696" s="7" t="inlineStr">
        <is>
          <t>Direct Sales</t>
        </is>
      </c>
      <c r="J696" s="7" t="inlineStr">
        <is>
          <t>Consumer</t>
        </is>
      </c>
      <c r="K696" s="8" t="n">
        <v>4</v>
      </c>
      <c r="L696" s="9" t="n">
        <v>649.99</v>
      </c>
      <c r="M696" s="10" t="n">
        <v>0.15</v>
      </c>
      <c r="N696" s="9" t="n">
        <v>487.49</v>
      </c>
      <c r="O696" s="9" t="n">
        <v>2599.96</v>
      </c>
      <c r="P696" s="9" t="n">
        <v>389.99</v>
      </c>
      <c r="Q696" s="9" t="n">
        <v>2209.97</v>
      </c>
      <c r="R696" s="9" t="n">
        <v>1949.96</v>
      </c>
      <c r="S696" s="9" t="n">
        <v>260.01</v>
      </c>
      <c r="T696" s="10" t="n">
        <v>0.1177</v>
      </c>
    </row>
    <row r="697">
      <c r="A697" s="7" t="inlineStr">
        <is>
          <t>ORD-2024-1373</t>
        </is>
      </c>
      <c r="B697" s="7" t="inlineStr">
        <is>
          <t>2024-10-14</t>
        </is>
      </c>
      <c r="C697" s="7" t="inlineStr">
        <is>
          <t>TEC-ACC-007</t>
        </is>
      </c>
      <c r="D697" s="7" t="inlineStr">
        <is>
          <t>ErgoMechanical Wireless Keyboard</t>
        </is>
      </c>
      <c r="E697" s="7" t="inlineStr">
        <is>
          <t>Technology</t>
        </is>
      </c>
      <c r="F697" s="7" t="inlineStr">
        <is>
          <t>Audio &amp; Accessories</t>
        </is>
      </c>
      <c r="G697" s="7" t="inlineStr">
        <is>
          <t>East</t>
        </is>
      </c>
      <c r="H697" s="7" t="inlineStr">
        <is>
          <t>Pennsylvania</t>
        </is>
      </c>
      <c r="I697" s="7" t="inlineStr">
        <is>
          <t>Retail Partner</t>
        </is>
      </c>
      <c r="J697" s="7" t="inlineStr">
        <is>
          <t>Consumer</t>
        </is>
      </c>
      <c r="K697" s="8" t="n">
        <v>2</v>
      </c>
      <c r="L697" s="9" t="n">
        <v>109.99</v>
      </c>
      <c r="M697" s="10" t="n">
        <v>0.05</v>
      </c>
      <c r="N697" s="9" t="n">
        <v>65.98999999999999</v>
      </c>
      <c r="O697" s="9" t="n">
        <v>219.98</v>
      </c>
      <c r="P697" s="9" t="n">
        <v>11</v>
      </c>
      <c r="Q697" s="9" t="n">
        <v>208.98</v>
      </c>
      <c r="R697" s="9" t="n">
        <v>131.98</v>
      </c>
      <c r="S697" s="9" t="n">
        <v>77</v>
      </c>
      <c r="T697" s="10" t="n">
        <v>0.3685</v>
      </c>
    </row>
    <row r="698">
      <c r="A698" s="7" t="inlineStr">
        <is>
          <t>ORD-2024-1431</t>
        </is>
      </c>
      <c r="B698" s="7" t="inlineStr">
        <is>
          <t>2024-10-15</t>
        </is>
      </c>
      <c r="C698" s="7" t="inlineStr">
        <is>
          <t>OFF-DSK-008</t>
        </is>
      </c>
      <c r="D698" s="7" t="inlineStr">
        <is>
          <t>Steel Desktop Mesh Organizer Caddy</t>
        </is>
      </c>
      <c r="E698" s="7" t="inlineStr">
        <is>
          <t>Office Supplies</t>
        </is>
      </c>
      <c r="F698" s="7" t="inlineStr">
        <is>
          <t>Desk Supplies</t>
        </is>
      </c>
      <c r="G698" s="7" t="inlineStr">
        <is>
          <t>East</t>
        </is>
      </c>
      <c r="H698" s="7" t="inlineStr">
        <is>
          <t>New Jersey</t>
        </is>
      </c>
      <c r="I698" s="7" t="inlineStr">
        <is>
          <t>Retail Partner</t>
        </is>
      </c>
      <c r="J698" s="7" t="inlineStr">
        <is>
          <t>Consumer</t>
        </is>
      </c>
      <c r="K698" s="8" t="n">
        <v>3</v>
      </c>
      <c r="L698" s="9" t="n">
        <v>18.99</v>
      </c>
      <c r="M698" s="10" t="n">
        <v>0.1</v>
      </c>
      <c r="N698" s="9" t="n">
        <v>8.550000000000001</v>
      </c>
      <c r="O698" s="9" t="n">
        <v>56.97</v>
      </c>
      <c r="P698" s="9" t="n">
        <v>5.7</v>
      </c>
      <c r="Q698" s="9" t="n">
        <v>51.27</v>
      </c>
      <c r="R698" s="9" t="n">
        <v>25.65</v>
      </c>
      <c r="S698" s="9" t="n">
        <v>25.62</v>
      </c>
      <c r="T698" s="10" t="n">
        <v>0.4997</v>
      </c>
    </row>
    <row r="699">
      <c r="A699" s="7" t="inlineStr">
        <is>
          <t>ORD-2024-1453</t>
        </is>
      </c>
      <c r="B699" s="7" t="inlineStr">
        <is>
          <t>2024-10-16</t>
        </is>
      </c>
      <c r="C699" s="7" t="inlineStr">
        <is>
          <t>TEC-TAB-003</t>
        </is>
      </c>
      <c r="D699" s="7" t="inlineStr">
        <is>
          <t>VisionPad Pro 11"</t>
        </is>
      </c>
      <c r="E699" s="7" t="inlineStr">
        <is>
          <t>Technology</t>
        </is>
      </c>
      <c r="F699" s="7" t="inlineStr">
        <is>
          <t>Phones &amp; Tablets</t>
        </is>
      </c>
      <c r="G699" s="7" t="inlineStr">
        <is>
          <t>Central</t>
        </is>
      </c>
      <c r="H699" s="7" t="inlineStr">
        <is>
          <t>Illinois</t>
        </is>
      </c>
      <c r="I699" s="7" t="inlineStr">
        <is>
          <t>Direct Sales</t>
        </is>
      </c>
      <c r="J699" s="7" t="inlineStr">
        <is>
          <t>Consumer</t>
        </is>
      </c>
      <c r="K699" s="8" t="n">
        <v>4</v>
      </c>
      <c r="L699" s="9" t="n">
        <v>649.99</v>
      </c>
      <c r="M699" s="10" t="n">
        <v>0</v>
      </c>
      <c r="N699" s="9" t="n">
        <v>487.49</v>
      </c>
      <c r="O699" s="9" t="n">
        <v>2599.96</v>
      </c>
      <c r="P699" s="9" t="n">
        <v>0</v>
      </c>
      <c r="Q699" s="9" t="n">
        <v>2599.96</v>
      </c>
      <c r="R699" s="9" t="n">
        <v>1949.96</v>
      </c>
      <c r="S699" s="9" t="n">
        <v>650</v>
      </c>
      <c r="T699" s="10" t="n">
        <v>0.25</v>
      </c>
    </row>
    <row r="700">
      <c r="A700" s="7" t="inlineStr">
        <is>
          <t>ORD-2024-1453</t>
        </is>
      </c>
      <c r="B700" s="7" t="inlineStr">
        <is>
          <t>2024-10-16</t>
        </is>
      </c>
      <c r="C700" s="7" t="inlineStr">
        <is>
          <t>OFF-PAP-003</t>
        </is>
      </c>
      <c r="D700" s="7" t="inlineStr">
        <is>
          <t>UltraWhite Premium Multipurpose Paper (Case)</t>
        </is>
      </c>
      <c r="E700" s="7" t="inlineStr">
        <is>
          <t>Office Supplies</t>
        </is>
      </c>
      <c r="F700" s="7" t="inlineStr">
        <is>
          <t>Paper Products</t>
        </is>
      </c>
      <c r="G700" s="7" t="inlineStr">
        <is>
          <t>Central</t>
        </is>
      </c>
      <c r="H700" s="7" t="inlineStr">
        <is>
          <t>Illinois</t>
        </is>
      </c>
      <c r="I700" s="7" t="inlineStr">
        <is>
          <t>Direct Sales</t>
        </is>
      </c>
      <c r="J700" s="7" t="inlineStr">
        <is>
          <t>Consumer</t>
        </is>
      </c>
      <c r="K700" s="8" t="n">
        <v>4</v>
      </c>
      <c r="L700" s="9" t="n">
        <v>54.99</v>
      </c>
      <c r="M700" s="10" t="n">
        <v>0</v>
      </c>
      <c r="N700" s="9" t="n">
        <v>31.89</v>
      </c>
      <c r="O700" s="9" t="n">
        <v>219.96</v>
      </c>
      <c r="P700" s="9" t="n">
        <v>0</v>
      </c>
      <c r="Q700" s="9" t="n">
        <v>219.96</v>
      </c>
      <c r="R700" s="9" t="n">
        <v>127.56</v>
      </c>
      <c r="S700" s="9" t="n">
        <v>92.40000000000001</v>
      </c>
      <c r="T700" s="10" t="n">
        <v>0.4201</v>
      </c>
    </row>
    <row r="701">
      <c r="A701" s="7" t="inlineStr">
        <is>
          <t>ORD-2024-1474</t>
        </is>
      </c>
      <c r="B701" s="7" t="inlineStr">
        <is>
          <t>2024-10-16</t>
        </is>
      </c>
      <c r="C701" s="7" t="inlineStr">
        <is>
          <t>OFF-PAP-003</t>
        </is>
      </c>
      <c r="D701" s="7" t="inlineStr">
        <is>
          <t>UltraWhite Premium Multipurpose Paper (Case)</t>
        </is>
      </c>
      <c r="E701" s="7" t="inlineStr">
        <is>
          <t>Office Supplies</t>
        </is>
      </c>
      <c r="F701" s="7" t="inlineStr">
        <is>
          <t>Paper Products</t>
        </is>
      </c>
      <c r="G701" s="7" t="inlineStr">
        <is>
          <t>East</t>
        </is>
      </c>
      <c r="H701" s="7" t="inlineStr">
        <is>
          <t>Pennsylvania</t>
        </is>
      </c>
      <c r="I701" s="7" t="inlineStr">
        <is>
          <t>Online</t>
        </is>
      </c>
      <c r="J701" s="7" t="inlineStr">
        <is>
          <t>Consumer</t>
        </is>
      </c>
      <c r="K701" s="8" t="n">
        <v>4</v>
      </c>
      <c r="L701" s="9" t="n">
        <v>54.99</v>
      </c>
      <c r="M701" s="10" t="n">
        <v>0.05</v>
      </c>
      <c r="N701" s="9" t="n">
        <v>31.89</v>
      </c>
      <c r="O701" s="9" t="n">
        <v>219.96</v>
      </c>
      <c r="P701" s="9" t="n">
        <v>11</v>
      </c>
      <c r="Q701" s="9" t="n">
        <v>208.96</v>
      </c>
      <c r="R701" s="9" t="n">
        <v>127.56</v>
      </c>
      <c r="S701" s="9" t="n">
        <v>81.40000000000001</v>
      </c>
      <c r="T701" s="10" t="n">
        <v>0.3895</v>
      </c>
    </row>
    <row r="702">
      <c r="A702" s="7" t="inlineStr">
        <is>
          <t>ORD-2024-1474</t>
        </is>
      </c>
      <c r="B702" s="7" t="inlineStr">
        <is>
          <t>2024-10-16</t>
        </is>
      </c>
      <c r="C702" s="7" t="inlineStr">
        <is>
          <t>TEC-ACC-005</t>
        </is>
      </c>
      <c r="D702" s="7" t="inlineStr">
        <is>
          <t>UltraWireless Noise-Canceling Headset</t>
        </is>
      </c>
      <c r="E702" s="7" t="inlineStr">
        <is>
          <t>Technology</t>
        </is>
      </c>
      <c r="F702" s="7" t="inlineStr">
        <is>
          <t>Audio &amp; Accessories</t>
        </is>
      </c>
      <c r="G702" s="7" t="inlineStr">
        <is>
          <t>East</t>
        </is>
      </c>
      <c r="H702" s="7" t="inlineStr">
        <is>
          <t>Pennsylvania</t>
        </is>
      </c>
      <c r="I702" s="7" t="inlineStr">
        <is>
          <t>Online</t>
        </is>
      </c>
      <c r="J702" s="7" t="inlineStr">
        <is>
          <t>Consumer</t>
        </is>
      </c>
      <c r="K702" s="8" t="n">
        <v>2</v>
      </c>
      <c r="L702" s="9" t="n">
        <v>179.99</v>
      </c>
      <c r="M702" s="10" t="n">
        <v>0.05</v>
      </c>
      <c r="N702" s="9" t="n">
        <v>111.59</v>
      </c>
      <c r="O702" s="9" t="n">
        <v>359.98</v>
      </c>
      <c r="P702" s="9" t="n">
        <v>18</v>
      </c>
      <c r="Q702" s="9" t="n">
        <v>341.98</v>
      </c>
      <c r="R702" s="9" t="n">
        <v>223.18</v>
      </c>
      <c r="S702" s="9" t="n">
        <v>118.8</v>
      </c>
      <c r="T702" s="10" t="n">
        <v>0.3474</v>
      </c>
    </row>
    <row r="703">
      <c r="A703" s="7" t="inlineStr">
        <is>
          <t>ORD-2024-1474</t>
        </is>
      </c>
      <c r="B703" s="7" t="inlineStr">
        <is>
          <t>2024-10-16</t>
        </is>
      </c>
      <c r="C703" s="7" t="inlineStr">
        <is>
          <t>TEC-LAP-002</t>
        </is>
      </c>
      <c r="D703" s="7" t="inlineStr">
        <is>
          <t>Apex Gaming Laptop 17"</t>
        </is>
      </c>
      <c r="E703" s="7" t="inlineStr">
        <is>
          <t>Technology</t>
        </is>
      </c>
      <c r="F703" s="7" t="inlineStr">
        <is>
          <t>Laptops</t>
        </is>
      </c>
      <c r="G703" s="7" t="inlineStr">
        <is>
          <t>East</t>
        </is>
      </c>
      <c r="H703" s="7" t="inlineStr">
        <is>
          <t>Pennsylvania</t>
        </is>
      </c>
      <c r="I703" s="7" t="inlineStr">
        <is>
          <t>Online</t>
        </is>
      </c>
      <c r="J703" s="7" t="inlineStr">
        <is>
          <t>Consumer</t>
        </is>
      </c>
      <c r="K703" s="8" t="n">
        <v>1</v>
      </c>
      <c r="L703" s="9" t="n">
        <v>1499.99</v>
      </c>
      <c r="M703" s="10" t="n">
        <v>0.2</v>
      </c>
      <c r="N703" s="9" t="n">
        <v>1259.99</v>
      </c>
      <c r="O703" s="9" t="n">
        <v>1499.99</v>
      </c>
      <c r="P703" s="9" t="n">
        <v>300</v>
      </c>
      <c r="Q703" s="9" t="n">
        <v>1199.99</v>
      </c>
      <c r="R703" s="9" t="n">
        <v>1259.99</v>
      </c>
      <c r="S703" s="9" t="n">
        <v>-60</v>
      </c>
      <c r="T703" s="10" t="n">
        <v>-0.05</v>
      </c>
    </row>
    <row r="704">
      <c r="A704" s="7" t="inlineStr">
        <is>
          <t>ORD-2024-1667</t>
        </is>
      </c>
      <c r="B704" s="7" t="inlineStr">
        <is>
          <t>2024-10-16</t>
        </is>
      </c>
      <c r="C704" s="7" t="inlineStr">
        <is>
          <t>OFF-PAP-004</t>
        </is>
      </c>
      <c r="D704" s="7" t="inlineStr">
        <is>
          <t>EcoRecycled Copy Paper (5 Reams)</t>
        </is>
      </c>
      <c r="E704" s="7" t="inlineStr">
        <is>
          <t>Office Supplies</t>
        </is>
      </c>
      <c r="F704" s="7" t="inlineStr">
        <is>
          <t>Paper Products</t>
        </is>
      </c>
      <c r="G704" s="7" t="inlineStr">
        <is>
          <t>East</t>
        </is>
      </c>
      <c r="H704" s="7" t="inlineStr">
        <is>
          <t>Pennsylvania</t>
        </is>
      </c>
      <c r="I704" s="7" t="inlineStr">
        <is>
          <t>Retail Partner</t>
        </is>
      </c>
      <c r="J704" s="7" t="inlineStr">
        <is>
          <t>Corporate</t>
        </is>
      </c>
      <c r="K704" s="8" t="n">
        <v>3</v>
      </c>
      <c r="L704" s="9" t="n">
        <v>32.99</v>
      </c>
      <c r="M704" s="10" t="n">
        <v>0.1</v>
      </c>
      <c r="N704" s="9" t="n">
        <v>19.79</v>
      </c>
      <c r="O704" s="9" t="n">
        <v>98.97</v>
      </c>
      <c r="P704" s="9" t="n">
        <v>9.9</v>
      </c>
      <c r="Q704" s="9" t="n">
        <v>89.06999999999999</v>
      </c>
      <c r="R704" s="9" t="n">
        <v>59.37</v>
      </c>
      <c r="S704" s="9" t="n">
        <v>29.7</v>
      </c>
      <c r="T704" s="10" t="n">
        <v>0.3334</v>
      </c>
    </row>
    <row r="705">
      <c r="A705" s="7" t="inlineStr">
        <is>
          <t>ORD-2024-1162</t>
        </is>
      </c>
      <c r="B705" s="7" t="inlineStr">
        <is>
          <t>2024-10-17</t>
        </is>
      </c>
      <c r="C705" s="7" t="inlineStr">
        <is>
          <t>TEC-TAB-003</t>
        </is>
      </c>
      <c r="D705" s="7" t="inlineStr">
        <is>
          <t>VisionPad Pro 11"</t>
        </is>
      </c>
      <c r="E705" s="7" t="inlineStr">
        <is>
          <t>Technology</t>
        </is>
      </c>
      <c r="F705" s="7" t="inlineStr">
        <is>
          <t>Phones &amp; Tablets</t>
        </is>
      </c>
      <c r="G705" s="7" t="inlineStr">
        <is>
          <t>East</t>
        </is>
      </c>
      <c r="H705" s="7" t="inlineStr">
        <is>
          <t>Pennsylvania</t>
        </is>
      </c>
      <c r="I705" s="7" t="inlineStr">
        <is>
          <t>Retail Partner</t>
        </is>
      </c>
      <c r="J705" s="7" t="inlineStr">
        <is>
          <t>Consumer</t>
        </is>
      </c>
      <c r="K705" s="8" t="n">
        <v>2</v>
      </c>
      <c r="L705" s="9" t="n">
        <v>649.99</v>
      </c>
      <c r="M705" s="10" t="n">
        <v>0</v>
      </c>
      <c r="N705" s="9" t="n">
        <v>487.49</v>
      </c>
      <c r="O705" s="9" t="n">
        <v>1299.98</v>
      </c>
      <c r="P705" s="9" t="n">
        <v>0</v>
      </c>
      <c r="Q705" s="9" t="n">
        <v>1299.98</v>
      </c>
      <c r="R705" s="9" t="n">
        <v>974.98</v>
      </c>
      <c r="S705" s="9" t="n">
        <v>325</v>
      </c>
      <c r="T705" s="10" t="n">
        <v>0.25</v>
      </c>
    </row>
    <row r="706">
      <c r="A706" s="7" t="inlineStr">
        <is>
          <t>ORD-2024-1545</t>
        </is>
      </c>
      <c r="B706" s="7" t="inlineStr">
        <is>
          <t>2024-10-18</t>
        </is>
      </c>
      <c r="C706" s="7" t="inlineStr">
        <is>
          <t>TEC-LAP-002</t>
        </is>
      </c>
      <c r="D706" s="7" t="inlineStr">
        <is>
          <t>Apex Gaming Laptop 17"</t>
        </is>
      </c>
      <c r="E706" s="7" t="inlineStr">
        <is>
          <t>Technology</t>
        </is>
      </c>
      <c r="F706" s="7" t="inlineStr">
        <is>
          <t>Laptops</t>
        </is>
      </c>
      <c r="G706" s="7" t="inlineStr">
        <is>
          <t>Central</t>
        </is>
      </c>
      <c r="H706" s="7" t="inlineStr">
        <is>
          <t>Texas</t>
        </is>
      </c>
      <c r="I706" s="7" t="inlineStr">
        <is>
          <t>Online</t>
        </is>
      </c>
      <c r="J706" s="7" t="inlineStr">
        <is>
          <t>Consumer</t>
        </is>
      </c>
      <c r="K706" s="8" t="n">
        <v>2</v>
      </c>
      <c r="L706" s="9" t="n">
        <v>1499.99</v>
      </c>
      <c r="M706" s="10" t="n">
        <v>0.2</v>
      </c>
      <c r="N706" s="9" t="n">
        <v>1259.99</v>
      </c>
      <c r="O706" s="9" t="n">
        <v>2999.98</v>
      </c>
      <c r="P706" s="9" t="n">
        <v>600</v>
      </c>
      <c r="Q706" s="9" t="n">
        <v>2399.98</v>
      </c>
      <c r="R706" s="9" t="n">
        <v>2519.98</v>
      </c>
      <c r="S706" s="9" t="n">
        <v>-120</v>
      </c>
      <c r="T706" s="10" t="n">
        <v>-0.05</v>
      </c>
    </row>
    <row r="707">
      <c r="A707" s="7" t="inlineStr">
        <is>
          <t>ORD-2024-1545</t>
        </is>
      </c>
      <c r="B707" s="7" t="inlineStr">
        <is>
          <t>2024-10-18</t>
        </is>
      </c>
      <c r="C707" s="7" t="inlineStr">
        <is>
          <t>OFF-PAP-003</t>
        </is>
      </c>
      <c r="D707" s="7" t="inlineStr">
        <is>
          <t>UltraWhite Premium Multipurpose Paper (Case)</t>
        </is>
      </c>
      <c r="E707" s="7" t="inlineStr">
        <is>
          <t>Office Supplies</t>
        </is>
      </c>
      <c r="F707" s="7" t="inlineStr">
        <is>
          <t>Paper Products</t>
        </is>
      </c>
      <c r="G707" s="7" t="inlineStr">
        <is>
          <t>Central</t>
        </is>
      </c>
      <c r="H707" s="7" t="inlineStr">
        <is>
          <t>Texas</t>
        </is>
      </c>
      <c r="I707" s="7" t="inlineStr">
        <is>
          <t>Online</t>
        </is>
      </c>
      <c r="J707" s="7" t="inlineStr">
        <is>
          <t>Consumer</t>
        </is>
      </c>
      <c r="K707" s="8" t="n">
        <v>3</v>
      </c>
      <c r="L707" s="9" t="n">
        <v>54.99</v>
      </c>
      <c r="M707" s="10" t="n">
        <v>0.05</v>
      </c>
      <c r="N707" s="9" t="n">
        <v>31.89</v>
      </c>
      <c r="O707" s="9" t="n">
        <v>164.97</v>
      </c>
      <c r="P707" s="9" t="n">
        <v>8.25</v>
      </c>
      <c r="Q707" s="9" t="n">
        <v>156.72</v>
      </c>
      <c r="R707" s="9" t="n">
        <v>95.67</v>
      </c>
      <c r="S707" s="9" t="n">
        <v>61.05</v>
      </c>
      <c r="T707" s="10" t="n">
        <v>0.3895</v>
      </c>
    </row>
    <row r="708">
      <c r="A708" s="7" t="inlineStr">
        <is>
          <t>ORD-2024-1034</t>
        </is>
      </c>
      <c r="B708" s="7" t="inlineStr">
        <is>
          <t>2024-10-20</t>
        </is>
      </c>
      <c r="C708" s="7" t="inlineStr">
        <is>
          <t>TEC-ACC-005</t>
        </is>
      </c>
      <c r="D708" s="7" t="inlineStr">
        <is>
          <t>UltraWireless Noise-Canceling Headset</t>
        </is>
      </c>
      <c r="E708" s="7" t="inlineStr">
        <is>
          <t>Technology</t>
        </is>
      </c>
      <c r="F708" s="7" t="inlineStr">
        <is>
          <t>Audio &amp; Accessories</t>
        </is>
      </c>
      <c r="G708" s="7" t="inlineStr">
        <is>
          <t>West</t>
        </is>
      </c>
      <c r="H708" s="7" t="inlineStr">
        <is>
          <t>Washington</t>
        </is>
      </c>
      <c r="I708" s="7" t="inlineStr">
        <is>
          <t>Online</t>
        </is>
      </c>
      <c r="J708" s="7" t="inlineStr">
        <is>
          <t>Corporate</t>
        </is>
      </c>
      <c r="K708" s="8" t="n">
        <v>4</v>
      </c>
      <c r="L708" s="9" t="n">
        <v>179.99</v>
      </c>
      <c r="M708" s="10" t="n">
        <v>0.1</v>
      </c>
      <c r="N708" s="9" t="n">
        <v>111.59</v>
      </c>
      <c r="O708" s="9" t="n">
        <v>719.96</v>
      </c>
      <c r="P708" s="9" t="n">
        <v>72</v>
      </c>
      <c r="Q708" s="9" t="n">
        <v>647.96</v>
      </c>
      <c r="R708" s="9" t="n">
        <v>446.36</v>
      </c>
      <c r="S708" s="9" t="n">
        <v>201.6</v>
      </c>
      <c r="T708" s="10" t="n">
        <v>0.3111</v>
      </c>
    </row>
    <row r="709">
      <c r="A709" s="7" t="inlineStr">
        <is>
          <t>ORD-2024-1635</t>
        </is>
      </c>
      <c r="B709" s="7" t="inlineStr">
        <is>
          <t>2024-10-20</t>
        </is>
      </c>
      <c r="C709" s="7" t="inlineStr">
        <is>
          <t>OFF-BIN-005</t>
        </is>
      </c>
      <c r="D709" s="7" t="inlineStr">
        <is>
          <t>Heavy-Duty D-Ring Presentation Binder (6-Pk)</t>
        </is>
      </c>
      <c r="E709" s="7" t="inlineStr">
        <is>
          <t>Office Supplies</t>
        </is>
      </c>
      <c r="F709" s="7" t="inlineStr">
        <is>
          <t>Binders &amp; Fasteners</t>
        </is>
      </c>
      <c r="G709" s="7" t="inlineStr">
        <is>
          <t>East</t>
        </is>
      </c>
      <c r="H709" s="7" t="inlineStr">
        <is>
          <t>New Jersey</t>
        </is>
      </c>
      <c r="I709" s="7" t="inlineStr">
        <is>
          <t>Retail Partner</t>
        </is>
      </c>
      <c r="J709" s="7" t="inlineStr">
        <is>
          <t>Consumer</t>
        </is>
      </c>
      <c r="K709" s="8" t="n">
        <v>4</v>
      </c>
      <c r="L709" s="9" t="n">
        <v>27.99</v>
      </c>
      <c r="M709" s="10" t="n">
        <v>0.05</v>
      </c>
      <c r="N709" s="9" t="n">
        <v>13.99</v>
      </c>
      <c r="O709" s="9" t="n">
        <v>111.96</v>
      </c>
      <c r="P709" s="9" t="n">
        <v>5.6</v>
      </c>
      <c r="Q709" s="9" t="n">
        <v>106.36</v>
      </c>
      <c r="R709" s="9" t="n">
        <v>55.96</v>
      </c>
      <c r="S709" s="9" t="n">
        <v>50.4</v>
      </c>
      <c r="T709" s="10" t="n">
        <v>0.4739</v>
      </c>
    </row>
    <row r="710">
      <c r="A710" s="7" t="inlineStr">
        <is>
          <t>ORD-2024-1084</t>
        </is>
      </c>
      <c r="B710" s="7" t="inlineStr">
        <is>
          <t>2024-10-22</t>
        </is>
      </c>
      <c r="C710" s="7" t="inlineStr">
        <is>
          <t>FUR-DSK-004</t>
        </is>
      </c>
      <c r="D710" s="7" t="inlineStr">
        <is>
          <t>Metro Compact Corner Workstation</t>
        </is>
      </c>
      <c r="E710" s="7" t="inlineStr">
        <is>
          <t>Furniture</t>
        </is>
      </c>
      <c r="F710" s="7" t="inlineStr">
        <is>
          <t>Desks &amp; Workstations</t>
        </is>
      </c>
      <c r="G710" s="7" t="inlineStr">
        <is>
          <t>East</t>
        </is>
      </c>
      <c r="H710" s="7" t="inlineStr">
        <is>
          <t>New York</t>
        </is>
      </c>
      <c r="I710" s="7" t="inlineStr">
        <is>
          <t>Online</t>
        </is>
      </c>
      <c r="J710" s="7" t="inlineStr">
        <is>
          <t>Consumer</t>
        </is>
      </c>
      <c r="K710" s="8" t="n">
        <v>4</v>
      </c>
      <c r="L710" s="9" t="n">
        <v>329.99</v>
      </c>
      <c r="M710" s="10" t="n">
        <v>0</v>
      </c>
      <c r="N710" s="9" t="n">
        <v>250.79</v>
      </c>
      <c r="O710" s="9" t="n">
        <v>1319.96</v>
      </c>
      <c r="P710" s="9" t="n">
        <v>0</v>
      </c>
      <c r="Q710" s="9" t="n">
        <v>1319.96</v>
      </c>
      <c r="R710" s="9" t="n">
        <v>1003.16</v>
      </c>
      <c r="S710" s="9" t="n">
        <v>316.8</v>
      </c>
      <c r="T710" s="10" t="n">
        <v>0.24</v>
      </c>
    </row>
    <row r="711">
      <c r="A711" s="7" t="inlineStr">
        <is>
          <t>ORD-2024-1152</t>
        </is>
      </c>
      <c r="B711" s="7" t="inlineStr">
        <is>
          <t>2024-10-22</t>
        </is>
      </c>
      <c r="C711" s="7" t="inlineStr">
        <is>
          <t>TEC-TAB-003</t>
        </is>
      </c>
      <c r="D711" s="7" t="inlineStr">
        <is>
          <t>VisionPad Pro 11"</t>
        </is>
      </c>
      <c r="E711" s="7" t="inlineStr">
        <is>
          <t>Technology</t>
        </is>
      </c>
      <c r="F711" s="7" t="inlineStr">
        <is>
          <t>Phones &amp; Tablets</t>
        </is>
      </c>
      <c r="G711" s="7" t="inlineStr">
        <is>
          <t>South</t>
        </is>
      </c>
      <c r="H711" s="7" t="inlineStr">
        <is>
          <t>North Carolina</t>
        </is>
      </c>
      <c r="I711" s="7" t="inlineStr">
        <is>
          <t>Retail Partner</t>
        </is>
      </c>
      <c r="J711" s="7" t="inlineStr">
        <is>
          <t>Consumer</t>
        </is>
      </c>
      <c r="K711" s="8" t="n">
        <v>3</v>
      </c>
      <c r="L711" s="9" t="n">
        <v>649.99</v>
      </c>
      <c r="M711" s="10" t="n">
        <v>0</v>
      </c>
      <c r="N711" s="9" t="n">
        <v>487.49</v>
      </c>
      <c r="O711" s="9" t="n">
        <v>1949.97</v>
      </c>
      <c r="P711" s="9" t="n">
        <v>0</v>
      </c>
      <c r="Q711" s="9" t="n">
        <v>1949.97</v>
      </c>
      <c r="R711" s="9" t="n">
        <v>1462.47</v>
      </c>
      <c r="S711" s="9" t="n">
        <v>487.5</v>
      </c>
      <c r="T711" s="10" t="n">
        <v>0.25</v>
      </c>
    </row>
    <row r="712">
      <c r="A712" s="7" t="inlineStr">
        <is>
          <t>ORD-2024-1284</t>
        </is>
      </c>
      <c r="B712" s="7" t="inlineStr">
        <is>
          <t>2024-10-22</t>
        </is>
      </c>
      <c r="C712" s="7" t="inlineStr">
        <is>
          <t>TEC-ACC-005</t>
        </is>
      </c>
      <c r="D712" s="7" t="inlineStr">
        <is>
          <t>UltraWireless Noise-Canceling Headset</t>
        </is>
      </c>
      <c r="E712" s="7" t="inlineStr">
        <is>
          <t>Technology</t>
        </is>
      </c>
      <c r="F712" s="7" t="inlineStr">
        <is>
          <t>Audio &amp; Accessories</t>
        </is>
      </c>
      <c r="G712" s="7" t="inlineStr">
        <is>
          <t>Central</t>
        </is>
      </c>
      <c r="H712" s="7" t="inlineStr">
        <is>
          <t>Illinois</t>
        </is>
      </c>
      <c r="I712" s="7" t="inlineStr">
        <is>
          <t>Online</t>
        </is>
      </c>
      <c r="J712" s="7" t="inlineStr">
        <is>
          <t>Consumer</t>
        </is>
      </c>
      <c r="K712" s="8" t="n">
        <v>1</v>
      </c>
      <c r="L712" s="9" t="n">
        <v>179.99</v>
      </c>
      <c r="M712" s="10" t="n">
        <v>0.15</v>
      </c>
      <c r="N712" s="9" t="n">
        <v>111.59</v>
      </c>
      <c r="O712" s="9" t="n">
        <v>179.99</v>
      </c>
      <c r="P712" s="9" t="n">
        <v>27</v>
      </c>
      <c r="Q712" s="9" t="n">
        <v>152.99</v>
      </c>
      <c r="R712" s="9" t="n">
        <v>111.59</v>
      </c>
      <c r="S712" s="9" t="n">
        <v>41.4</v>
      </c>
      <c r="T712" s="10" t="n">
        <v>0.2706</v>
      </c>
    </row>
    <row r="713">
      <c r="A713" s="7" t="inlineStr">
        <is>
          <t>ORD-2024-1302</t>
        </is>
      </c>
      <c r="B713" s="7" t="inlineStr">
        <is>
          <t>2024-10-22</t>
        </is>
      </c>
      <c r="C713" s="7" t="inlineStr">
        <is>
          <t>FUR-LGT-006</t>
        </is>
      </c>
      <c r="D713" s="7" t="inlineStr">
        <is>
          <t>Architect LED Desk Task Lamp</t>
        </is>
      </c>
      <c r="E713" s="7" t="inlineStr">
        <is>
          <t>Furniture</t>
        </is>
      </c>
      <c r="F713" s="7" t="inlineStr">
        <is>
          <t>Lighting</t>
        </is>
      </c>
      <c r="G713" s="7" t="inlineStr">
        <is>
          <t>West</t>
        </is>
      </c>
      <c r="H713" s="7" t="inlineStr">
        <is>
          <t>California</t>
        </is>
      </c>
      <c r="I713" s="7" t="inlineStr">
        <is>
          <t>Direct Sales</t>
        </is>
      </c>
      <c r="J713" s="7" t="inlineStr">
        <is>
          <t>Corporate</t>
        </is>
      </c>
      <c r="K713" s="8" t="n">
        <v>4</v>
      </c>
      <c r="L713" s="9" t="n">
        <v>69.98999999999999</v>
      </c>
      <c r="M713" s="10" t="n">
        <v>0.05</v>
      </c>
      <c r="N713" s="9" t="n">
        <v>43.39</v>
      </c>
      <c r="O713" s="9" t="n">
        <v>279.96</v>
      </c>
      <c r="P713" s="9" t="n">
        <v>14</v>
      </c>
      <c r="Q713" s="9" t="n">
        <v>265.96</v>
      </c>
      <c r="R713" s="9" t="n">
        <v>173.56</v>
      </c>
      <c r="S713" s="9" t="n">
        <v>92.40000000000001</v>
      </c>
      <c r="T713" s="10" t="n">
        <v>0.3474</v>
      </c>
    </row>
    <row r="714">
      <c r="A714" s="7" t="inlineStr">
        <is>
          <t>ORD-2024-1292</t>
        </is>
      </c>
      <c r="B714" s="7" t="inlineStr">
        <is>
          <t>2024-10-23</t>
        </is>
      </c>
      <c r="C714" s="7" t="inlineStr">
        <is>
          <t>TEC-TAB-003</t>
        </is>
      </c>
      <c r="D714" s="7" t="inlineStr">
        <is>
          <t>VisionPad Pro 11"</t>
        </is>
      </c>
      <c r="E714" s="7" t="inlineStr">
        <is>
          <t>Technology</t>
        </is>
      </c>
      <c r="F714" s="7" t="inlineStr">
        <is>
          <t>Phones &amp; Tablets</t>
        </is>
      </c>
      <c r="G714" s="7" t="inlineStr">
        <is>
          <t>West</t>
        </is>
      </c>
      <c r="H714" s="7" t="inlineStr">
        <is>
          <t>Colorado</t>
        </is>
      </c>
      <c r="I714" s="7" t="inlineStr">
        <is>
          <t>Direct Sales</t>
        </is>
      </c>
      <c r="J714" s="7" t="inlineStr">
        <is>
          <t>Home Office</t>
        </is>
      </c>
      <c r="K714" s="8" t="n">
        <v>1</v>
      </c>
      <c r="L714" s="9" t="n">
        <v>649.99</v>
      </c>
      <c r="M714" s="10" t="n">
        <v>0</v>
      </c>
      <c r="N714" s="9" t="n">
        <v>487.49</v>
      </c>
      <c r="O714" s="9" t="n">
        <v>649.99</v>
      </c>
      <c r="P714" s="9" t="n">
        <v>0</v>
      </c>
      <c r="Q714" s="9" t="n">
        <v>649.99</v>
      </c>
      <c r="R714" s="9" t="n">
        <v>487.49</v>
      </c>
      <c r="S714" s="9" t="n">
        <v>162.5</v>
      </c>
      <c r="T714" s="10" t="n">
        <v>0.25</v>
      </c>
    </row>
    <row r="715">
      <c r="A715" s="7" t="inlineStr">
        <is>
          <t>ORD-2024-1292</t>
        </is>
      </c>
      <c r="B715" s="7" t="inlineStr">
        <is>
          <t>2024-10-23</t>
        </is>
      </c>
      <c r="C715" s="7" t="inlineStr">
        <is>
          <t>FUR-DSK-003</t>
        </is>
      </c>
      <c r="D715" s="7" t="inlineStr">
        <is>
          <t>ApexMotor Dual-Motor Standing Desk</t>
        </is>
      </c>
      <c r="E715" s="7" t="inlineStr">
        <is>
          <t>Furniture</t>
        </is>
      </c>
      <c r="F715" s="7" t="inlineStr">
        <is>
          <t>Desks &amp; Workstations</t>
        </is>
      </c>
      <c r="G715" s="7" t="inlineStr">
        <is>
          <t>West</t>
        </is>
      </c>
      <c r="H715" s="7" t="inlineStr">
        <is>
          <t>Colorado</t>
        </is>
      </c>
      <c r="I715" s="7" t="inlineStr">
        <is>
          <t>Direct Sales</t>
        </is>
      </c>
      <c r="J715" s="7" t="inlineStr">
        <is>
          <t>Home Office</t>
        </is>
      </c>
      <c r="K715" s="8" t="n">
        <v>2</v>
      </c>
      <c r="L715" s="9" t="n">
        <v>549.99</v>
      </c>
      <c r="M715" s="10" t="n">
        <v>0</v>
      </c>
      <c r="N715" s="9" t="n">
        <v>439.99</v>
      </c>
      <c r="O715" s="9" t="n">
        <v>1099.98</v>
      </c>
      <c r="P715" s="9" t="n">
        <v>0</v>
      </c>
      <c r="Q715" s="9" t="n">
        <v>1099.98</v>
      </c>
      <c r="R715" s="9" t="n">
        <v>879.98</v>
      </c>
      <c r="S715" s="9" t="n">
        <v>220</v>
      </c>
      <c r="T715" s="10" t="n">
        <v>0.2</v>
      </c>
    </row>
    <row r="716">
      <c r="A716" s="7" t="inlineStr">
        <is>
          <t>ORD-2024-1292</t>
        </is>
      </c>
      <c r="B716" s="7" t="inlineStr">
        <is>
          <t>2024-10-23</t>
        </is>
      </c>
      <c r="C716" s="7" t="inlineStr">
        <is>
          <t>TEC-TAB-003</t>
        </is>
      </c>
      <c r="D716" s="7" t="inlineStr">
        <is>
          <t>VisionPad Pro 11"</t>
        </is>
      </c>
      <c r="E716" s="7" t="inlineStr">
        <is>
          <t>Technology</t>
        </is>
      </c>
      <c r="F716" s="7" t="inlineStr">
        <is>
          <t>Phones &amp; Tablets</t>
        </is>
      </c>
      <c r="G716" s="7" t="inlineStr">
        <is>
          <t>West</t>
        </is>
      </c>
      <c r="H716" s="7" t="inlineStr">
        <is>
          <t>Colorado</t>
        </is>
      </c>
      <c r="I716" s="7" t="inlineStr">
        <is>
          <t>Direct Sales</t>
        </is>
      </c>
      <c r="J716" s="7" t="inlineStr">
        <is>
          <t>Home Office</t>
        </is>
      </c>
      <c r="K716" s="8" t="n">
        <v>2</v>
      </c>
      <c r="L716" s="9" t="n">
        <v>649.99</v>
      </c>
      <c r="M716" s="10" t="n">
        <v>0</v>
      </c>
      <c r="N716" s="9" t="n">
        <v>487.49</v>
      </c>
      <c r="O716" s="9" t="n">
        <v>1299.98</v>
      </c>
      <c r="P716" s="9" t="n">
        <v>0</v>
      </c>
      <c r="Q716" s="9" t="n">
        <v>1299.98</v>
      </c>
      <c r="R716" s="9" t="n">
        <v>974.98</v>
      </c>
      <c r="S716" s="9" t="n">
        <v>325</v>
      </c>
      <c r="T716" s="10" t="n">
        <v>0.25</v>
      </c>
    </row>
    <row r="717">
      <c r="A717" s="7" t="inlineStr">
        <is>
          <t>ORD-2024-1295</t>
        </is>
      </c>
      <c r="B717" s="7" t="inlineStr">
        <is>
          <t>2024-10-23</t>
        </is>
      </c>
      <c r="C717" s="7" t="inlineStr">
        <is>
          <t>OFF-DSK-007</t>
        </is>
      </c>
      <c r="D717" s="7" t="inlineStr">
        <is>
          <t>Gel Ergo Mouse Pad &amp; Wrist Rest Combo</t>
        </is>
      </c>
      <c r="E717" s="7" t="inlineStr">
        <is>
          <t>Office Supplies</t>
        </is>
      </c>
      <c r="F717" s="7" t="inlineStr">
        <is>
          <t>Desk Supplies</t>
        </is>
      </c>
      <c r="G717" s="7" t="inlineStr">
        <is>
          <t>Central</t>
        </is>
      </c>
      <c r="H717" s="7" t="inlineStr">
        <is>
          <t>Illinois</t>
        </is>
      </c>
      <c r="I717" s="7" t="inlineStr">
        <is>
          <t>Online</t>
        </is>
      </c>
      <c r="J717" s="7" t="inlineStr">
        <is>
          <t>Corporate</t>
        </is>
      </c>
      <c r="K717" s="8" t="n">
        <v>7</v>
      </c>
      <c r="L717" s="9" t="n">
        <v>21.99</v>
      </c>
      <c r="M717" s="10" t="n">
        <v>0</v>
      </c>
      <c r="N717" s="9" t="n">
        <v>10.56</v>
      </c>
      <c r="O717" s="9" t="n">
        <v>153.93</v>
      </c>
      <c r="P717" s="9" t="n">
        <v>0</v>
      </c>
      <c r="Q717" s="9" t="n">
        <v>153.93</v>
      </c>
      <c r="R717" s="9" t="n">
        <v>73.92</v>
      </c>
      <c r="S717" s="9" t="n">
        <v>80.01000000000001</v>
      </c>
      <c r="T717" s="10" t="n">
        <v>0.5198</v>
      </c>
    </row>
    <row r="718">
      <c r="A718" s="7" t="inlineStr">
        <is>
          <t>ORD-2024-1505</t>
        </is>
      </c>
      <c r="B718" s="7" t="inlineStr">
        <is>
          <t>2024-10-23</t>
        </is>
      </c>
      <c r="C718" s="7" t="inlineStr">
        <is>
          <t>TEC-LAP-001</t>
        </is>
      </c>
      <c r="D718" s="7" t="inlineStr">
        <is>
          <t>ProBook Elite 15.6"</t>
        </is>
      </c>
      <c r="E718" s="7" t="inlineStr">
        <is>
          <t>Technology</t>
        </is>
      </c>
      <c r="F718" s="7" t="inlineStr">
        <is>
          <t>Laptops</t>
        </is>
      </c>
      <c r="G718" s="7" t="inlineStr">
        <is>
          <t>Central</t>
        </is>
      </c>
      <c r="H718" s="7" t="inlineStr">
        <is>
          <t>Texas</t>
        </is>
      </c>
      <c r="I718" s="7" t="inlineStr">
        <is>
          <t>Direct Sales</t>
        </is>
      </c>
      <c r="J718" s="7" t="inlineStr">
        <is>
          <t>Consumer</t>
        </is>
      </c>
      <c r="K718" s="8" t="n">
        <v>3</v>
      </c>
      <c r="L718" s="9" t="n">
        <v>1199.99</v>
      </c>
      <c r="M718" s="10" t="n">
        <v>0</v>
      </c>
      <c r="N718" s="9" t="n">
        <v>863.99</v>
      </c>
      <c r="O718" s="9" t="n">
        <v>3599.97</v>
      </c>
      <c r="P718" s="9" t="n">
        <v>0</v>
      </c>
      <c r="Q718" s="9" t="n">
        <v>3599.97</v>
      </c>
      <c r="R718" s="9" t="n">
        <v>2591.97</v>
      </c>
      <c r="S718" s="9" t="n">
        <v>1008</v>
      </c>
      <c r="T718" s="10" t="n">
        <v>0.28</v>
      </c>
    </row>
    <row r="719">
      <c r="A719" s="7" t="inlineStr">
        <is>
          <t>ORD-2024-1035</t>
        </is>
      </c>
      <c r="B719" s="7" t="inlineStr">
        <is>
          <t>2024-10-25</t>
        </is>
      </c>
      <c r="C719" s="7" t="inlineStr">
        <is>
          <t>OFF-PAP-004</t>
        </is>
      </c>
      <c r="D719" s="7" t="inlineStr">
        <is>
          <t>EcoRecycled Copy Paper (5 Reams)</t>
        </is>
      </c>
      <c r="E719" s="7" t="inlineStr">
        <is>
          <t>Office Supplies</t>
        </is>
      </c>
      <c r="F719" s="7" t="inlineStr">
        <is>
          <t>Paper Products</t>
        </is>
      </c>
      <c r="G719" s="7" t="inlineStr">
        <is>
          <t>East</t>
        </is>
      </c>
      <c r="H719" s="7" t="inlineStr">
        <is>
          <t>Pennsylvania</t>
        </is>
      </c>
      <c r="I719" s="7" t="inlineStr">
        <is>
          <t>Online</t>
        </is>
      </c>
      <c r="J719" s="7" t="inlineStr">
        <is>
          <t>Consumer</t>
        </is>
      </c>
      <c r="K719" s="8" t="n">
        <v>1</v>
      </c>
      <c r="L719" s="9" t="n">
        <v>32.99</v>
      </c>
      <c r="M719" s="10" t="n">
        <v>0</v>
      </c>
      <c r="N719" s="9" t="n">
        <v>19.79</v>
      </c>
      <c r="O719" s="9" t="n">
        <v>32.99</v>
      </c>
      <c r="P719" s="9" t="n">
        <v>0</v>
      </c>
      <c r="Q719" s="9" t="n">
        <v>32.99</v>
      </c>
      <c r="R719" s="9" t="n">
        <v>19.79</v>
      </c>
      <c r="S719" s="9" t="n">
        <v>13.2</v>
      </c>
      <c r="T719" s="10" t="n">
        <v>0.4001</v>
      </c>
    </row>
    <row r="720">
      <c r="A720" s="7" t="inlineStr">
        <is>
          <t>ORD-2024-1122</t>
        </is>
      </c>
      <c r="B720" s="7" t="inlineStr">
        <is>
          <t>2024-10-25</t>
        </is>
      </c>
      <c r="C720" s="7" t="inlineStr">
        <is>
          <t>OFF-DSK-007</t>
        </is>
      </c>
      <c r="D720" s="7" t="inlineStr">
        <is>
          <t>Gel Ergo Mouse Pad &amp; Wrist Rest Combo</t>
        </is>
      </c>
      <c r="E720" s="7" t="inlineStr">
        <is>
          <t>Office Supplies</t>
        </is>
      </c>
      <c r="F720" s="7" t="inlineStr">
        <is>
          <t>Desk Supplies</t>
        </is>
      </c>
      <c r="G720" s="7" t="inlineStr">
        <is>
          <t>East</t>
        </is>
      </c>
      <c r="H720" s="7" t="inlineStr">
        <is>
          <t>New Jersey</t>
        </is>
      </c>
      <c r="I720" s="7" t="inlineStr">
        <is>
          <t>Online</t>
        </is>
      </c>
      <c r="J720" s="7" t="inlineStr">
        <is>
          <t>Consumer</t>
        </is>
      </c>
      <c r="K720" s="8" t="n">
        <v>2</v>
      </c>
      <c r="L720" s="9" t="n">
        <v>21.99</v>
      </c>
      <c r="M720" s="10" t="n">
        <v>0.1</v>
      </c>
      <c r="N720" s="9" t="n">
        <v>10.56</v>
      </c>
      <c r="O720" s="9" t="n">
        <v>43.98</v>
      </c>
      <c r="P720" s="9" t="n">
        <v>4.4</v>
      </c>
      <c r="Q720" s="9" t="n">
        <v>39.58</v>
      </c>
      <c r="R720" s="9" t="n">
        <v>21.12</v>
      </c>
      <c r="S720" s="9" t="n">
        <v>18.46</v>
      </c>
      <c r="T720" s="10" t="n">
        <v>0.4664</v>
      </c>
    </row>
    <row r="721">
      <c r="A721" s="7" t="inlineStr">
        <is>
          <t>ORD-2024-1440</t>
        </is>
      </c>
      <c r="B721" s="7" t="inlineStr">
        <is>
          <t>2024-10-25</t>
        </is>
      </c>
      <c r="C721" s="7" t="inlineStr">
        <is>
          <t>OFF-ART-006</t>
        </is>
      </c>
      <c r="D721" s="7" t="inlineStr">
        <is>
          <t>Professional Presentation Dry Erase Board</t>
        </is>
      </c>
      <c r="E721" s="7" t="inlineStr">
        <is>
          <t>Office Supplies</t>
        </is>
      </c>
      <c r="F721" s="7" t="inlineStr">
        <is>
          <t>Presentation &amp; Art</t>
        </is>
      </c>
      <c r="G721" s="7" t="inlineStr">
        <is>
          <t>West</t>
        </is>
      </c>
      <c r="H721" s="7" t="inlineStr">
        <is>
          <t>Colorado</t>
        </is>
      </c>
      <c r="I721" s="7" t="inlineStr">
        <is>
          <t>Direct Sales</t>
        </is>
      </c>
      <c r="J721" s="7" t="inlineStr">
        <is>
          <t>Corporate</t>
        </is>
      </c>
      <c r="K721" s="8" t="n">
        <v>7</v>
      </c>
      <c r="L721" s="9" t="n">
        <v>89.98999999999999</v>
      </c>
      <c r="M721" s="10" t="n">
        <v>0.05</v>
      </c>
      <c r="N721" s="9" t="n">
        <v>53.99</v>
      </c>
      <c r="O721" s="9" t="n">
        <v>629.9299999999999</v>
      </c>
      <c r="P721" s="9" t="n">
        <v>31.5</v>
      </c>
      <c r="Q721" s="9" t="n">
        <v>598.4299999999999</v>
      </c>
      <c r="R721" s="9" t="n">
        <v>377.93</v>
      </c>
      <c r="S721" s="9" t="n">
        <v>220.5</v>
      </c>
      <c r="T721" s="10" t="n">
        <v>0.3685</v>
      </c>
    </row>
    <row r="722">
      <c r="A722" s="7" t="inlineStr">
        <is>
          <t>ORD-2024-1280</t>
        </is>
      </c>
      <c r="B722" s="7" t="inlineStr">
        <is>
          <t>2024-10-26</t>
        </is>
      </c>
      <c r="C722" s="7" t="inlineStr">
        <is>
          <t>TEC-TAB-003</t>
        </is>
      </c>
      <c r="D722" s="7" t="inlineStr">
        <is>
          <t>VisionPad Pro 11"</t>
        </is>
      </c>
      <c r="E722" s="7" t="inlineStr">
        <is>
          <t>Technology</t>
        </is>
      </c>
      <c r="F722" s="7" t="inlineStr">
        <is>
          <t>Phones &amp; Tablets</t>
        </is>
      </c>
      <c r="G722" s="7" t="inlineStr">
        <is>
          <t>South</t>
        </is>
      </c>
      <c r="H722" s="7" t="inlineStr">
        <is>
          <t>Georgia</t>
        </is>
      </c>
      <c r="I722" s="7" t="inlineStr">
        <is>
          <t>Direct Sales</t>
        </is>
      </c>
      <c r="J722" s="7" t="inlineStr">
        <is>
          <t>Corporate</t>
        </is>
      </c>
      <c r="K722" s="8" t="n">
        <v>8</v>
      </c>
      <c r="L722" s="9" t="n">
        <v>649.99</v>
      </c>
      <c r="M722" s="10" t="n">
        <v>0</v>
      </c>
      <c r="N722" s="9" t="n">
        <v>487.49</v>
      </c>
      <c r="O722" s="9" t="n">
        <v>5199.92</v>
      </c>
      <c r="P722" s="9" t="n">
        <v>0</v>
      </c>
      <c r="Q722" s="9" t="n">
        <v>5199.92</v>
      </c>
      <c r="R722" s="9" t="n">
        <v>3899.92</v>
      </c>
      <c r="S722" s="9" t="n">
        <v>1300</v>
      </c>
      <c r="T722" s="10" t="n">
        <v>0.25</v>
      </c>
    </row>
    <row r="723">
      <c r="A723" s="7" t="inlineStr">
        <is>
          <t>ORD-2024-1648</t>
        </is>
      </c>
      <c r="B723" s="7" t="inlineStr">
        <is>
          <t>2024-10-26</t>
        </is>
      </c>
      <c r="C723" s="7" t="inlineStr">
        <is>
          <t>TEC-LAP-001</t>
        </is>
      </c>
      <c r="D723" s="7" t="inlineStr">
        <is>
          <t>ProBook Elite 15.6"</t>
        </is>
      </c>
      <c r="E723" s="7" t="inlineStr">
        <is>
          <t>Technology</t>
        </is>
      </c>
      <c r="F723" s="7" t="inlineStr">
        <is>
          <t>Laptops</t>
        </is>
      </c>
      <c r="G723" s="7" t="inlineStr">
        <is>
          <t>South</t>
        </is>
      </c>
      <c r="H723" s="7" t="inlineStr">
        <is>
          <t>Florida</t>
        </is>
      </c>
      <c r="I723" s="7" t="inlineStr">
        <is>
          <t>Retail Partner</t>
        </is>
      </c>
      <c r="J723" s="7" t="inlineStr">
        <is>
          <t>Corporate</t>
        </is>
      </c>
      <c r="K723" s="8" t="n">
        <v>8</v>
      </c>
      <c r="L723" s="9" t="n">
        <v>1199.99</v>
      </c>
      <c r="M723" s="10" t="n">
        <v>0.1</v>
      </c>
      <c r="N723" s="9" t="n">
        <v>863.99</v>
      </c>
      <c r="O723" s="9" t="n">
        <v>9599.92</v>
      </c>
      <c r="P723" s="9" t="n">
        <v>959.99</v>
      </c>
      <c r="Q723" s="9" t="n">
        <v>8639.93</v>
      </c>
      <c r="R723" s="9" t="n">
        <v>6911.92</v>
      </c>
      <c r="S723" s="9" t="n">
        <v>1728.01</v>
      </c>
      <c r="T723" s="10" t="n">
        <v>0.2</v>
      </c>
    </row>
    <row r="724">
      <c r="A724" s="7" t="inlineStr">
        <is>
          <t>ORD-2024-1220</t>
        </is>
      </c>
      <c r="B724" s="7" t="inlineStr">
        <is>
          <t>2024-10-27</t>
        </is>
      </c>
      <c r="C724" s="7" t="inlineStr">
        <is>
          <t>TEC-ACC-005</t>
        </is>
      </c>
      <c r="D724" s="7" t="inlineStr">
        <is>
          <t>UltraWireless Noise-Canceling Headset</t>
        </is>
      </c>
      <c r="E724" s="7" t="inlineStr">
        <is>
          <t>Technology</t>
        </is>
      </c>
      <c r="F724" s="7" t="inlineStr">
        <is>
          <t>Audio &amp; Accessories</t>
        </is>
      </c>
      <c r="G724" s="7" t="inlineStr">
        <is>
          <t>East</t>
        </is>
      </c>
      <c r="H724" s="7" t="inlineStr">
        <is>
          <t>New Jersey</t>
        </is>
      </c>
      <c r="I724" s="7" t="inlineStr">
        <is>
          <t>Retail Partner</t>
        </is>
      </c>
      <c r="J724" s="7" t="inlineStr">
        <is>
          <t>Home Office</t>
        </is>
      </c>
      <c r="K724" s="8" t="n">
        <v>4</v>
      </c>
      <c r="L724" s="9" t="n">
        <v>179.99</v>
      </c>
      <c r="M724" s="10" t="n">
        <v>0.1</v>
      </c>
      <c r="N724" s="9" t="n">
        <v>111.59</v>
      </c>
      <c r="O724" s="9" t="n">
        <v>719.96</v>
      </c>
      <c r="P724" s="9" t="n">
        <v>72</v>
      </c>
      <c r="Q724" s="9" t="n">
        <v>647.96</v>
      </c>
      <c r="R724" s="9" t="n">
        <v>446.36</v>
      </c>
      <c r="S724" s="9" t="n">
        <v>201.6</v>
      </c>
      <c r="T724" s="10" t="n">
        <v>0.3111</v>
      </c>
    </row>
    <row r="725">
      <c r="A725" s="7" t="inlineStr">
        <is>
          <t>ORD-2024-1282</t>
        </is>
      </c>
      <c r="B725" s="7" t="inlineStr">
        <is>
          <t>2024-10-27</t>
        </is>
      </c>
      <c r="C725" s="7" t="inlineStr">
        <is>
          <t>FUR-DSK-003</t>
        </is>
      </c>
      <c r="D725" s="7" t="inlineStr">
        <is>
          <t>ApexMotor Dual-Motor Standing Desk</t>
        </is>
      </c>
      <c r="E725" s="7" t="inlineStr">
        <is>
          <t>Furniture</t>
        </is>
      </c>
      <c r="F725" s="7" t="inlineStr">
        <is>
          <t>Desks &amp; Workstations</t>
        </is>
      </c>
      <c r="G725" s="7" t="inlineStr">
        <is>
          <t>West</t>
        </is>
      </c>
      <c r="H725" s="7" t="inlineStr">
        <is>
          <t>Washington</t>
        </is>
      </c>
      <c r="I725" s="7" t="inlineStr">
        <is>
          <t>Online</t>
        </is>
      </c>
      <c r="J725" s="7" t="inlineStr">
        <is>
          <t>Consumer</t>
        </is>
      </c>
      <c r="K725" s="8" t="n">
        <v>2</v>
      </c>
      <c r="L725" s="9" t="n">
        <v>549.99</v>
      </c>
      <c r="M725" s="10" t="n">
        <v>0.05</v>
      </c>
      <c r="N725" s="9" t="n">
        <v>439.99</v>
      </c>
      <c r="O725" s="9" t="n">
        <v>1099.98</v>
      </c>
      <c r="P725" s="9" t="n">
        <v>55</v>
      </c>
      <c r="Q725" s="9" t="n">
        <v>1044.98</v>
      </c>
      <c r="R725" s="9" t="n">
        <v>879.98</v>
      </c>
      <c r="S725" s="9" t="n">
        <v>165</v>
      </c>
      <c r="T725" s="10" t="n">
        <v>0.1579</v>
      </c>
    </row>
    <row r="726">
      <c r="A726" s="7" t="inlineStr">
        <is>
          <t>ORD-2024-1282</t>
        </is>
      </c>
      <c r="B726" s="7" t="inlineStr">
        <is>
          <t>2024-10-27</t>
        </is>
      </c>
      <c r="C726" s="7" t="inlineStr">
        <is>
          <t>OFF-ART-006</t>
        </is>
      </c>
      <c r="D726" s="7" t="inlineStr">
        <is>
          <t>Professional Presentation Dry Erase Board</t>
        </is>
      </c>
      <c r="E726" s="7" t="inlineStr">
        <is>
          <t>Office Supplies</t>
        </is>
      </c>
      <c r="F726" s="7" t="inlineStr">
        <is>
          <t>Presentation &amp; Art</t>
        </is>
      </c>
      <c r="G726" s="7" t="inlineStr">
        <is>
          <t>West</t>
        </is>
      </c>
      <c r="H726" s="7" t="inlineStr">
        <is>
          <t>Washington</t>
        </is>
      </c>
      <c r="I726" s="7" t="inlineStr">
        <is>
          <t>Online</t>
        </is>
      </c>
      <c r="J726" s="7" t="inlineStr">
        <is>
          <t>Consumer</t>
        </is>
      </c>
      <c r="K726" s="8" t="n">
        <v>1</v>
      </c>
      <c r="L726" s="9" t="n">
        <v>89.98999999999999</v>
      </c>
      <c r="M726" s="10" t="n">
        <v>0</v>
      </c>
      <c r="N726" s="9" t="n">
        <v>53.99</v>
      </c>
      <c r="O726" s="9" t="n">
        <v>89.98999999999999</v>
      </c>
      <c r="P726" s="9" t="n">
        <v>0</v>
      </c>
      <c r="Q726" s="9" t="n">
        <v>89.98999999999999</v>
      </c>
      <c r="R726" s="9" t="n">
        <v>53.99</v>
      </c>
      <c r="S726" s="9" t="n">
        <v>36</v>
      </c>
      <c r="T726" s="10" t="n">
        <v>0.4</v>
      </c>
    </row>
    <row r="727">
      <c r="A727" s="7" t="inlineStr">
        <is>
          <t>ORD-2024-1282</t>
        </is>
      </c>
      <c r="B727" s="7" t="inlineStr">
        <is>
          <t>2024-10-27</t>
        </is>
      </c>
      <c r="C727" s="7" t="inlineStr">
        <is>
          <t>FUR-CHA-001</t>
        </is>
      </c>
      <c r="D727" s="7" t="inlineStr">
        <is>
          <t>ErgoFlex Executive Mesh Chair</t>
        </is>
      </c>
      <c r="E727" s="7" t="inlineStr">
        <is>
          <t>Furniture</t>
        </is>
      </c>
      <c r="F727" s="7" t="inlineStr">
        <is>
          <t>Chairs</t>
        </is>
      </c>
      <c r="G727" s="7" t="inlineStr">
        <is>
          <t>West</t>
        </is>
      </c>
      <c r="H727" s="7" t="inlineStr">
        <is>
          <t>Washington</t>
        </is>
      </c>
      <c r="I727" s="7" t="inlineStr">
        <is>
          <t>Online</t>
        </is>
      </c>
      <c r="J727" s="7" t="inlineStr">
        <is>
          <t>Consumer</t>
        </is>
      </c>
      <c r="K727" s="8" t="n">
        <v>2</v>
      </c>
      <c r="L727" s="9" t="n">
        <v>389.99</v>
      </c>
      <c r="M727" s="10" t="n">
        <v>0.05</v>
      </c>
      <c r="N727" s="9" t="n">
        <v>331.49</v>
      </c>
      <c r="O727" s="9" t="n">
        <v>779.98</v>
      </c>
      <c r="P727" s="9" t="n">
        <v>39</v>
      </c>
      <c r="Q727" s="9" t="n">
        <v>740.98</v>
      </c>
      <c r="R727" s="9" t="n">
        <v>662.98</v>
      </c>
      <c r="S727" s="9" t="n">
        <v>78</v>
      </c>
      <c r="T727" s="10" t="n">
        <v>0.1053</v>
      </c>
    </row>
    <row r="728">
      <c r="A728" s="7" t="inlineStr">
        <is>
          <t>ORD-2024-1396</t>
        </is>
      </c>
      <c r="B728" s="7" t="inlineStr">
        <is>
          <t>2024-10-27</t>
        </is>
      </c>
      <c r="C728" s="7" t="inlineStr">
        <is>
          <t>OFF-STR-002</t>
        </is>
      </c>
      <c r="D728" s="7" t="inlineStr">
        <is>
          <t>Stackable Heavy-Duty Storage Bins (4-Pk)</t>
        </is>
      </c>
      <c r="E728" s="7" t="inlineStr">
        <is>
          <t>Office Supplies</t>
        </is>
      </c>
      <c r="F728" s="7" t="inlineStr">
        <is>
          <t>Storage &amp; Organizers</t>
        </is>
      </c>
      <c r="G728" s="7" t="inlineStr">
        <is>
          <t>West</t>
        </is>
      </c>
      <c r="H728" s="7" t="inlineStr">
        <is>
          <t>Colorado</t>
        </is>
      </c>
      <c r="I728" s="7" t="inlineStr">
        <is>
          <t>Online</t>
        </is>
      </c>
      <c r="J728" s="7" t="inlineStr">
        <is>
          <t>Consumer</t>
        </is>
      </c>
      <c r="K728" s="8" t="n">
        <v>2</v>
      </c>
      <c r="L728" s="9" t="n">
        <v>44.99</v>
      </c>
      <c r="M728" s="10" t="n">
        <v>0</v>
      </c>
      <c r="N728" s="9" t="n">
        <v>24.74</v>
      </c>
      <c r="O728" s="9" t="n">
        <v>89.98</v>
      </c>
      <c r="P728" s="9" t="n">
        <v>0</v>
      </c>
      <c r="Q728" s="9" t="n">
        <v>89.98</v>
      </c>
      <c r="R728" s="9" t="n">
        <v>49.48</v>
      </c>
      <c r="S728" s="9" t="n">
        <v>40.5</v>
      </c>
      <c r="T728" s="10" t="n">
        <v>0.4501</v>
      </c>
    </row>
    <row r="729">
      <c r="A729" s="7" t="inlineStr">
        <is>
          <t>ORD-2024-1396</t>
        </is>
      </c>
      <c r="B729" s="7" t="inlineStr">
        <is>
          <t>2024-10-27</t>
        </is>
      </c>
      <c r="C729" s="7" t="inlineStr">
        <is>
          <t>TEC-ACC-005</t>
        </is>
      </c>
      <c r="D729" s="7" t="inlineStr">
        <is>
          <t>UltraWireless Noise-Canceling Headset</t>
        </is>
      </c>
      <c r="E729" s="7" t="inlineStr">
        <is>
          <t>Technology</t>
        </is>
      </c>
      <c r="F729" s="7" t="inlineStr">
        <is>
          <t>Audio &amp; Accessories</t>
        </is>
      </c>
      <c r="G729" s="7" t="inlineStr">
        <is>
          <t>West</t>
        </is>
      </c>
      <c r="H729" s="7" t="inlineStr">
        <is>
          <t>Colorado</t>
        </is>
      </c>
      <c r="I729" s="7" t="inlineStr">
        <is>
          <t>Online</t>
        </is>
      </c>
      <c r="J729" s="7" t="inlineStr">
        <is>
          <t>Consumer</t>
        </is>
      </c>
      <c r="K729" s="8" t="n">
        <v>1</v>
      </c>
      <c r="L729" s="9" t="n">
        <v>179.99</v>
      </c>
      <c r="M729" s="10" t="n">
        <v>0</v>
      </c>
      <c r="N729" s="9" t="n">
        <v>111.59</v>
      </c>
      <c r="O729" s="9" t="n">
        <v>179.99</v>
      </c>
      <c r="P729" s="9" t="n">
        <v>0</v>
      </c>
      <c r="Q729" s="9" t="n">
        <v>179.99</v>
      </c>
      <c r="R729" s="9" t="n">
        <v>111.59</v>
      </c>
      <c r="S729" s="9" t="n">
        <v>68.40000000000001</v>
      </c>
      <c r="T729" s="10" t="n">
        <v>0.38</v>
      </c>
    </row>
    <row r="730">
      <c r="A730" s="7" t="inlineStr">
        <is>
          <t>ORD-2024-1529</t>
        </is>
      </c>
      <c r="B730" s="7" t="inlineStr">
        <is>
          <t>2024-10-27</t>
        </is>
      </c>
      <c r="C730" s="7" t="inlineStr">
        <is>
          <t>TEC-ACC-007</t>
        </is>
      </c>
      <c r="D730" s="7" t="inlineStr">
        <is>
          <t>ErgoMechanical Wireless Keyboard</t>
        </is>
      </c>
      <c r="E730" s="7" t="inlineStr">
        <is>
          <t>Technology</t>
        </is>
      </c>
      <c r="F730" s="7" t="inlineStr">
        <is>
          <t>Audio &amp; Accessories</t>
        </is>
      </c>
      <c r="G730" s="7" t="inlineStr">
        <is>
          <t>West</t>
        </is>
      </c>
      <c r="H730" s="7" t="inlineStr">
        <is>
          <t>California</t>
        </is>
      </c>
      <c r="I730" s="7" t="inlineStr">
        <is>
          <t>Online</t>
        </is>
      </c>
      <c r="J730" s="7" t="inlineStr">
        <is>
          <t>Consumer</t>
        </is>
      </c>
      <c r="K730" s="8" t="n">
        <v>1</v>
      </c>
      <c r="L730" s="9" t="n">
        <v>109.99</v>
      </c>
      <c r="M730" s="10" t="n">
        <v>0</v>
      </c>
      <c r="N730" s="9" t="n">
        <v>65.98999999999999</v>
      </c>
      <c r="O730" s="9" t="n">
        <v>109.99</v>
      </c>
      <c r="P730" s="9" t="n">
        <v>0</v>
      </c>
      <c r="Q730" s="9" t="n">
        <v>109.99</v>
      </c>
      <c r="R730" s="9" t="n">
        <v>65.98999999999999</v>
      </c>
      <c r="S730" s="9" t="n">
        <v>44</v>
      </c>
      <c r="T730" s="10" t="n">
        <v>0.4</v>
      </c>
    </row>
    <row r="731">
      <c r="A731" s="7" t="inlineStr">
        <is>
          <t>ORD-2024-1303</t>
        </is>
      </c>
      <c r="B731" s="7" t="inlineStr">
        <is>
          <t>2024-10-28</t>
        </is>
      </c>
      <c r="C731" s="7" t="inlineStr">
        <is>
          <t>TEC-LAP-002</t>
        </is>
      </c>
      <c r="D731" s="7" t="inlineStr">
        <is>
          <t>Apex Gaming Laptop 17"</t>
        </is>
      </c>
      <c r="E731" s="7" t="inlineStr">
        <is>
          <t>Technology</t>
        </is>
      </c>
      <c r="F731" s="7" t="inlineStr">
        <is>
          <t>Laptops</t>
        </is>
      </c>
      <c r="G731" s="7" t="inlineStr">
        <is>
          <t>Central</t>
        </is>
      </c>
      <c r="H731" s="7" t="inlineStr">
        <is>
          <t>Michigan</t>
        </is>
      </c>
      <c r="I731" s="7" t="inlineStr">
        <is>
          <t>Online</t>
        </is>
      </c>
      <c r="J731" s="7" t="inlineStr">
        <is>
          <t>Home Office</t>
        </is>
      </c>
      <c r="K731" s="8" t="n">
        <v>3</v>
      </c>
      <c r="L731" s="9" t="n">
        <v>1499.99</v>
      </c>
      <c r="M731" s="10" t="n">
        <v>0.1</v>
      </c>
      <c r="N731" s="9" t="n">
        <v>1259.99</v>
      </c>
      <c r="O731" s="9" t="n">
        <v>4499.97</v>
      </c>
      <c r="P731" s="9" t="n">
        <v>450</v>
      </c>
      <c r="Q731" s="9" t="n">
        <v>4049.97</v>
      </c>
      <c r="R731" s="9" t="n">
        <v>3779.97</v>
      </c>
      <c r="S731" s="9" t="n">
        <v>270</v>
      </c>
      <c r="T731" s="10" t="n">
        <v>0.0667</v>
      </c>
    </row>
    <row r="732">
      <c r="A732" s="7" t="inlineStr">
        <is>
          <t>ORD-2024-1413</t>
        </is>
      </c>
      <c r="B732" s="7" t="inlineStr">
        <is>
          <t>2024-10-28</t>
        </is>
      </c>
      <c r="C732" s="7" t="inlineStr">
        <is>
          <t>TEC-LAP-002</t>
        </is>
      </c>
      <c r="D732" s="7" t="inlineStr">
        <is>
          <t>Apex Gaming Laptop 17"</t>
        </is>
      </c>
      <c r="E732" s="7" t="inlineStr">
        <is>
          <t>Technology</t>
        </is>
      </c>
      <c r="F732" s="7" t="inlineStr">
        <is>
          <t>Laptops</t>
        </is>
      </c>
      <c r="G732" s="7" t="inlineStr">
        <is>
          <t>Central</t>
        </is>
      </c>
      <c r="H732" s="7" t="inlineStr">
        <is>
          <t>Michigan</t>
        </is>
      </c>
      <c r="I732" s="7" t="inlineStr">
        <is>
          <t>Online</t>
        </is>
      </c>
      <c r="J732" s="7" t="inlineStr">
        <is>
          <t>Consumer</t>
        </is>
      </c>
      <c r="K732" s="8" t="n">
        <v>2</v>
      </c>
      <c r="L732" s="9" t="n">
        <v>1499.99</v>
      </c>
      <c r="M732" s="10" t="n">
        <v>0.2</v>
      </c>
      <c r="N732" s="9" t="n">
        <v>1259.99</v>
      </c>
      <c r="O732" s="9" t="n">
        <v>2999.98</v>
      </c>
      <c r="P732" s="9" t="n">
        <v>600</v>
      </c>
      <c r="Q732" s="9" t="n">
        <v>2399.98</v>
      </c>
      <c r="R732" s="9" t="n">
        <v>2519.98</v>
      </c>
      <c r="S732" s="9" t="n">
        <v>-120</v>
      </c>
      <c r="T732" s="10" t="n">
        <v>-0.05</v>
      </c>
    </row>
    <row r="733">
      <c r="A733" s="7" t="inlineStr">
        <is>
          <t>ORD-2024-1637</t>
        </is>
      </c>
      <c r="B733" s="7" t="inlineStr">
        <is>
          <t>2024-10-29</t>
        </is>
      </c>
      <c r="C733" s="7" t="inlineStr">
        <is>
          <t>TEC-TAB-004</t>
        </is>
      </c>
      <c r="D733" s="7" t="inlineStr">
        <is>
          <t>VisionPad Lite 8.5"</t>
        </is>
      </c>
      <c r="E733" s="7" t="inlineStr">
        <is>
          <t>Technology</t>
        </is>
      </c>
      <c r="F733" s="7" t="inlineStr">
        <is>
          <t>Phones &amp; Tablets</t>
        </is>
      </c>
      <c r="G733" s="7" t="inlineStr">
        <is>
          <t>Central</t>
        </is>
      </c>
      <c r="H733" s="7" t="inlineStr">
        <is>
          <t>Illinois</t>
        </is>
      </c>
      <c r="I733" s="7" t="inlineStr">
        <is>
          <t>Direct Sales</t>
        </is>
      </c>
      <c r="J733" s="7" t="inlineStr">
        <is>
          <t>Corporate</t>
        </is>
      </c>
      <c r="K733" s="8" t="n">
        <v>8</v>
      </c>
      <c r="L733" s="9" t="n">
        <v>299.99</v>
      </c>
      <c r="M733" s="10" t="n">
        <v>0.1</v>
      </c>
      <c r="N733" s="9" t="n">
        <v>245.99</v>
      </c>
      <c r="O733" s="9" t="n">
        <v>2399.92</v>
      </c>
      <c r="P733" s="9" t="n">
        <v>239.99</v>
      </c>
      <c r="Q733" s="9" t="n">
        <v>2159.93</v>
      </c>
      <c r="R733" s="9" t="n">
        <v>1967.92</v>
      </c>
      <c r="S733" s="9" t="n">
        <v>192.01</v>
      </c>
      <c r="T733" s="10" t="n">
        <v>0.08890000000000001</v>
      </c>
    </row>
    <row r="734">
      <c r="A734" s="7" t="inlineStr">
        <is>
          <t>ORD-2024-1434</t>
        </is>
      </c>
      <c r="B734" s="7" t="inlineStr">
        <is>
          <t>2024-10-30</t>
        </is>
      </c>
      <c r="C734" s="7" t="inlineStr">
        <is>
          <t>FUR-DSK-004</t>
        </is>
      </c>
      <c r="D734" s="7" t="inlineStr">
        <is>
          <t>Metro Compact Corner Workstation</t>
        </is>
      </c>
      <c r="E734" s="7" t="inlineStr">
        <is>
          <t>Furniture</t>
        </is>
      </c>
      <c r="F734" s="7" t="inlineStr">
        <is>
          <t>Desks &amp; Workstations</t>
        </is>
      </c>
      <c r="G734" s="7" t="inlineStr">
        <is>
          <t>West</t>
        </is>
      </c>
      <c r="H734" s="7" t="inlineStr">
        <is>
          <t>Washington</t>
        </is>
      </c>
      <c r="I734" s="7" t="inlineStr">
        <is>
          <t>Online</t>
        </is>
      </c>
      <c r="J734" s="7" t="inlineStr">
        <is>
          <t>Home Office</t>
        </is>
      </c>
      <c r="K734" s="8" t="n">
        <v>3</v>
      </c>
      <c r="L734" s="9" t="n">
        <v>329.99</v>
      </c>
      <c r="M734" s="10" t="n">
        <v>0</v>
      </c>
      <c r="N734" s="9" t="n">
        <v>250.79</v>
      </c>
      <c r="O734" s="9" t="n">
        <v>989.97</v>
      </c>
      <c r="P734" s="9" t="n">
        <v>0</v>
      </c>
      <c r="Q734" s="9" t="n">
        <v>989.97</v>
      </c>
      <c r="R734" s="9" t="n">
        <v>752.37</v>
      </c>
      <c r="S734" s="9" t="n">
        <v>237.6</v>
      </c>
      <c r="T734" s="10" t="n">
        <v>0.24</v>
      </c>
    </row>
    <row r="735">
      <c r="A735" s="7" t="inlineStr">
        <is>
          <t>ORD-2024-1569</t>
        </is>
      </c>
      <c r="B735" s="7" t="inlineStr">
        <is>
          <t>2024-10-30</t>
        </is>
      </c>
      <c r="C735" s="7" t="inlineStr">
        <is>
          <t>FUR-CHA-002</t>
        </is>
      </c>
      <c r="D735" s="7" t="inlineStr">
        <is>
          <t>AeroTask Operator Task Chair</t>
        </is>
      </c>
      <c r="E735" s="7" t="inlineStr">
        <is>
          <t>Furniture</t>
        </is>
      </c>
      <c r="F735" s="7" t="inlineStr">
        <is>
          <t>Chairs</t>
        </is>
      </c>
      <c r="G735" s="7" t="inlineStr">
        <is>
          <t>West</t>
        </is>
      </c>
      <c r="H735" s="7" t="inlineStr">
        <is>
          <t>Colorado</t>
        </is>
      </c>
      <c r="I735" s="7" t="inlineStr">
        <is>
          <t>Online</t>
        </is>
      </c>
      <c r="J735" s="7" t="inlineStr">
        <is>
          <t>Home Office</t>
        </is>
      </c>
      <c r="K735" s="8" t="n">
        <v>2</v>
      </c>
      <c r="L735" s="9" t="n">
        <v>219.99</v>
      </c>
      <c r="M735" s="10" t="n">
        <v>0</v>
      </c>
      <c r="N735" s="9" t="n">
        <v>171.59</v>
      </c>
      <c r="O735" s="9" t="n">
        <v>439.98</v>
      </c>
      <c r="P735" s="9" t="n">
        <v>0</v>
      </c>
      <c r="Q735" s="9" t="n">
        <v>439.98</v>
      </c>
      <c r="R735" s="9" t="n">
        <v>343.18</v>
      </c>
      <c r="S735" s="9" t="n">
        <v>96.8</v>
      </c>
      <c r="T735" s="10" t="n">
        <v>0.22</v>
      </c>
    </row>
    <row r="736">
      <c r="A736" s="7" t="inlineStr">
        <is>
          <t>ORD-2024-1358</t>
        </is>
      </c>
      <c r="B736" s="7" t="inlineStr">
        <is>
          <t>2024-10-31</t>
        </is>
      </c>
      <c r="C736" s="7" t="inlineStr">
        <is>
          <t>TEC-ACC-005</t>
        </is>
      </c>
      <c r="D736" s="7" t="inlineStr">
        <is>
          <t>UltraWireless Noise-Canceling Headset</t>
        </is>
      </c>
      <c r="E736" s="7" t="inlineStr">
        <is>
          <t>Technology</t>
        </is>
      </c>
      <c r="F736" s="7" t="inlineStr">
        <is>
          <t>Audio &amp; Accessories</t>
        </is>
      </c>
      <c r="G736" s="7" t="inlineStr">
        <is>
          <t>West</t>
        </is>
      </c>
      <c r="H736" s="7" t="inlineStr">
        <is>
          <t>Colorado</t>
        </is>
      </c>
      <c r="I736" s="7" t="inlineStr">
        <is>
          <t>Online</t>
        </is>
      </c>
      <c r="J736" s="7" t="inlineStr">
        <is>
          <t>Consumer</t>
        </is>
      </c>
      <c r="K736" s="8" t="n">
        <v>1</v>
      </c>
      <c r="L736" s="9" t="n">
        <v>179.99</v>
      </c>
      <c r="M736" s="10" t="n">
        <v>0</v>
      </c>
      <c r="N736" s="9" t="n">
        <v>111.59</v>
      </c>
      <c r="O736" s="9" t="n">
        <v>179.99</v>
      </c>
      <c r="P736" s="9" t="n">
        <v>0</v>
      </c>
      <c r="Q736" s="9" t="n">
        <v>179.99</v>
      </c>
      <c r="R736" s="9" t="n">
        <v>111.59</v>
      </c>
      <c r="S736" s="9" t="n">
        <v>68.40000000000001</v>
      </c>
      <c r="T736" s="10" t="n">
        <v>0.38</v>
      </c>
    </row>
    <row r="737">
      <c r="A737" s="7" t="inlineStr">
        <is>
          <t>ORD-2024-1212</t>
        </is>
      </c>
      <c r="B737" s="7" t="inlineStr">
        <is>
          <t>2024-11-01</t>
        </is>
      </c>
      <c r="C737" s="7" t="inlineStr">
        <is>
          <t>TEC-ACC-006</t>
        </is>
      </c>
      <c r="D737" s="7" t="inlineStr">
        <is>
          <t>MultiPort Thunderbolt 4 Dock</t>
        </is>
      </c>
      <c r="E737" s="7" t="inlineStr">
        <is>
          <t>Technology</t>
        </is>
      </c>
      <c r="F737" s="7" t="inlineStr">
        <is>
          <t>Audio &amp; Accessories</t>
        </is>
      </c>
      <c r="G737" s="7" t="inlineStr">
        <is>
          <t>East</t>
        </is>
      </c>
      <c r="H737" s="7" t="inlineStr">
        <is>
          <t>Pennsylvania</t>
        </is>
      </c>
      <c r="I737" s="7" t="inlineStr">
        <is>
          <t>Wholesale</t>
        </is>
      </c>
      <c r="J737" s="7" t="inlineStr">
        <is>
          <t>Home Office</t>
        </is>
      </c>
      <c r="K737" s="8" t="n">
        <v>9</v>
      </c>
      <c r="L737" s="9" t="n">
        <v>149.99</v>
      </c>
      <c r="M737" s="10" t="n">
        <v>0.1</v>
      </c>
      <c r="N737" s="9" t="n">
        <v>98.98999999999999</v>
      </c>
      <c r="O737" s="9" t="n">
        <v>1349.91</v>
      </c>
      <c r="P737" s="9" t="n">
        <v>134.99</v>
      </c>
      <c r="Q737" s="9" t="n">
        <v>1214.92</v>
      </c>
      <c r="R737" s="9" t="n">
        <v>890.91</v>
      </c>
      <c r="S737" s="9" t="n">
        <v>324.01</v>
      </c>
      <c r="T737" s="10" t="n">
        <v>0.2667</v>
      </c>
    </row>
    <row r="738">
      <c r="A738" s="7" t="inlineStr">
        <is>
          <t>ORD-2024-1310</t>
        </is>
      </c>
      <c r="B738" s="7" t="inlineStr">
        <is>
          <t>2024-11-01</t>
        </is>
      </c>
      <c r="C738" s="7" t="inlineStr">
        <is>
          <t>TEC-ACC-005</t>
        </is>
      </c>
      <c r="D738" s="7" t="inlineStr">
        <is>
          <t>UltraWireless Noise-Canceling Headset</t>
        </is>
      </c>
      <c r="E738" s="7" t="inlineStr">
        <is>
          <t>Technology</t>
        </is>
      </c>
      <c r="F738" s="7" t="inlineStr">
        <is>
          <t>Audio &amp; Accessories</t>
        </is>
      </c>
      <c r="G738" s="7" t="inlineStr">
        <is>
          <t>West</t>
        </is>
      </c>
      <c r="H738" s="7" t="inlineStr">
        <is>
          <t>Washington</t>
        </is>
      </c>
      <c r="I738" s="7" t="inlineStr">
        <is>
          <t>Retail Partner</t>
        </is>
      </c>
      <c r="J738" s="7" t="inlineStr">
        <is>
          <t>Corporate</t>
        </is>
      </c>
      <c r="K738" s="8" t="n">
        <v>6</v>
      </c>
      <c r="L738" s="9" t="n">
        <v>179.99</v>
      </c>
      <c r="M738" s="10" t="n">
        <v>0</v>
      </c>
      <c r="N738" s="9" t="n">
        <v>111.59</v>
      </c>
      <c r="O738" s="9" t="n">
        <v>1079.94</v>
      </c>
      <c r="P738" s="9" t="n">
        <v>0</v>
      </c>
      <c r="Q738" s="9" t="n">
        <v>1079.94</v>
      </c>
      <c r="R738" s="9" t="n">
        <v>669.54</v>
      </c>
      <c r="S738" s="9" t="n">
        <v>410.4</v>
      </c>
      <c r="T738" s="10" t="n">
        <v>0.38</v>
      </c>
    </row>
    <row r="739">
      <c r="A739" s="7" t="inlineStr">
        <is>
          <t>ORD-2024-1441</t>
        </is>
      </c>
      <c r="B739" s="7" t="inlineStr">
        <is>
          <t>2024-11-01</t>
        </is>
      </c>
      <c r="C739" s="7" t="inlineStr">
        <is>
          <t>OFF-DSK-007</t>
        </is>
      </c>
      <c r="D739" s="7" t="inlineStr">
        <is>
          <t>Gel Ergo Mouse Pad &amp; Wrist Rest Combo</t>
        </is>
      </c>
      <c r="E739" s="7" t="inlineStr">
        <is>
          <t>Office Supplies</t>
        </is>
      </c>
      <c r="F739" s="7" t="inlineStr">
        <is>
          <t>Desk Supplies</t>
        </is>
      </c>
      <c r="G739" s="7" t="inlineStr">
        <is>
          <t>East</t>
        </is>
      </c>
      <c r="H739" s="7" t="inlineStr">
        <is>
          <t>New Jersey</t>
        </is>
      </c>
      <c r="I739" s="7" t="inlineStr">
        <is>
          <t>Online</t>
        </is>
      </c>
      <c r="J739" s="7" t="inlineStr">
        <is>
          <t>Consumer</t>
        </is>
      </c>
      <c r="K739" s="8" t="n">
        <v>3</v>
      </c>
      <c r="L739" s="9" t="n">
        <v>21.99</v>
      </c>
      <c r="M739" s="10" t="n">
        <v>0.2</v>
      </c>
      <c r="N739" s="9" t="n">
        <v>10.56</v>
      </c>
      <c r="O739" s="9" t="n">
        <v>65.97</v>
      </c>
      <c r="P739" s="9" t="n">
        <v>13.19</v>
      </c>
      <c r="Q739" s="9" t="n">
        <v>52.78</v>
      </c>
      <c r="R739" s="9" t="n">
        <v>31.68</v>
      </c>
      <c r="S739" s="9" t="n">
        <v>21.1</v>
      </c>
      <c r="T739" s="10" t="n">
        <v>0.3998</v>
      </c>
    </row>
    <row r="740">
      <c r="A740" s="7" t="inlineStr">
        <is>
          <t>ORD-2024-1578</t>
        </is>
      </c>
      <c r="B740" s="7" t="inlineStr">
        <is>
          <t>2024-11-01</t>
        </is>
      </c>
      <c r="C740" s="7" t="inlineStr">
        <is>
          <t>OFF-PAP-003</t>
        </is>
      </c>
      <c r="D740" s="7" t="inlineStr">
        <is>
          <t>UltraWhite Premium Multipurpose Paper (Case)</t>
        </is>
      </c>
      <c r="E740" s="7" t="inlineStr">
        <is>
          <t>Office Supplies</t>
        </is>
      </c>
      <c r="F740" s="7" t="inlineStr">
        <is>
          <t>Paper Products</t>
        </is>
      </c>
      <c r="G740" s="7" t="inlineStr">
        <is>
          <t>East</t>
        </is>
      </c>
      <c r="H740" s="7" t="inlineStr">
        <is>
          <t>Pennsylvania</t>
        </is>
      </c>
      <c r="I740" s="7" t="inlineStr">
        <is>
          <t>Retail Partner</t>
        </is>
      </c>
      <c r="J740" s="7" t="inlineStr">
        <is>
          <t>Consumer</t>
        </is>
      </c>
      <c r="K740" s="8" t="n">
        <v>4</v>
      </c>
      <c r="L740" s="9" t="n">
        <v>54.99</v>
      </c>
      <c r="M740" s="10" t="n">
        <v>0</v>
      </c>
      <c r="N740" s="9" t="n">
        <v>31.89</v>
      </c>
      <c r="O740" s="9" t="n">
        <v>219.96</v>
      </c>
      <c r="P740" s="9" t="n">
        <v>0</v>
      </c>
      <c r="Q740" s="9" t="n">
        <v>219.96</v>
      </c>
      <c r="R740" s="9" t="n">
        <v>127.56</v>
      </c>
      <c r="S740" s="9" t="n">
        <v>92.40000000000001</v>
      </c>
      <c r="T740" s="10" t="n">
        <v>0.4201</v>
      </c>
    </row>
    <row r="741">
      <c r="A741" s="7" t="inlineStr">
        <is>
          <t>ORD-2024-1578</t>
        </is>
      </c>
      <c r="B741" s="7" t="inlineStr">
        <is>
          <t>2024-11-01</t>
        </is>
      </c>
      <c r="C741" s="7" t="inlineStr">
        <is>
          <t>FUR-DSK-004</t>
        </is>
      </c>
      <c r="D741" s="7" t="inlineStr">
        <is>
          <t>Metro Compact Corner Workstation</t>
        </is>
      </c>
      <c r="E741" s="7" t="inlineStr">
        <is>
          <t>Furniture</t>
        </is>
      </c>
      <c r="F741" s="7" t="inlineStr">
        <is>
          <t>Desks &amp; Workstations</t>
        </is>
      </c>
      <c r="G741" s="7" t="inlineStr">
        <is>
          <t>East</t>
        </is>
      </c>
      <c r="H741" s="7" t="inlineStr">
        <is>
          <t>Pennsylvania</t>
        </is>
      </c>
      <c r="I741" s="7" t="inlineStr">
        <is>
          <t>Retail Partner</t>
        </is>
      </c>
      <c r="J741" s="7" t="inlineStr">
        <is>
          <t>Consumer</t>
        </is>
      </c>
      <c r="K741" s="8" t="n">
        <v>1</v>
      </c>
      <c r="L741" s="9" t="n">
        <v>329.99</v>
      </c>
      <c r="M741" s="10" t="n">
        <v>0.1</v>
      </c>
      <c r="N741" s="9" t="n">
        <v>250.79</v>
      </c>
      <c r="O741" s="9" t="n">
        <v>329.99</v>
      </c>
      <c r="P741" s="9" t="n">
        <v>33</v>
      </c>
      <c r="Q741" s="9" t="n">
        <v>296.99</v>
      </c>
      <c r="R741" s="9" t="n">
        <v>250.79</v>
      </c>
      <c r="S741" s="9" t="n">
        <v>46.2</v>
      </c>
      <c r="T741" s="10" t="n">
        <v>0.1556</v>
      </c>
    </row>
    <row r="742">
      <c r="A742" s="7" t="inlineStr">
        <is>
          <t>ORD-2024-1707</t>
        </is>
      </c>
      <c r="B742" s="7" t="inlineStr">
        <is>
          <t>2024-11-01</t>
        </is>
      </c>
      <c r="C742" s="7" t="inlineStr">
        <is>
          <t>FUR-DSK-003</t>
        </is>
      </c>
      <c r="D742" s="7" t="inlineStr">
        <is>
          <t>ApexMotor Dual-Motor Standing Desk</t>
        </is>
      </c>
      <c r="E742" s="7" t="inlineStr">
        <is>
          <t>Furniture</t>
        </is>
      </c>
      <c r="F742" s="7" t="inlineStr">
        <is>
          <t>Desks &amp; Workstations</t>
        </is>
      </c>
      <c r="G742" s="7" t="inlineStr">
        <is>
          <t>Central</t>
        </is>
      </c>
      <c r="H742" s="7" t="inlineStr">
        <is>
          <t>Illinois</t>
        </is>
      </c>
      <c r="I742" s="7" t="inlineStr">
        <is>
          <t>Direct Sales</t>
        </is>
      </c>
      <c r="J742" s="7" t="inlineStr">
        <is>
          <t>Corporate</t>
        </is>
      </c>
      <c r="K742" s="8" t="n">
        <v>8</v>
      </c>
      <c r="L742" s="9" t="n">
        <v>549.99</v>
      </c>
      <c r="M742" s="10" t="n">
        <v>0</v>
      </c>
      <c r="N742" s="9" t="n">
        <v>439.99</v>
      </c>
      <c r="O742" s="9" t="n">
        <v>4399.92</v>
      </c>
      <c r="P742" s="9" t="n">
        <v>0</v>
      </c>
      <c r="Q742" s="9" t="n">
        <v>4399.92</v>
      </c>
      <c r="R742" s="9" t="n">
        <v>3519.92</v>
      </c>
      <c r="S742" s="9" t="n">
        <v>880</v>
      </c>
      <c r="T742" s="10" t="n">
        <v>0.2</v>
      </c>
    </row>
    <row r="743">
      <c r="A743" s="7" t="inlineStr">
        <is>
          <t>ORD-2024-1724</t>
        </is>
      </c>
      <c r="B743" s="7" t="inlineStr">
        <is>
          <t>2024-11-01</t>
        </is>
      </c>
      <c r="C743" s="7" t="inlineStr">
        <is>
          <t>TEC-LAP-001</t>
        </is>
      </c>
      <c r="D743" s="7" t="inlineStr">
        <is>
          <t>ProBook Elite 15.6"</t>
        </is>
      </c>
      <c r="E743" s="7" t="inlineStr">
        <is>
          <t>Technology</t>
        </is>
      </c>
      <c r="F743" s="7" t="inlineStr">
        <is>
          <t>Laptops</t>
        </is>
      </c>
      <c r="G743" s="7" t="inlineStr">
        <is>
          <t>South</t>
        </is>
      </c>
      <c r="H743" s="7" t="inlineStr">
        <is>
          <t>Florida</t>
        </is>
      </c>
      <c r="I743" s="7" t="inlineStr">
        <is>
          <t>Retail Partner</t>
        </is>
      </c>
      <c r="J743" s="7" t="inlineStr">
        <is>
          <t>Consumer</t>
        </is>
      </c>
      <c r="K743" s="8" t="n">
        <v>3</v>
      </c>
      <c r="L743" s="9" t="n">
        <v>1199.99</v>
      </c>
      <c r="M743" s="10" t="n">
        <v>0.05</v>
      </c>
      <c r="N743" s="9" t="n">
        <v>863.99</v>
      </c>
      <c r="O743" s="9" t="n">
        <v>3599.97</v>
      </c>
      <c r="P743" s="9" t="n">
        <v>180</v>
      </c>
      <c r="Q743" s="9" t="n">
        <v>3419.97</v>
      </c>
      <c r="R743" s="9" t="n">
        <v>2591.97</v>
      </c>
      <c r="S743" s="9" t="n">
        <v>828</v>
      </c>
      <c r="T743" s="10" t="n">
        <v>0.2421</v>
      </c>
    </row>
    <row r="744">
      <c r="A744" s="7" t="inlineStr">
        <is>
          <t>ORD-2024-1724</t>
        </is>
      </c>
      <c r="B744" s="7" t="inlineStr">
        <is>
          <t>2024-11-01</t>
        </is>
      </c>
      <c r="C744" s="7" t="inlineStr">
        <is>
          <t>TEC-ACC-007</t>
        </is>
      </c>
      <c r="D744" s="7" t="inlineStr">
        <is>
          <t>ErgoMechanical Wireless Keyboard</t>
        </is>
      </c>
      <c r="E744" s="7" t="inlineStr">
        <is>
          <t>Technology</t>
        </is>
      </c>
      <c r="F744" s="7" t="inlineStr">
        <is>
          <t>Audio &amp; Accessories</t>
        </is>
      </c>
      <c r="G744" s="7" t="inlineStr">
        <is>
          <t>South</t>
        </is>
      </c>
      <c r="H744" s="7" t="inlineStr">
        <is>
          <t>Florida</t>
        </is>
      </c>
      <c r="I744" s="7" t="inlineStr">
        <is>
          <t>Retail Partner</t>
        </is>
      </c>
      <c r="J744" s="7" t="inlineStr">
        <is>
          <t>Consumer</t>
        </is>
      </c>
      <c r="K744" s="8" t="n">
        <v>1</v>
      </c>
      <c r="L744" s="9" t="n">
        <v>109.99</v>
      </c>
      <c r="M744" s="10" t="n">
        <v>0</v>
      </c>
      <c r="N744" s="9" t="n">
        <v>65.98999999999999</v>
      </c>
      <c r="O744" s="9" t="n">
        <v>109.99</v>
      </c>
      <c r="P744" s="9" t="n">
        <v>0</v>
      </c>
      <c r="Q744" s="9" t="n">
        <v>109.99</v>
      </c>
      <c r="R744" s="9" t="n">
        <v>65.98999999999999</v>
      </c>
      <c r="S744" s="9" t="n">
        <v>44</v>
      </c>
      <c r="T744" s="10" t="n">
        <v>0.4</v>
      </c>
    </row>
    <row r="745">
      <c r="A745" s="7" t="inlineStr">
        <is>
          <t>ORD-2024-1724</t>
        </is>
      </c>
      <c r="B745" s="7" t="inlineStr">
        <is>
          <t>2024-11-01</t>
        </is>
      </c>
      <c r="C745" s="7" t="inlineStr">
        <is>
          <t>TEC-LAP-002</t>
        </is>
      </c>
      <c r="D745" s="7" t="inlineStr">
        <is>
          <t>Apex Gaming Laptop 17"</t>
        </is>
      </c>
      <c r="E745" s="7" t="inlineStr">
        <is>
          <t>Technology</t>
        </is>
      </c>
      <c r="F745" s="7" t="inlineStr">
        <is>
          <t>Laptops</t>
        </is>
      </c>
      <c r="G745" s="7" t="inlineStr">
        <is>
          <t>South</t>
        </is>
      </c>
      <c r="H745" s="7" t="inlineStr">
        <is>
          <t>Florida</t>
        </is>
      </c>
      <c r="I745" s="7" t="inlineStr">
        <is>
          <t>Retail Partner</t>
        </is>
      </c>
      <c r="J745" s="7" t="inlineStr">
        <is>
          <t>Consumer</t>
        </is>
      </c>
      <c r="K745" s="8" t="n">
        <v>4</v>
      </c>
      <c r="L745" s="9" t="n">
        <v>1499.99</v>
      </c>
      <c r="M745" s="10" t="n">
        <v>0.1</v>
      </c>
      <c r="N745" s="9" t="n">
        <v>1259.99</v>
      </c>
      <c r="O745" s="9" t="n">
        <v>5999.96</v>
      </c>
      <c r="P745" s="9" t="n">
        <v>600</v>
      </c>
      <c r="Q745" s="9" t="n">
        <v>5399.96</v>
      </c>
      <c r="R745" s="9" t="n">
        <v>5039.96</v>
      </c>
      <c r="S745" s="9" t="n">
        <v>360</v>
      </c>
      <c r="T745" s="10" t="n">
        <v>0.0667</v>
      </c>
    </row>
    <row r="746">
      <c r="A746" s="7" t="inlineStr">
        <is>
          <t>ORD-2024-1112</t>
        </is>
      </c>
      <c r="B746" s="7" t="inlineStr">
        <is>
          <t>2024-11-02</t>
        </is>
      </c>
      <c r="C746" s="7" t="inlineStr">
        <is>
          <t>OFF-STR-002</t>
        </is>
      </c>
      <c r="D746" s="7" t="inlineStr">
        <is>
          <t>Stackable Heavy-Duty Storage Bins (4-Pk)</t>
        </is>
      </c>
      <c r="E746" s="7" t="inlineStr">
        <is>
          <t>Office Supplies</t>
        </is>
      </c>
      <c r="F746" s="7" t="inlineStr">
        <is>
          <t>Storage &amp; Organizers</t>
        </is>
      </c>
      <c r="G746" s="7" t="inlineStr">
        <is>
          <t>South</t>
        </is>
      </c>
      <c r="H746" s="7" t="inlineStr">
        <is>
          <t>Georgia</t>
        </is>
      </c>
      <c r="I746" s="7" t="inlineStr">
        <is>
          <t>Online</t>
        </is>
      </c>
      <c r="J746" s="7" t="inlineStr">
        <is>
          <t>Corporate</t>
        </is>
      </c>
      <c r="K746" s="8" t="n">
        <v>6</v>
      </c>
      <c r="L746" s="9" t="n">
        <v>44.99</v>
      </c>
      <c r="M746" s="10" t="n">
        <v>0</v>
      </c>
      <c r="N746" s="9" t="n">
        <v>24.74</v>
      </c>
      <c r="O746" s="9" t="n">
        <v>269.94</v>
      </c>
      <c r="P746" s="9" t="n">
        <v>0</v>
      </c>
      <c r="Q746" s="9" t="n">
        <v>269.94</v>
      </c>
      <c r="R746" s="9" t="n">
        <v>148.44</v>
      </c>
      <c r="S746" s="9" t="n">
        <v>121.5</v>
      </c>
      <c r="T746" s="10" t="n">
        <v>0.4501</v>
      </c>
    </row>
    <row r="747">
      <c r="A747" s="7" t="inlineStr">
        <is>
          <t>ORD-2024-1112</t>
        </is>
      </c>
      <c r="B747" s="7" t="inlineStr">
        <is>
          <t>2024-11-02</t>
        </is>
      </c>
      <c r="C747" s="7" t="inlineStr">
        <is>
          <t>TEC-TAB-003</t>
        </is>
      </c>
      <c r="D747" s="7" t="inlineStr">
        <is>
          <t>VisionPad Pro 11"</t>
        </is>
      </c>
      <c r="E747" s="7" t="inlineStr">
        <is>
          <t>Technology</t>
        </is>
      </c>
      <c r="F747" s="7" t="inlineStr">
        <is>
          <t>Phones &amp; Tablets</t>
        </is>
      </c>
      <c r="G747" s="7" t="inlineStr">
        <is>
          <t>South</t>
        </is>
      </c>
      <c r="H747" s="7" t="inlineStr">
        <is>
          <t>Georgia</t>
        </is>
      </c>
      <c r="I747" s="7" t="inlineStr">
        <is>
          <t>Online</t>
        </is>
      </c>
      <c r="J747" s="7" t="inlineStr">
        <is>
          <t>Corporate</t>
        </is>
      </c>
      <c r="K747" s="8" t="n">
        <v>5</v>
      </c>
      <c r="L747" s="9" t="n">
        <v>649.99</v>
      </c>
      <c r="M747" s="10" t="n">
        <v>0</v>
      </c>
      <c r="N747" s="9" t="n">
        <v>487.49</v>
      </c>
      <c r="O747" s="9" t="n">
        <v>3249.95</v>
      </c>
      <c r="P747" s="9" t="n">
        <v>0</v>
      </c>
      <c r="Q747" s="9" t="n">
        <v>3249.95</v>
      </c>
      <c r="R747" s="9" t="n">
        <v>2437.45</v>
      </c>
      <c r="S747" s="9" t="n">
        <v>812.5</v>
      </c>
      <c r="T747" s="10" t="n">
        <v>0.25</v>
      </c>
    </row>
    <row r="748">
      <c r="A748" s="7" t="inlineStr">
        <is>
          <t>ORD-2024-1112</t>
        </is>
      </c>
      <c r="B748" s="7" t="inlineStr">
        <is>
          <t>2024-11-02</t>
        </is>
      </c>
      <c r="C748" s="7" t="inlineStr">
        <is>
          <t>FUR-LGT-006</t>
        </is>
      </c>
      <c r="D748" s="7" t="inlineStr">
        <is>
          <t>Architect LED Desk Task Lamp</t>
        </is>
      </c>
      <c r="E748" s="7" t="inlineStr">
        <is>
          <t>Furniture</t>
        </is>
      </c>
      <c r="F748" s="7" t="inlineStr">
        <is>
          <t>Lighting</t>
        </is>
      </c>
      <c r="G748" s="7" t="inlineStr">
        <is>
          <t>South</t>
        </is>
      </c>
      <c r="H748" s="7" t="inlineStr">
        <is>
          <t>Georgia</t>
        </is>
      </c>
      <c r="I748" s="7" t="inlineStr">
        <is>
          <t>Online</t>
        </is>
      </c>
      <c r="J748" s="7" t="inlineStr">
        <is>
          <t>Corporate</t>
        </is>
      </c>
      <c r="K748" s="8" t="n">
        <v>7</v>
      </c>
      <c r="L748" s="9" t="n">
        <v>69.98999999999999</v>
      </c>
      <c r="M748" s="10" t="n">
        <v>0.1</v>
      </c>
      <c r="N748" s="9" t="n">
        <v>43.39</v>
      </c>
      <c r="O748" s="9" t="n">
        <v>489.93</v>
      </c>
      <c r="P748" s="9" t="n">
        <v>48.99</v>
      </c>
      <c r="Q748" s="9" t="n">
        <v>440.94</v>
      </c>
      <c r="R748" s="9" t="n">
        <v>303.73</v>
      </c>
      <c r="S748" s="9" t="n">
        <v>137.21</v>
      </c>
      <c r="T748" s="10" t="n">
        <v>0.3112</v>
      </c>
    </row>
    <row r="749">
      <c r="A749" s="7" t="inlineStr">
        <is>
          <t>ORD-2024-1600</t>
        </is>
      </c>
      <c r="B749" s="7" t="inlineStr">
        <is>
          <t>2024-11-02</t>
        </is>
      </c>
      <c r="C749" s="7" t="inlineStr">
        <is>
          <t>FUR-LGT-006</t>
        </is>
      </c>
      <c r="D749" s="7" t="inlineStr">
        <is>
          <t>Architect LED Desk Task Lamp</t>
        </is>
      </c>
      <c r="E749" s="7" t="inlineStr">
        <is>
          <t>Furniture</t>
        </is>
      </c>
      <c r="F749" s="7" t="inlineStr">
        <is>
          <t>Lighting</t>
        </is>
      </c>
      <c r="G749" s="7" t="inlineStr">
        <is>
          <t>Central</t>
        </is>
      </c>
      <c r="H749" s="7" t="inlineStr">
        <is>
          <t>Illinois</t>
        </is>
      </c>
      <c r="I749" s="7" t="inlineStr">
        <is>
          <t>Direct Sales</t>
        </is>
      </c>
      <c r="J749" s="7" t="inlineStr">
        <is>
          <t>Consumer</t>
        </is>
      </c>
      <c r="K749" s="8" t="n">
        <v>2</v>
      </c>
      <c r="L749" s="9" t="n">
        <v>69.98999999999999</v>
      </c>
      <c r="M749" s="10" t="n">
        <v>0.15</v>
      </c>
      <c r="N749" s="9" t="n">
        <v>43.39</v>
      </c>
      <c r="O749" s="9" t="n">
        <v>139.98</v>
      </c>
      <c r="P749" s="9" t="n">
        <v>21</v>
      </c>
      <c r="Q749" s="9" t="n">
        <v>118.98</v>
      </c>
      <c r="R749" s="9" t="n">
        <v>86.78</v>
      </c>
      <c r="S749" s="9" t="n">
        <v>32.2</v>
      </c>
      <c r="T749" s="10" t="n">
        <v>0.2706</v>
      </c>
    </row>
    <row r="750">
      <c r="A750" s="7" t="inlineStr">
        <is>
          <t>ORD-2024-1607</t>
        </is>
      </c>
      <c r="B750" s="7" t="inlineStr">
        <is>
          <t>2024-11-03</t>
        </is>
      </c>
      <c r="C750" s="7" t="inlineStr">
        <is>
          <t>TEC-ACC-005</t>
        </is>
      </c>
      <c r="D750" s="7" t="inlineStr">
        <is>
          <t>UltraWireless Noise-Canceling Headset</t>
        </is>
      </c>
      <c r="E750" s="7" t="inlineStr">
        <is>
          <t>Technology</t>
        </is>
      </c>
      <c r="F750" s="7" t="inlineStr">
        <is>
          <t>Audio &amp; Accessories</t>
        </is>
      </c>
      <c r="G750" s="7" t="inlineStr">
        <is>
          <t>Central</t>
        </is>
      </c>
      <c r="H750" s="7" t="inlineStr">
        <is>
          <t>Ohio</t>
        </is>
      </c>
      <c r="I750" s="7" t="inlineStr">
        <is>
          <t>Direct Sales</t>
        </is>
      </c>
      <c r="J750" s="7" t="inlineStr">
        <is>
          <t>Consumer</t>
        </is>
      </c>
      <c r="K750" s="8" t="n">
        <v>4</v>
      </c>
      <c r="L750" s="9" t="n">
        <v>179.99</v>
      </c>
      <c r="M750" s="10" t="n">
        <v>0</v>
      </c>
      <c r="N750" s="9" t="n">
        <v>111.59</v>
      </c>
      <c r="O750" s="9" t="n">
        <v>719.96</v>
      </c>
      <c r="P750" s="9" t="n">
        <v>0</v>
      </c>
      <c r="Q750" s="9" t="n">
        <v>719.96</v>
      </c>
      <c r="R750" s="9" t="n">
        <v>446.36</v>
      </c>
      <c r="S750" s="9" t="n">
        <v>273.6</v>
      </c>
      <c r="T750" s="10" t="n">
        <v>0.38</v>
      </c>
    </row>
    <row r="751">
      <c r="A751" s="7" t="inlineStr">
        <is>
          <t>ORD-2024-1663</t>
        </is>
      </c>
      <c r="B751" s="7" t="inlineStr">
        <is>
          <t>2024-11-03</t>
        </is>
      </c>
      <c r="C751" s="7" t="inlineStr">
        <is>
          <t>FUR-DSK-003</t>
        </is>
      </c>
      <c r="D751" s="7" t="inlineStr">
        <is>
          <t>ApexMotor Dual-Motor Standing Desk</t>
        </is>
      </c>
      <c r="E751" s="7" t="inlineStr">
        <is>
          <t>Furniture</t>
        </is>
      </c>
      <c r="F751" s="7" t="inlineStr">
        <is>
          <t>Desks &amp; Workstations</t>
        </is>
      </c>
      <c r="G751" s="7" t="inlineStr">
        <is>
          <t>West</t>
        </is>
      </c>
      <c r="H751" s="7" t="inlineStr">
        <is>
          <t>Washington</t>
        </is>
      </c>
      <c r="I751" s="7" t="inlineStr">
        <is>
          <t>Direct Sales</t>
        </is>
      </c>
      <c r="J751" s="7" t="inlineStr">
        <is>
          <t>Corporate</t>
        </is>
      </c>
      <c r="K751" s="8" t="n">
        <v>2</v>
      </c>
      <c r="L751" s="9" t="n">
        <v>549.99</v>
      </c>
      <c r="M751" s="10" t="n">
        <v>0</v>
      </c>
      <c r="N751" s="9" t="n">
        <v>439.99</v>
      </c>
      <c r="O751" s="9" t="n">
        <v>1099.98</v>
      </c>
      <c r="P751" s="9" t="n">
        <v>0</v>
      </c>
      <c r="Q751" s="9" t="n">
        <v>1099.98</v>
      </c>
      <c r="R751" s="9" t="n">
        <v>879.98</v>
      </c>
      <c r="S751" s="9" t="n">
        <v>220</v>
      </c>
      <c r="T751" s="10" t="n">
        <v>0.2</v>
      </c>
    </row>
    <row r="752">
      <c r="A752" s="7" t="inlineStr">
        <is>
          <t>ORD-2024-1730</t>
        </is>
      </c>
      <c r="B752" s="7" t="inlineStr">
        <is>
          <t>2024-11-03</t>
        </is>
      </c>
      <c r="C752" s="7" t="inlineStr">
        <is>
          <t>TEC-TAB-004</t>
        </is>
      </c>
      <c r="D752" s="7" t="inlineStr">
        <is>
          <t>VisionPad Lite 8.5"</t>
        </is>
      </c>
      <c r="E752" s="7" t="inlineStr">
        <is>
          <t>Technology</t>
        </is>
      </c>
      <c r="F752" s="7" t="inlineStr">
        <is>
          <t>Phones &amp; Tablets</t>
        </is>
      </c>
      <c r="G752" s="7" t="inlineStr">
        <is>
          <t>Central</t>
        </is>
      </c>
      <c r="H752" s="7" t="inlineStr">
        <is>
          <t>Michigan</t>
        </is>
      </c>
      <c r="I752" s="7" t="inlineStr">
        <is>
          <t>Online</t>
        </is>
      </c>
      <c r="J752" s="7" t="inlineStr">
        <is>
          <t>Home Office</t>
        </is>
      </c>
      <c r="K752" s="8" t="n">
        <v>4</v>
      </c>
      <c r="L752" s="9" t="n">
        <v>299.99</v>
      </c>
      <c r="M752" s="10" t="n">
        <v>0</v>
      </c>
      <c r="N752" s="9" t="n">
        <v>245.99</v>
      </c>
      <c r="O752" s="9" t="n">
        <v>1199.96</v>
      </c>
      <c r="P752" s="9" t="n">
        <v>0</v>
      </c>
      <c r="Q752" s="9" t="n">
        <v>1199.96</v>
      </c>
      <c r="R752" s="9" t="n">
        <v>983.96</v>
      </c>
      <c r="S752" s="9" t="n">
        <v>216</v>
      </c>
      <c r="T752" s="10" t="n">
        <v>0.18</v>
      </c>
    </row>
    <row r="753">
      <c r="A753" s="7" t="inlineStr">
        <is>
          <t>ORD-2024-1025</t>
        </is>
      </c>
      <c r="B753" s="7" t="inlineStr">
        <is>
          <t>2024-11-04</t>
        </is>
      </c>
      <c r="C753" s="7" t="inlineStr">
        <is>
          <t>OFF-DSK-007</t>
        </is>
      </c>
      <c r="D753" s="7" t="inlineStr">
        <is>
          <t>Gel Ergo Mouse Pad &amp; Wrist Rest Combo</t>
        </is>
      </c>
      <c r="E753" s="7" t="inlineStr">
        <is>
          <t>Office Supplies</t>
        </is>
      </c>
      <c r="F753" s="7" t="inlineStr">
        <is>
          <t>Desk Supplies</t>
        </is>
      </c>
      <c r="G753" s="7" t="inlineStr">
        <is>
          <t>East</t>
        </is>
      </c>
      <c r="H753" s="7" t="inlineStr">
        <is>
          <t>Pennsylvania</t>
        </is>
      </c>
      <c r="I753" s="7" t="inlineStr">
        <is>
          <t>Direct Sales</t>
        </is>
      </c>
      <c r="J753" s="7" t="inlineStr">
        <is>
          <t>Corporate</t>
        </is>
      </c>
      <c r="K753" s="8" t="n">
        <v>3</v>
      </c>
      <c r="L753" s="9" t="n">
        <v>21.99</v>
      </c>
      <c r="M753" s="10" t="n">
        <v>0</v>
      </c>
      <c r="N753" s="9" t="n">
        <v>10.56</v>
      </c>
      <c r="O753" s="9" t="n">
        <v>65.97</v>
      </c>
      <c r="P753" s="9" t="n">
        <v>0</v>
      </c>
      <c r="Q753" s="9" t="n">
        <v>65.97</v>
      </c>
      <c r="R753" s="9" t="n">
        <v>31.68</v>
      </c>
      <c r="S753" s="9" t="n">
        <v>34.29</v>
      </c>
      <c r="T753" s="10" t="n">
        <v>0.5198</v>
      </c>
    </row>
    <row r="754">
      <c r="A754" s="7" t="inlineStr">
        <is>
          <t>ORD-2024-1240</t>
        </is>
      </c>
      <c r="B754" s="7" t="inlineStr">
        <is>
          <t>2024-11-05</t>
        </is>
      </c>
      <c r="C754" s="7" t="inlineStr">
        <is>
          <t>OFF-PAP-003</t>
        </is>
      </c>
      <c r="D754" s="7" t="inlineStr">
        <is>
          <t>UltraWhite Premium Multipurpose Paper (Case)</t>
        </is>
      </c>
      <c r="E754" s="7" t="inlineStr">
        <is>
          <t>Office Supplies</t>
        </is>
      </c>
      <c r="F754" s="7" t="inlineStr">
        <is>
          <t>Paper Products</t>
        </is>
      </c>
      <c r="G754" s="7" t="inlineStr">
        <is>
          <t>East</t>
        </is>
      </c>
      <c r="H754" s="7" t="inlineStr">
        <is>
          <t>Pennsylvania</t>
        </is>
      </c>
      <c r="I754" s="7" t="inlineStr">
        <is>
          <t>Online</t>
        </is>
      </c>
      <c r="J754" s="7" t="inlineStr">
        <is>
          <t>Corporate</t>
        </is>
      </c>
      <c r="K754" s="8" t="n">
        <v>5</v>
      </c>
      <c r="L754" s="9" t="n">
        <v>54.99</v>
      </c>
      <c r="M754" s="10" t="n">
        <v>0</v>
      </c>
      <c r="N754" s="9" t="n">
        <v>31.89</v>
      </c>
      <c r="O754" s="9" t="n">
        <v>274.95</v>
      </c>
      <c r="P754" s="9" t="n">
        <v>0</v>
      </c>
      <c r="Q754" s="9" t="n">
        <v>274.95</v>
      </c>
      <c r="R754" s="9" t="n">
        <v>159.45</v>
      </c>
      <c r="S754" s="9" t="n">
        <v>115.5</v>
      </c>
      <c r="T754" s="10" t="n">
        <v>0.4201</v>
      </c>
    </row>
    <row r="755">
      <c r="A755" s="7" t="inlineStr">
        <is>
          <t>ORD-2024-1287</t>
        </is>
      </c>
      <c r="B755" s="7" t="inlineStr">
        <is>
          <t>2024-11-05</t>
        </is>
      </c>
      <c r="C755" s="7" t="inlineStr">
        <is>
          <t>OFF-PAP-003</t>
        </is>
      </c>
      <c r="D755" s="7" t="inlineStr">
        <is>
          <t>UltraWhite Premium Multipurpose Paper (Case)</t>
        </is>
      </c>
      <c r="E755" s="7" t="inlineStr">
        <is>
          <t>Office Supplies</t>
        </is>
      </c>
      <c r="F755" s="7" t="inlineStr">
        <is>
          <t>Paper Products</t>
        </is>
      </c>
      <c r="G755" s="7" t="inlineStr">
        <is>
          <t>West</t>
        </is>
      </c>
      <c r="H755" s="7" t="inlineStr">
        <is>
          <t>Colorado</t>
        </is>
      </c>
      <c r="I755" s="7" t="inlineStr">
        <is>
          <t>Wholesale</t>
        </is>
      </c>
      <c r="J755" s="7" t="inlineStr">
        <is>
          <t>Corporate</t>
        </is>
      </c>
      <c r="K755" s="8" t="n">
        <v>6</v>
      </c>
      <c r="L755" s="9" t="n">
        <v>54.99</v>
      </c>
      <c r="M755" s="10" t="n">
        <v>0.15</v>
      </c>
      <c r="N755" s="9" t="n">
        <v>31.89</v>
      </c>
      <c r="O755" s="9" t="n">
        <v>329.94</v>
      </c>
      <c r="P755" s="9" t="n">
        <v>49.49</v>
      </c>
      <c r="Q755" s="9" t="n">
        <v>280.45</v>
      </c>
      <c r="R755" s="9" t="n">
        <v>191.34</v>
      </c>
      <c r="S755" s="9" t="n">
        <v>89.11</v>
      </c>
      <c r="T755" s="10" t="n">
        <v>0.3177</v>
      </c>
    </row>
    <row r="756">
      <c r="A756" s="7" t="inlineStr">
        <is>
          <t>ORD-2024-1683</t>
        </is>
      </c>
      <c r="B756" s="7" t="inlineStr">
        <is>
          <t>2024-11-06</t>
        </is>
      </c>
      <c r="C756" s="7" t="inlineStr">
        <is>
          <t>TEC-ACC-007</t>
        </is>
      </c>
      <c r="D756" s="7" t="inlineStr">
        <is>
          <t>ErgoMechanical Wireless Keyboard</t>
        </is>
      </c>
      <c r="E756" s="7" t="inlineStr">
        <is>
          <t>Technology</t>
        </is>
      </c>
      <c r="F756" s="7" t="inlineStr">
        <is>
          <t>Audio &amp; Accessories</t>
        </is>
      </c>
      <c r="G756" s="7" t="inlineStr">
        <is>
          <t>Central</t>
        </is>
      </c>
      <c r="H756" s="7" t="inlineStr">
        <is>
          <t>Texas</t>
        </is>
      </c>
      <c r="I756" s="7" t="inlineStr">
        <is>
          <t>Direct Sales</t>
        </is>
      </c>
      <c r="J756" s="7" t="inlineStr">
        <is>
          <t>Consumer</t>
        </is>
      </c>
      <c r="K756" s="8" t="n">
        <v>2</v>
      </c>
      <c r="L756" s="9" t="n">
        <v>109.99</v>
      </c>
      <c r="M756" s="10" t="n">
        <v>0.05</v>
      </c>
      <c r="N756" s="9" t="n">
        <v>65.98999999999999</v>
      </c>
      <c r="O756" s="9" t="n">
        <v>219.98</v>
      </c>
      <c r="P756" s="9" t="n">
        <v>11</v>
      </c>
      <c r="Q756" s="9" t="n">
        <v>208.98</v>
      </c>
      <c r="R756" s="9" t="n">
        <v>131.98</v>
      </c>
      <c r="S756" s="9" t="n">
        <v>77</v>
      </c>
      <c r="T756" s="10" t="n">
        <v>0.3685</v>
      </c>
    </row>
    <row r="757">
      <c r="A757" s="7" t="inlineStr">
        <is>
          <t>ORD-2024-1683</t>
        </is>
      </c>
      <c r="B757" s="7" t="inlineStr">
        <is>
          <t>2024-11-06</t>
        </is>
      </c>
      <c r="C757" s="7" t="inlineStr">
        <is>
          <t>TEC-LAP-002</t>
        </is>
      </c>
      <c r="D757" s="7" t="inlineStr">
        <is>
          <t>Apex Gaming Laptop 17"</t>
        </is>
      </c>
      <c r="E757" s="7" t="inlineStr">
        <is>
          <t>Technology</t>
        </is>
      </c>
      <c r="F757" s="7" t="inlineStr">
        <is>
          <t>Laptops</t>
        </is>
      </c>
      <c r="G757" s="7" t="inlineStr">
        <is>
          <t>Central</t>
        </is>
      </c>
      <c r="H757" s="7" t="inlineStr">
        <is>
          <t>Texas</t>
        </is>
      </c>
      <c r="I757" s="7" t="inlineStr">
        <is>
          <t>Direct Sales</t>
        </is>
      </c>
      <c r="J757" s="7" t="inlineStr">
        <is>
          <t>Consumer</t>
        </is>
      </c>
      <c r="K757" s="8" t="n">
        <v>3</v>
      </c>
      <c r="L757" s="9" t="n">
        <v>1499.99</v>
      </c>
      <c r="M757" s="10" t="n">
        <v>0.25</v>
      </c>
      <c r="N757" s="9" t="n">
        <v>1259.99</v>
      </c>
      <c r="O757" s="9" t="n">
        <v>4499.97</v>
      </c>
      <c r="P757" s="9" t="n">
        <v>1124.99</v>
      </c>
      <c r="Q757" s="9" t="n">
        <v>3374.98</v>
      </c>
      <c r="R757" s="9" t="n">
        <v>3779.97</v>
      </c>
      <c r="S757" s="9" t="n">
        <v>-404.99</v>
      </c>
      <c r="T757" s="10" t="n">
        <v>-0.12</v>
      </c>
    </row>
    <row r="758">
      <c r="A758" s="7" t="inlineStr">
        <is>
          <t>ORD-2024-1445</t>
        </is>
      </c>
      <c r="B758" s="7" t="inlineStr">
        <is>
          <t>2024-11-07</t>
        </is>
      </c>
      <c r="C758" s="7" t="inlineStr">
        <is>
          <t>OFF-ART-006</t>
        </is>
      </c>
      <c r="D758" s="7" t="inlineStr">
        <is>
          <t>Professional Presentation Dry Erase Board</t>
        </is>
      </c>
      <c r="E758" s="7" t="inlineStr">
        <is>
          <t>Office Supplies</t>
        </is>
      </c>
      <c r="F758" s="7" t="inlineStr">
        <is>
          <t>Presentation &amp; Art</t>
        </is>
      </c>
      <c r="G758" s="7" t="inlineStr">
        <is>
          <t>South</t>
        </is>
      </c>
      <c r="H758" s="7" t="inlineStr">
        <is>
          <t>North Carolina</t>
        </is>
      </c>
      <c r="I758" s="7" t="inlineStr">
        <is>
          <t>Wholesale</t>
        </is>
      </c>
      <c r="J758" s="7" t="inlineStr">
        <is>
          <t>Corporate</t>
        </is>
      </c>
      <c r="K758" s="8" t="n">
        <v>7</v>
      </c>
      <c r="L758" s="9" t="n">
        <v>89.98999999999999</v>
      </c>
      <c r="M758" s="10" t="n">
        <v>0.15</v>
      </c>
      <c r="N758" s="9" t="n">
        <v>53.99</v>
      </c>
      <c r="O758" s="9" t="n">
        <v>629.9299999999999</v>
      </c>
      <c r="P758" s="9" t="n">
        <v>94.48999999999999</v>
      </c>
      <c r="Q758" s="9" t="n">
        <v>535.4400000000001</v>
      </c>
      <c r="R758" s="9" t="n">
        <v>377.93</v>
      </c>
      <c r="S758" s="9" t="n">
        <v>157.51</v>
      </c>
      <c r="T758" s="10" t="n">
        <v>0.2942</v>
      </c>
    </row>
    <row r="759">
      <c r="A759" s="7" t="inlineStr">
        <is>
          <t>ORD-2024-1490</t>
        </is>
      </c>
      <c r="B759" s="7" t="inlineStr">
        <is>
          <t>2024-11-07</t>
        </is>
      </c>
      <c r="C759" s="7" t="inlineStr">
        <is>
          <t>OFF-PAP-004</t>
        </is>
      </c>
      <c r="D759" s="7" t="inlineStr">
        <is>
          <t>EcoRecycled Copy Paper (5 Reams)</t>
        </is>
      </c>
      <c r="E759" s="7" t="inlineStr">
        <is>
          <t>Office Supplies</t>
        </is>
      </c>
      <c r="F759" s="7" t="inlineStr">
        <is>
          <t>Paper Products</t>
        </is>
      </c>
      <c r="G759" s="7" t="inlineStr">
        <is>
          <t>East</t>
        </is>
      </c>
      <c r="H759" s="7" t="inlineStr">
        <is>
          <t>Massachusetts</t>
        </is>
      </c>
      <c r="I759" s="7" t="inlineStr">
        <is>
          <t>Retail Partner</t>
        </is>
      </c>
      <c r="J759" s="7" t="inlineStr">
        <is>
          <t>Consumer</t>
        </is>
      </c>
      <c r="K759" s="8" t="n">
        <v>3</v>
      </c>
      <c r="L759" s="9" t="n">
        <v>32.99</v>
      </c>
      <c r="M759" s="10" t="n">
        <v>0.15</v>
      </c>
      <c r="N759" s="9" t="n">
        <v>19.79</v>
      </c>
      <c r="O759" s="9" t="n">
        <v>98.97</v>
      </c>
      <c r="P759" s="9" t="n">
        <v>14.85</v>
      </c>
      <c r="Q759" s="9" t="n">
        <v>84.12</v>
      </c>
      <c r="R759" s="9" t="n">
        <v>59.37</v>
      </c>
      <c r="S759" s="9" t="n">
        <v>24.75</v>
      </c>
      <c r="T759" s="10" t="n">
        <v>0.2942</v>
      </c>
    </row>
    <row r="760">
      <c r="A760" s="7" t="inlineStr">
        <is>
          <t>ORD-2024-1490</t>
        </is>
      </c>
      <c r="B760" s="7" t="inlineStr">
        <is>
          <t>2024-11-07</t>
        </is>
      </c>
      <c r="C760" s="7" t="inlineStr">
        <is>
          <t>TEC-ACC-005</t>
        </is>
      </c>
      <c r="D760" s="7" t="inlineStr">
        <is>
          <t>UltraWireless Noise-Canceling Headset</t>
        </is>
      </c>
      <c r="E760" s="7" t="inlineStr">
        <is>
          <t>Technology</t>
        </is>
      </c>
      <c r="F760" s="7" t="inlineStr">
        <is>
          <t>Audio &amp; Accessories</t>
        </is>
      </c>
      <c r="G760" s="7" t="inlineStr">
        <is>
          <t>East</t>
        </is>
      </c>
      <c r="H760" s="7" t="inlineStr">
        <is>
          <t>Massachusetts</t>
        </is>
      </c>
      <c r="I760" s="7" t="inlineStr">
        <is>
          <t>Retail Partner</t>
        </is>
      </c>
      <c r="J760" s="7" t="inlineStr">
        <is>
          <t>Consumer</t>
        </is>
      </c>
      <c r="K760" s="8" t="n">
        <v>1</v>
      </c>
      <c r="L760" s="9" t="n">
        <v>179.99</v>
      </c>
      <c r="M760" s="10" t="n">
        <v>0.15</v>
      </c>
      <c r="N760" s="9" t="n">
        <v>111.59</v>
      </c>
      <c r="O760" s="9" t="n">
        <v>179.99</v>
      </c>
      <c r="P760" s="9" t="n">
        <v>27</v>
      </c>
      <c r="Q760" s="9" t="n">
        <v>152.99</v>
      </c>
      <c r="R760" s="9" t="n">
        <v>111.59</v>
      </c>
      <c r="S760" s="9" t="n">
        <v>41.4</v>
      </c>
      <c r="T760" s="10" t="n">
        <v>0.2706</v>
      </c>
    </row>
    <row r="761">
      <c r="A761" s="7" t="inlineStr">
        <is>
          <t>ORD-2024-1490</t>
        </is>
      </c>
      <c r="B761" s="7" t="inlineStr">
        <is>
          <t>2024-11-07</t>
        </is>
      </c>
      <c r="C761" s="7" t="inlineStr">
        <is>
          <t>OFF-ART-006</t>
        </is>
      </c>
      <c r="D761" s="7" t="inlineStr">
        <is>
          <t>Professional Presentation Dry Erase Board</t>
        </is>
      </c>
      <c r="E761" s="7" t="inlineStr">
        <is>
          <t>Office Supplies</t>
        </is>
      </c>
      <c r="F761" s="7" t="inlineStr">
        <is>
          <t>Presentation &amp; Art</t>
        </is>
      </c>
      <c r="G761" s="7" t="inlineStr">
        <is>
          <t>East</t>
        </is>
      </c>
      <c r="H761" s="7" t="inlineStr">
        <is>
          <t>Massachusetts</t>
        </is>
      </c>
      <c r="I761" s="7" t="inlineStr">
        <is>
          <t>Retail Partner</t>
        </is>
      </c>
      <c r="J761" s="7" t="inlineStr">
        <is>
          <t>Consumer</t>
        </is>
      </c>
      <c r="K761" s="8" t="n">
        <v>2</v>
      </c>
      <c r="L761" s="9" t="n">
        <v>89.98999999999999</v>
      </c>
      <c r="M761" s="10" t="n">
        <v>0.15</v>
      </c>
      <c r="N761" s="9" t="n">
        <v>53.99</v>
      </c>
      <c r="O761" s="9" t="n">
        <v>179.98</v>
      </c>
      <c r="P761" s="9" t="n">
        <v>27</v>
      </c>
      <c r="Q761" s="9" t="n">
        <v>152.98</v>
      </c>
      <c r="R761" s="9" t="n">
        <v>107.98</v>
      </c>
      <c r="S761" s="9" t="n">
        <v>45</v>
      </c>
      <c r="T761" s="10" t="n">
        <v>0.2942</v>
      </c>
    </row>
    <row r="762">
      <c r="A762" s="7" t="inlineStr">
        <is>
          <t>ORD-2024-1626</t>
        </is>
      </c>
      <c r="B762" s="7" t="inlineStr">
        <is>
          <t>2024-11-07</t>
        </is>
      </c>
      <c r="C762" s="7" t="inlineStr">
        <is>
          <t>FUR-DSK-003</t>
        </is>
      </c>
      <c r="D762" s="7" t="inlineStr">
        <is>
          <t>ApexMotor Dual-Motor Standing Desk</t>
        </is>
      </c>
      <c r="E762" s="7" t="inlineStr">
        <is>
          <t>Furniture</t>
        </is>
      </c>
      <c r="F762" s="7" t="inlineStr">
        <is>
          <t>Desks &amp; Workstations</t>
        </is>
      </c>
      <c r="G762" s="7" t="inlineStr">
        <is>
          <t>Central</t>
        </is>
      </c>
      <c r="H762" s="7" t="inlineStr">
        <is>
          <t>Michigan</t>
        </is>
      </c>
      <c r="I762" s="7" t="inlineStr">
        <is>
          <t>Online</t>
        </is>
      </c>
      <c r="J762" s="7" t="inlineStr">
        <is>
          <t>Consumer</t>
        </is>
      </c>
      <c r="K762" s="8" t="n">
        <v>2</v>
      </c>
      <c r="L762" s="9" t="n">
        <v>549.99</v>
      </c>
      <c r="M762" s="10" t="n">
        <v>0.2</v>
      </c>
      <c r="N762" s="9" t="n">
        <v>439.99</v>
      </c>
      <c r="O762" s="9" t="n">
        <v>1099.98</v>
      </c>
      <c r="P762" s="9" t="n">
        <v>220</v>
      </c>
      <c r="Q762" s="9" t="n">
        <v>879.98</v>
      </c>
      <c r="R762" s="9" t="n">
        <v>879.98</v>
      </c>
      <c r="S762" s="9" t="n">
        <v>0</v>
      </c>
      <c r="T762" s="10" t="n">
        <v>0</v>
      </c>
    </row>
    <row r="763">
      <c r="A763" s="7" t="inlineStr">
        <is>
          <t>ORD-2024-1626</t>
        </is>
      </c>
      <c r="B763" s="7" t="inlineStr">
        <is>
          <t>2024-11-07</t>
        </is>
      </c>
      <c r="C763" s="7" t="inlineStr">
        <is>
          <t>FUR-BOK-005</t>
        </is>
      </c>
      <c r="D763" s="7" t="inlineStr">
        <is>
          <t>Modular 5-Tier Steel Bookcase</t>
        </is>
      </c>
      <c r="E763" s="7" t="inlineStr">
        <is>
          <t>Furniture</t>
        </is>
      </c>
      <c r="F763" s="7" t="inlineStr">
        <is>
          <t>Bookcases</t>
        </is>
      </c>
      <c r="G763" s="7" t="inlineStr">
        <is>
          <t>Central</t>
        </is>
      </c>
      <c r="H763" s="7" t="inlineStr">
        <is>
          <t>Michigan</t>
        </is>
      </c>
      <c r="I763" s="7" t="inlineStr">
        <is>
          <t>Online</t>
        </is>
      </c>
      <c r="J763" s="7" t="inlineStr">
        <is>
          <t>Consumer</t>
        </is>
      </c>
      <c r="K763" s="8" t="n">
        <v>3</v>
      </c>
      <c r="L763" s="9" t="n">
        <v>189.99</v>
      </c>
      <c r="M763" s="10" t="n">
        <v>0</v>
      </c>
      <c r="N763" s="9" t="n">
        <v>142.49</v>
      </c>
      <c r="O763" s="9" t="n">
        <v>569.97</v>
      </c>
      <c r="P763" s="9" t="n">
        <v>0</v>
      </c>
      <c r="Q763" s="9" t="n">
        <v>569.97</v>
      </c>
      <c r="R763" s="9" t="n">
        <v>427.47</v>
      </c>
      <c r="S763" s="9" t="n">
        <v>142.5</v>
      </c>
      <c r="T763" s="10" t="n">
        <v>0.25</v>
      </c>
    </row>
    <row r="764">
      <c r="A764" s="7" t="inlineStr">
        <is>
          <t>ORD-2024-1046</t>
        </is>
      </c>
      <c r="B764" s="7" t="inlineStr">
        <is>
          <t>2024-11-08</t>
        </is>
      </c>
      <c r="C764" s="7" t="inlineStr">
        <is>
          <t>TEC-LAP-002</t>
        </is>
      </c>
      <c r="D764" s="7" t="inlineStr">
        <is>
          <t>Apex Gaming Laptop 17"</t>
        </is>
      </c>
      <c r="E764" s="7" t="inlineStr">
        <is>
          <t>Technology</t>
        </is>
      </c>
      <c r="F764" s="7" t="inlineStr">
        <is>
          <t>Laptops</t>
        </is>
      </c>
      <c r="G764" s="7" t="inlineStr">
        <is>
          <t>East</t>
        </is>
      </c>
      <c r="H764" s="7" t="inlineStr">
        <is>
          <t>New York</t>
        </is>
      </c>
      <c r="I764" s="7" t="inlineStr">
        <is>
          <t>Online</t>
        </is>
      </c>
      <c r="J764" s="7" t="inlineStr">
        <is>
          <t>Corporate</t>
        </is>
      </c>
      <c r="K764" s="8" t="n">
        <v>8</v>
      </c>
      <c r="L764" s="9" t="n">
        <v>1499.99</v>
      </c>
      <c r="M764" s="10" t="n">
        <v>0.15</v>
      </c>
      <c r="N764" s="9" t="n">
        <v>1259.99</v>
      </c>
      <c r="O764" s="9" t="n">
        <v>11999.92</v>
      </c>
      <c r="P764" s="9" t="n">
        <v>1799.99</v>
      </c>
      <c r="Q764" s="9" t="n">
        <v>10199.93</v>
      </c>
      <c r="R764" s="9" t="n">
        <v>10079.92</v>
      </c>
      <c r="S764" s="9" t="n">
        <v>120.01</v>
      </c>
      <c r="T764" s="10" t="n">
        <v>0.0118</v>
      </c>
    </row>
    <row r="765">
      <c r="A765" s="7" t="inlineStr">
        <is>
          <t>ORD-2024-1046</t>
        </is>
      </c>
      <c r="B765" s="7" t="inlineStr">
        <is>
          <t>2024-11-08</t>
        </is>
      </c>
      <c r="C765" s="7" t="inlineStr">
        <is>
          <t>FUR-DSK-003</t>
        </is>
      </c>
      <c r="D765" s="7" t="inlineStr">
        <is>
          <t>ApexMotor Dual-Motor Standing Desk</t>
        </is>
      </c>
      <c r="E765" s="7" t="inlineStr">
        <is>
          <t>Furniture</t>
        </is>
      </c>
      <c r="F765" s="7" t="inlineStr">
        <is>
          <t>Desks &amp; Workstations</t>
        </is>
      </c>
      <c r="G765" s="7" t="inlineStr">
        <is>
          <t>East</t>
        </is>
      </c>
      <c r="H765" s="7" t="inlineStr">
        <is>
          <t>New York</t>
        </is>
      </c>
      <c r="I765" s="7" t="inlineStr">
        <is>
          <t>Online</t>
        </is>
      </c>
      <c r="J765" s="7" t="inlineStr">
        <is>
          <t>Corporate</t>
        </is>
      </c>
      <c r="K765" s="8" t="n">
        <v>2</v>
      </c>
      <c r="L765" s="9" t="n">
        <v>549.99</v>
      </c>
      <c r="M765" s="10" t="n">
        <v>0.1</v>
      </c>
      <c r="N765" s="9" t="n">
        <v>439.99</v>
      </c>
      <c r="O765" s="9" t="n">
        <v>1099.98</v>
      </c>
      <c r="P765" s="9" t="n">
        <v>110</v>
      </c>
      <c r="Q765" s="9" t="n">
        <v>989.98</v>
      </c>
      <c r="R765" s="9" t="n">
        <v>879.98</v>
      </c>
      <c r="S765" s="9" t="n">
        <v>110</v>
      </c>
      <c r="T765" s="10" t="n">
        <v>0.1111</v>
      </c>
    </row>
    <row r="766">
      <c r="A766" s="7" t="inlineStr">
        <is>
          <t>ORD-2024-1111</t>
        </is>
      </c>
      <c r="B766" s="7" t="inlineStr">
        <is>
          <t>2024-11-08</t>
        </is>
      </c>
      <c r="C766" s="7" t="inlineStr">
        <is>
          <t>TEC-ACC-005</t>
        </is>
      </c>
      <c r="D766" s="7" t="inlineStr">
        <is>
          <t>UltraWireless Noise-Canceling Headset</t>
        </is>
      </c>
      <c r="E766" s="7" t="inlineStr">
        <is>
          <t>Technology</t>
        </is>
      </c>
      <c r="F766" s="7" t="inlineStr">
        <is>
          <t>Audio &amp; Accessories</t>
        </is>
      </c>
      <c r="G766" s="7" t="inlineStr">
        <is>
          <t>East</t>
        </is>
      </c>
      <c r="H766" s="7" t="inlineStr">
        <is>
          <t>Pennsylvania</t>
        </is>
      </c>
      <c r="I766" s="7" t="inlineStr">
        <is>
          <t>Direct Sales</t>
        </is>
      </c>
      <c r="J766" s="7" t="inlineStr">
        <is>
          <t>Consumer</t>
        </is>
      </c>
      <c r="K766" s="8" t="n">
        <v>1</v>
      </c>
      <c r="L766" s="9" t="n">
        <v>179.99</v>
      </c>
      <c r="M766" s="10" t="n">
        <v>0.2</v>
      </c>
      <c r="N766" s="9" t="n">
        <v>111.59</v>
      </c>
      <c r="O766" s="9" t="n">
        <v>179.99</v>
      </c>
      <c r="P766" s="9" t="n">
        <v>36</v>
      </c>
      <c r="Q766" s="9" t="n">
        <v>143.99</v>
      </c>
      <c r="R766" s="9" t="n">
        <v>111.59</v>
      </c>
      <c r="S766" s="9" t="n">
        <v>32.4</v>
      </c>
      <c r="T766" s="10" t="n">
        <v>0.225</v>
      </c>
    </row>
    <row r="767">
      <c r="A767" s="7" t="inlineStr">
        <is>
          <t>ORD-2024-1116</t>
        </is>
      </c>
      <c r="B767" s="7" t="inlineStr">
        <is>
          <t>2024-11-08</t>
        </is>
      </c>
      <c r="C767" s="7" t="inlineStr">
        <is>
          <t>OFF-PAP-003</t>
        </is>
      </c>
      <c r="D767" s="7" t="inlineStr">
        <is>
          <t>UltraWhite Premium Multipurpose Paper (Case)</t>
        </is>
      </c>
      <c r="E767" s="7" t="inlineStr">
        <is>
          <t>Office Supplies</t>
        </is>
      </c>
      <c r="F767" s="7" t="inlineStr">
        <is>
          <t>Paper Products</t>
        </is>
      </c>
      <c r="G767" s="7" t="inlineStr">
        <is>
          <t>East</t>
        </is>
      </c>
      <c r="H767" s="7" t="inlineStr">
        <is>
          <t>Pennsylvania</t>
        </is>
      </c>
      <c r="I767" s="7" t="inlineStr">
        <is>
          <t>Online</t>
        </is>
      </c>
      <c r="J767" s="7" t="inlineStr">
        <is>
          <t>Home Office</t>
        </is>
      </c>
      <c r="K767" s="8" t="n">
        <v>4</v>
      </c>
      <c r="L767" s="9" t="n">
        <v>54.99</v>
      </c>
      <c r="M767" s="10" t="n">
        <v>0.05</v>
      </c>
      <c r="N767" s="9" t="n">
        <v>31.89</v>
      </c>
      <c r="O767" s="9" t="n">
        <v>219.96</v>
      </c>
      <c r="P767" s="9" t="n">
        <v>11</v>
      </c>
      <c r="Q767" s="9" t="n">
        <v>208.96</v>
      </c>
      <c r="R767" s="9" t="n">
        <v>127.56</v>
      </c>
      <c r="S767" s="9" t="n">
        <v>81.40000000000001</v>
      </c>
      <c r="T767" s="10" t="n">
        <v>0.3895</v>
      </c>
    </row>
    <row r="768">
      <c r="A768" s="7" t="inlineStr">
        <is>
          <t>ORD-2024-1306</t>
        </is>
      </c>
      <c r="B768" s="7" t="inlineStr">
        <is>
          <t>2024-11-08</t>
        </is>
      </c>
      <c r="C768" s="7" t="inlineStr">
        <is>
          <t>FUR-DSK-004</t>
        </is>
      </c>
      <c r="D768" s="7" t="inlineStr">
        <is>
          <t>Metro Compact Corner Workstation</t>
        </is>
      </c>
      <c r="E768" s="7" t="inlineStr">
        <is>
          <t>Furniture</t>
        </is>
      </c>
      <c r="F768" s="7" t="inlineStr">
        <is>
          <t>Desks &amp; Workstations</t>
        </is>
      </c>
      <c r="G768" s="7" t="inlineStr">
        <is>
          <t>South</t>
        </is>
      </c>
      <c r="H768" s="7" t="inlineStr">
        <is>
          <t>Florida</t>
        </is>
      </c>
      <c r="I768" s="7" t="inlineStr">
        <is>
          <t>Wholesale</t>
        </is>
      </c>
      <c r="J768" s="7" t="inlineStr">
        <is>
          <t>Corporate</t>
        </is>
      </c>
      <c r="K768" s="8" t="n">
        <v>13</v>
      </c>
      <c r="L768" s="9" t="n">
        <v>329.99</v>
      </c>
      <c r="M768" s="10" t="n">
        <v>0.15</v>
      </c>
      <c r="N768" s="9" t="n">
        <v>250.79</v>
      </c>
      <c r="O768" s="9" t="n">
        <v>4289.87</v>
      </c>
      <c r="P768" s="9" t="n">
        <v>643.48</v>
      </c>
      <c r="Q768" s="9" t="n">
        <v>3646.39</v>
      </c>
      <c r="R768" s="9" t="n">
        <v>3260.27</v>
      </c>
      <c r="S768" s="9" t="n">
        <v>386.12</v>
      </c>
      <c r="T768" s="10" t="n">
        <v>0.1059</v>
      </c>
    </row>
    <row r="769">
      <c r="A769" s="7" t="inlineStr">
        <is>
          <t>ORD-2024-1546</t>
        </is>
      </c>
      <c r="B769" s="7" t="inlineStr">
        <is>
          <t>2024-11-08</t>
        </is>
      </c>
      <c r="C769" s="7" t="inlineStr">
        <is>
          <t>OFF-BIN-005</t>
        </is>
      </c>
      <c r="D769" s="7" t="inlineStr">
        <is>
          <t>Heavy-Duty D-Ring Presentation Binder (6-Pk)</t>
        </is>
      </c>
      <c r="E769" s="7" t="inlineStr">
        <is>
          <t>Office Supplies</t>
        </is>
      </c>
      <c r="F769" s="7" t="inlineStr">
        <is>
          <t>Binders &amp; Fasteners</t>
        </is>
      </c>
      <c r="G769" s="7" t="inlineStr">
        <is>
          <t>Central</t>
        </is>
      </c>
      <c r="H769" s="7" t="inlineStr">
        <is>
          <t>Ohio</t>
        </is>
      </c>
      <c r="I769" s="7" t="inlineStr">
        <is>
          <t>Wholesale</t>
        </is>
      </c>
      <c r="J769" s="7" t="inlineStr">
        <is>
          <t>Corporate</t>
        </is>
      </c>
      <c r="K769" s="8" t="n">
        <v>14</v>
      </c>
      <c r="L769" s="9" t="n">
        <v>27.99</v>
      </c>
      <c r="M769" s="10" t="n">
        <v>0.15</v>
      </c>
      <c r="N769" s="9" t="n">
        <v>13.99</v>
      </c>
      <c r="O769" s="9" t="n">
        <v>391.86</v>
      </c>
      <c r="P769" s="9" t="n">
        <v>58.78</v>
      </c>
      <c r="Q769" s="9" t="n">
        <v>333.08</v>
      </c>
      <c r="R769" s="9" t="n">
        <v>195.86</v>
      </c>
      <c r="S769" s="9" t="n">
        <v>137.22</v>
      </c>
      <c r="T769" s="10" t="n">
        <v>0.412</v>
      </c>
    </row>
    <row r="770">
      <c r="A770" s="7" t="inlineStr">
        <is>
          <t>ORD-2024-1585</t>
        </is>
      </c>
      <c r="B770" s="7" t="inlineStr">
        <is>
          <t>2024-11-08</t>
        </is>
      </c>
      <c r="C770" s="7" t="inlineStr">
        <is>
          <t>OFF-ART-006</t>
        </is>
      </c>
      <c r="D770" s="7" t="inlineStr">
        <is>
          <t>Professional Presentation Dry Erase Board</t>
        </is>
      </c>
      <c r="E770" s="7" t="inlineStr">
        <is>
          <t>Office Supplies</t>
        </is>
      </c>
      <c r="F770" s="7" t="inlineStr">
        <is>
          <t>Presentation &amp; Art</t>
        </is>
      </c>
      <c r="G770" s="7" t="inlineStr">
        <is>
          <t>South</t>
        </is>
      </c>
      <c r="H770" s="7" t="inlineStr">
        <is>
          <t>Georgia</t>
        </is>
      </c>
      <c r="I770" s="7" t="inlineStr">
        <is>
          <t>Online</t>
        </is>
      </c>
      <c r="J770" s="7" t="inlineStr">
        <is>
          <t>Consumer</t>
        </is>
      </c>
      <c r="K770" s="8" t="n">
        <v>3</v>
      </c>
      <c r="L770" s="9" t="n">
        <v>89.98999999999999</v>
      </c>
      <c r="M770" s="10" t="n">
        <v>0</v>
      </c>
      <c r="N770" s="9" t="n">
        <v>53.99</v>
      </c>
      <c r="O770" s="9" t="n">
        <v>269.97</v>
      </c>
      <c r="P770" s="9" t="n">
        <v>0</v>
      </c>
      <c r="Q770" s="9" t="n">
        <v>269.97</v>
      </c>
      <c r="R770" s="9" t="n">
        <v>161.97</v>
      </c>
      <c r="S770" s="9" t="n">
        <v>108</v>
      </c>
      <c r="T770" s="10" t="n">
        <v>0.4</v>
      </c>
    </row>
    <row r="771">
      <c r="A771" s="7" t="inlineStr">
        <is>
          <t>ORD-2024-1585</t>
        </is>
      </c>
      <c r="B771" s="7" t="inlineStr">
        <is>
          <t>2024-11-08</t>
        </is>
      </c>
      <c r="C771" s="7" t="inlineStr">
        <is>
          <t>FUR-DSK-004</t>
        </is>
      </c>
      <c r="D771" s="7" t="inlineStr">
        <is>
          <t>Metro Compact Corner Workstation</t>
        </is>
      </c>
      <c r="E771" s="7" t="inlineStr">
        <is>
          <t>Furniture</t>
        </is>
      </c>
      <c r="F771" s="7" t="inlineStr">
        <is>
          <t>Desks &amp; Workstations</t>
        </is>
      </c>
      <c r="G771" s="7" t="inlineStr">
        <is>
          <t>South</t>
        </is>
      </c>
      <c r="H771" s="7" t="inlineStr">
        <is>
          <t>Georgia</t>
        </is>
      </c>
      <c r="I771" s="7" t="inlineStr">
        <is>
          <t>Online</t>
        </is>
      </c>
      <c r="J771" s="7" t="inlineStr">
        <is>
          <t>Consumer</t>
        </is>
      </c>
      <c r="K771" s="8" t="n">
        <v>3</v>
      </c>
      <c r="L771" s="9" t="n">
        <v>329.99</v>
      </c>
      <c r="M771" s="10" t="n">
        <v>0</v>
      </c>
      <c r="N771" s="9" t="n">
        <v>250.79</v>
      </c>
      <c r="O771" s="9" t="n">
        <v>989.97</v>
      </c>
      <c r="P771" s="9" t="n">
        <v>0</v>
      </c>
      <c r="Q771" s="9" t="n">
        <v>989.97</v>
      </c>
      <c r="R771" s="9" t="n">
        <v>752.37</v>
      </c>
      <c r="S771" s="9" t="n">
        <v>237.6</v>
      </c>
      <c r="T771" s="10" t="n">
        <v>0.24</v>
      </c>
    </row>
    <row r="772">
      <c r="A772" s="7" t="inlineStr">
        <is>
          <t>ORD-2024-1588</t>
        </is>
      </c>
      <c r="B772" s="7" t="inlineStr">
        <is>
          <t>2024-11-08</t>
        </is>
      </c>
      <c r="C772" s="7" t="inlineStr">
        <is>
          <t>OFF-DSK-008</t>
        </is>
      </c>
      <c r="D772" s="7" t="inlineStr">
        <is>
          <t>Steel Desktop Mesh Organizer Caddy</t>
        </is>
      </c>
      <c r="E772" s="7" t="inlineStr">
        <is>
          <t>Office Supplies</t>
        </is>
      </c>
      <c r="F772" s="7" t="inlineStr">
        <is>
          <t>Desk Supplies</t>
        </is>
      </c>
      <c r="G772" s="7" t="inlineStr">
        <is>
          <t>Central</t>
        </is>
      </c>
      <c r="H772" s="7" t="inlineStr">
        <is>
          <t>Ohio</t>
        </is>
      </c>
      <c r="I772" s="7" t="inlineStr">
        <is>
          <t>Online</t>
        </is>
      </c>
      <c r="J772" s="7" t="inlineStr">
        <is>
          <t>Consumer</t>
        </is>
      </c>
      <c r="K772" s="8" t="n">
        <v>1</v>
      </c>
      <c r="L772" s="9" t="n">
        <v>18.99</v>
      </c>
      <c r="M772" s="10" t="n">
        <v>0.1</v>
      </c>
      <c r="N772" s="9" t="n">
        <v>8.550000000000001</v>
      </c>
      <c r="O772" s="9" t="n">
        <v>18.99</v>
      </c>
      <c r="P772" s="9" t="n">
        <v>1.9</v>
      </c>
      <c r="Q772" s="9" t="n">
        <v>17.09</v>
      </c>
      <c r="R772" s="9" t="n">
        <v>8.550000000000001</v>
      </c>
      <c r="S772" s="9" t="n">
        <v>8.539999999999999</v>
      </c>
      <c r="T772" s="10" t="n">
        <v>0.4997</v>
      </c>
    </row>
    <row r="773">
      <c r="A773" s="7" t="inlineStr">
        <is>
          <t>ORD-2024-1161</t>
        </is>
      </c>
      <c r="B773" s="7" t="inlineStr">
        <is>
          <t>2024-11-09</t>
        </is>
      </c>
      <c r="C773" s="7" t="inlineStr">
        <is>
          <t>OFF-PAP-004</t>
        </is>
      </c>
      <c r="D773" s="7" t="inlineStr">
        <is>
          <t>EcoRecycled Copy Paper (5 Reams)</t>
        </is>
      </c>
      <c r="E773" s="7" t="inlineStr">
        <is>
          <t>Office Supplies</t>
        </is>
      </c>
      <c r="F773" s="7" t="inlineStr">
        <is>
          <t>Paper Products</t>
        </is>
      </c>
      <c r="G773" s="7" t="inlineStr">
        <is>
          <t>West</t>
        </is>
      </c>
      <c r="H773" s="7" t="inlineStr">
        <is>
          <t>Oregon</t>
        </is>
      </c>
      <c r="I773" s="7" t="inlineStr">
        <is>
          <t>Direct Sales</t>
        </is>
      </c>
      <c r="J773" s="7" t="inlineStr">
        <is>
          <t>Consumer</t>
        </is>
      </c>
      <c r="K773" s="8" t="n">
        <v>1</v>
      </c>
      <c r="L773" s="9" t="n">
        <v>32.99</v>
      </c>
      <c r="M773" s="10" t="n">
        <v>0</v>
      </c>
      <c r="N773" s="9" t="n">
        <v>19.79</v>
      </c>
      <c r="O773" s="9" t="n">
        <v>32.99</v>
      </c>
      <c r="P773" s="9" t="n">
        <v>0</v>
      </c>
      <c r="Q773" s="9" t="n">
        <v>32.99</v>
      </c>
      <c r="R773" s="9" t="n">
        <v>19.79</v>
      </c>
      <c r="S773" s="9" t="n">
        <v>13.2</v>
      </c>
      <c r="T773" s="10" t="n">
        <v>0.4001</v>
      </c>
    </row>
    <row r="774">
      <c r="A774" s="7" t="inlineStr">
        <is>
          <t>ORD-2024-1277</t>
        </is>
      </c>
      <c r="B774" s="7" t="inlineStr">
        <is>
          <t>2024-11-09</t>
        </is>
      </c>
      <c r="C774" s="7" t="inlineStr">
        <is>
          <t>TEC-TAB-004</t>
        </is>
      </c>
      <c r="D774" s="7" t="inlineStr">
        <is>
          <t>VisionPad Lite 8.5"</t>
        </is>
      </c>
      <c r="E774" s="7" t="inlineStr">
        <is>
          <t>Technology</t>
        </is>
      </c>
      <c r="F774" s="7" t="inlineStr">
        <is>
          <t>Phones &amp; Tablets</t>
        </is>
      </c>
      <c r="G774" s="7" t="inlineStr">
        <is>
          <t>East</t>
        </is>
      </c>
      <c r="H774" s="7" t="inlineStr">
        <is>
          <t>Pennsylvania</t>
        </is>
      </c>
      <c r="I774" s="7" t="inlineStr">
        <is>
          <t>Online</t>
        </is>
      </c>
      <c r="J774" s="7" t="inlineStr">
        <is>
          <t>Consumer</t>
        </is>
      </c>
      <c r="K774" s="8" t="n">
        <v>4</v>
      </c>
      <c r="L774" s="9" t="n">
        <v>299.99</v>
      </c>
      <c r="M774" s="10" t="n">
        <v>0.1</v>
      </c>
      <c r="N774" s="9" t="n">
        <v>245.99</v>
      </c>
      <c r="O774" s="9" t="n">
        <v>1199.96</v>
      </c>
      <c r="P774" s="9" t="n">
        <v>120</v>
      </c>
      <c r="Q774" s="9" t="n">
        <v>1079.96</v>
      </c>
      <c r="R774" s="9" t="n">
        <v>983.96</v>
      </c>
      <c r="S774" s="9" t="n">
        <v>96</v>
      </c>
      <c r="T774" s="10" t="n">
        <v>0.08890000000000001</v>
      </c>
    </row>
    <row r="775">
      <c r="A775" s="7" t="inlineStr">
        <is>
          <t>ORD-2024-1293</t>
        </is>
      </c>
      <c r="B775" s="7" t="inlineStr">
        <is>
          <t>2024-11-09</t>
        </is>
      </c>
      <c r="C775" s="7" t="inlineStr">
        <is>
          <t>FUR-BOK-005</t>
        </is>
      </c>
      <c r="D775" s="7" t="inlineStr">
        <is>
          <t>Modular 5-Tier Steel Bookcase</t>
        </is>
      </c>
      <c r="E775" s="7" t="inlineStr">
        <is>
          <t>Furniture</t>
        </is>
      </c>
      <c r="F775" s="7" t="inlineStr">
        <is>
          <t>Bookcases</t>
        </is>
      </c>
      <c r="G775" s="7" t="inlineStr">
        <is>
          <t>Central</t>
        </is>
      </c>
      <c r="H775" s="7" t="inlineStr">
        <is>
          <t>Ohio</t>
        </is>
      </c>
      <c r="I775" s="7" t="inlineStr">
        <is>
          <t>Online</t>
        </is>
      </c>
      <c r="J775" s="7" t="inlineStr">
        <is>
          <t>Corporate</t>
        </is>
      </c>
      <c r="K775" s="8" t="n">
        <v>6</v>
      </c>
      <c r="L775" s="9" t="n">
        <v>189.99</v>
      </c>
      <c r="M775" s="10" t="n">
        <v>0.1</v>
      </c>
      <c r="N775" s="9" t="n">
        <v>142.49</v>
      </c>
      <c r="O775" s="9" t="n">
        <v>1139.94</v>
      </c>
      <c r="P775" s="9" t="n">
        <v>113.99</v>
      </c>
      <c r="Q775" s="9" t="n">
        <v>1025.95</v>
      </c>
      <c r="R775" s="9" t="n">
        <v>854.9400000000001</v>
      </c>
      <c r="S775" s="9" t="n">
        <v>171.01</v>
      </c>
      <c r="T775" s="10" t="n">
        <v>0.1667</v>
      </c>
    </row>
    <row r="776">
      <c r="A776" s="7" t="inlineStr">
        <is>
          <t>ORD-2024-1293</t>
        </is>
      </c>
      <c r="B776" s="7" t="inlineStr">
        <is>
          <t>2024-11-09</t>
        </is>
      </c>
      <c r="C776" s="7" t="inlineStr">
        <is>
          <t>OFF-PAP-003</t>
        </is>
      </c>
      <c r="D776" s="7" t="inlineStr">
        <is>
          <t>UltraWhite Premium Multipurpose Paper (Case)</t>
        </is>
      </c>
      <c r="E776" s="7" t="inlineStr">
        <is>
          <t>Office Supplies</t>
        </is>
      </c>
      <c r="F776" s="7" t="inlineStr">
        <is>
          <t>Paper Products</t>
        </is>
      </c>
      <c r="G776" s="7" t="inlineStr">
        <is>
          <t>Central</t>
        </is>
      </c>
      <c r="H776" s="7" t="inlineStr">
        <is>
          <t>Ohio</t>
        </is>
      </c>
      <c r="I776" s="7" t="inlineStr">
        <is>
          <t>Online</t>
        </is>
      </c>
      <c r="J776" s="7" t="inlineStr">
        <is>
          <t>Corporate</t>
        </is>
      </c>
      <c r="K776" s="8" t="n">
        <v>4</v>
      </c>
      <c r="L776" s="9" t="n">
        <v>54.99</v>
      </c>
      <c r="M776" s="10" t="n">
        <v>0.05</v>
      </c>
      <c r="N776" s="9" t="n">
        <v>31.89</v>
      </c>
      <c r="O776" s="9" t="n">
        <v>219.96</v>
      </c>
      <c r="P776" s="9" t="n">
        <v>11</v>
      </c>
      <c r="Q776" s="9" t="n">
        <v>208.96</v>
      </c>
      <c r="R776" s="9" t="n">
        <v>127.56</v>
      </c>
      <c r="S776" s="9" t="n">
        <v>81.40000000000001</v>
      </c>
      <c r="T776" s="10" t="n">
        <v>0.3895</v>
      </c>
    </row>
    <row r="777">
      <c r="A777" s="7" t="inlineStr">
        <is>
          <t>ORD-2024-1384</t>
        </is>
      </c>
      <c r="B777" s="7" t="inlineStr">
        <is>
          <t>2024-11-09</t>
        </is>
      </c>
      <c r="C777" s="7" t="inlineStr">
        <is>
          <t>TEC-ACC-005</t>
        </is>
      </c>
      <c r="D777" s="7" t="inlineStr">
        <is>
          <t>UltraWireless Noise-Canceling Headset</t>
        </is>
      </c>
      <c r="E777" s="7" t="inlineStr">
        <is>
          <t>Technology</t>
        </is>
      </c>
      <c r="F777" s="7" t="inlineStr">
        <is>
          <t>Audio &amp; Accessories</t>
        </is>
      </c>
      <c r="G777" s="7" t="inlineStr">
        <is>
          <t>East</t>
        </is>
      </c>
      <c r="H777" s="7" t="inlineStr">
        <is>
          <t>Pennsylvania</t>
        </is>
      </c>
      <c r="I777" s="7" t="inlineStr">
        <is>
          <t>Online</t>
        </is>
      </c>
      <c r="J777" s="7" t="inlineStr">
        <is>
          <t>Consumer</t>
        </is>
      </c>
      <c r="K777" s="8" t="n">
        <v>4</v>
      </c>
      <c r="L777" s="9" t="n">
        <v>179.99</v>
      </c>
      <c r="M777" s="10" t="n">
        <v>0</v>
      </c>
      <c r="N777" s="9" t="n">
        <v>111.59</v>
      </c>
      <c r="O777" s="9" t="n">
        <v>719.96</v>
      </c>
      <c r="P777" s="9" t="n">
        <v>0</v>
      </c>
      <c r="Q777" s="9" t="n">
        <v>719.96</v>
      </c>
      <c r="R777" s="9" t="n">
        <v>446.36</v>
      </c>
      <c r="S777" s="9" t="n">
        <v>273.6</v>
      </c>
      <c r="T777" s="10" t="n">
        <v>0.38</v>
      </c>
    </row>
    <row r="778">
      <c r="A778" s="7" t="inlineStr">
        <is>
          <t>ORD-2024-1473</t>
        </is>
      </c>
      <c r="B778" s="7" t="inlineStr">
        <is>
          <t>2024-11-09</t>
        </is>
      </c>
      <c r="C778" s="7" t="inlineStr">
        <is>
          <t>TEC-LAP-002</t>
        </is>
      </c>
      <c r="D778" s="7" t="inlineStr">
        <is>
          <t>Apex Gaming Laptop 17"</t>
        </is>
      </c>
      <c r="E778" s="7" t="inlineStr">
        <is>
          <t>Technology</t>
        </is>
      </c>
      <c r="F778" s="7" t="inlineStr">
        <is>
          <t>Laptops</t>
        </is>
      </c>
      <c r="G778" s="7" t="inlineStr">
        <is>
          <t>East</t>
        </is>
      </c>
      <c r="H778" s="7" t="inlineStr">
        <is>
          <t>Pennsylvania</t>
        </is>
      </c>
      <c r="I778" s="7" t="inlineStr">
        <is>
          <t>Online</t>
        </is>
      </c>
      <c r="J778" s="7" t="inlineStr">
        <is>
          <t>Corporate</t>
        </is>
      </c>
      <c r="K778" s="8" t="n">
        <v>6</v>
      </c>
      <c r="L778" s="9" t="n">
        <v>1499.99</v>
      </c>
      <c r="M778" s="10" t="n">
        <v>0.15</v>
      </c>
      <c r="N778" s="9" t="n">
        <v>1259.99</v>
      </c>
      <c r="O778" s="9" t="n">
        <v>8999.940000000001</v>
      </c>
      <c r="P778" s="9" t="n">
        <v>1349.99</v>
      </c>
      <c r="Q778" s="9" t="n">
        <v>7649.95</v>
      </c>
      <c r="R778" s="9" t="n">
        <v>7559.94</v>
      </c>
      <c r="S778" s="9" t="n">
        <v>90.01000000000001</v>
      </c>
      <c r="T778" s="10" t="n">
        <v>0.0118</v>
      </c>
    </row>
    <row r="779">
      <c r="A779" s="7" t="inlineStr">
        <is>
          <t>ORD-2024-1483</t>
        </is>
      </c>
      <c r="B779" s="7" t="inlineStr">
        <is>
          <t>2024-11-09</t>
        </is>
      </c>
      <c r="C779" s="7" t="inlineStr">
        <is>
          <t>TEC-ACC-008</t>
        </is>
      </c>
      <c r="D779" s="7" t="inlineStr">
        <is>
          <t>Precision Laser Bluetooth Mouse</t>
        </is>
      </c>
      <c r="E779" s="7" t="inlineStr">
        <is>
          <t>Technology</t>
        </is>
      </c>
      <c r="F779" s="7" t="inlineStr">
        <is>
          <t>Audio &amp; Accessories</t>
        </is>
      </c>
      <c r="G779" s="7" t="inlineStr">
        <is>
          <t>South</t>
        </is>
      </c>
      <c r="H779" s="7" t="inlineStr">
        <is>
          <t>North Carolina</t>
        </is>
      </c>
      <c r="I779" s="7" t="inlineStr">
        <is>
          <t>Online</t>
        </is>
      </c>
      <c r="J779" s="7" t="inlineStr">
        <is>
          <t>Corporate</t>
        </is>
      </c>
      <c r="K779" s="8" t="n">
        <v>4</v>
      </c>
      <c r="L779" s="9" t="n">
        <v>49.99</v>
      </c>
      <c r="M779" s="10" t="n">
        <v>0.1</v>
      </c>
      <c r="N779" s="9" t="n">
        <v>27.49</v>
      </c>
      <c r="O779" s="9" t="n">
        <v>199.96</v>
      </c>
      <c r="P779" s="9" t="n">
        <v>20</v>
      </c>
      <c r="Q779" s="9" t="n">
        <v>179.96</v>
      </c>
      <c r="R779" s="9" t="n">
        <v>109.96</v>
      </c>
      <c r="S779" s="9" t="n">
        <v>70</v>
      </c>
      <c r="T779" s="10" t="n">
        <v>0.389</v>
      </c>
    </row>
    <row r="780">
      <c r="A780" s="7" t="inlineStr">
        <is>
          <t>ORD-2024-1582</t>
        </is>
      </c>
      <c r="B780" s="7" t="inlineStr">
        <is>
          <t>2024-11-09</t>
        </is>
      </c>
      <c r="C780" s="7" t="inlineStr">
        <is>
          <t>TEC-LAP-001</t>
        </is>
      </c>
      <c r="D780" s="7" t="inlineStr">
        <is>
          <t>ProBook Elite 15.6"</t>
        </is>
      </c>
      <c r="E780" s="7" t="inlineStr">
        <is>
          <t>Technology</t>
        </is>
      </c>
      <c r="F780" s="7" t="inlineStr">
        <is>
          <t>Laptops</t>
        </is>
      </c>
      <c r="G780" s="7" t="inlineStr">
        <is>
          <t>South</t>
        </is>
      </c>
      <c r="H780" s="7" t="inlineStr">
        <is>
          <t>North Carolina</t>
        </is>
      </c>
      <c r="I780" s="7" t="inlineStr">
        <is>
          <t>Wholesale</t>
        </is>
      </c>
      <c r="J780" s="7" t="inlineStr">
        <is>
          <t>Corporate</t>
        </is>
      </c>
      <c r="K780" s="8" t="n">
        <v>13</v>
      </c>
      <c r="L780" s="9" t="n">
        <v>1199.99</v>
      </c>
      <c r="M780" s="10" t="n">
        <v>0.1</v>
      </c>
      <c r="N780" s="9" t="n">
        <v>863.99</v>
      </c>
      <c r="O780" s="9" t="n">
        <v>15599.87</v>
      </c>
      <c r="P780" s="9" t="n">
        <v>1559.99</v>
      </c>
      <c r="Q780" s="9" t="n">
        <v>14039.88</v>
      </c>
      <c r="R780" s="9" t="n">
        <v>11231.87</v>
      </c>
      <c r="S780" s="9" t="n">
        <v>2808.01</v>
      </c>
      <c r="T780" s="10" t="n">
        <v>0.2</v>
      </c>
    </row>
    <row r="781">
      <c r="A781" s="7" t="inlineStr">
        <is>
          <t>ORD-2024-1673</t>
        </is>
      </c>
      <c r="B781" s="7" t="inlineStr">
        <is>
          <t>2024-11-09</t>
        </is>
      </c>
      <c r="C781" s="7" t="inlineStr">
        <is>
          <t>OFF-PAP-004</t>
        </is>
      </c>
      <c r="D781" s="7" t="inlineStr">
        <is>
          <t>EcoRecycled Copy Paper (5 Reams)</t>
        </is>
      </c>
      <c r="E781" s="7" t="inlineStr">
        <is>
          <t>Office Supplies</t>
        </is>
      </c>
      <c r="F781" s="7" t="inlineStr">
        <is>
          <t>Paper Products</t>
        </is>
      </c>
      <c r="G781" s="7" t="inlineStr">
        <is>
          <t>West</t>
        </is>
      </c>
      <c r="H781" s="7" t="inlineStr">
        <is>
          <t>Washington</t>
        </is>
      </c>
      <c r="I781" s="7" t="inlineStr">
        <is>
          <t>Online</t>
        </is>
      </c>
      <c r="J781" s="7" t="inlineStr">
        <is>
          <t>Corporate</t>
        </is>
      </c>
      <c r="K781" s="8" t="n">
        <v>4</v>
      </c>
      <c r="L781" s="9" t="n">
        <v>32.99</v>
      </c>
      <c r="M781" s="10" t="n">
        <v>0.15</v>
      </c>
      <c r="N781" s="9" t="n">
        <v>19.79</v>
      </c>
      <c r="O781" s="9" t="n">
        <v>131.96</v>
      </c>
      <c r="P781" s="9" t="n">
        <v>19.79</v>
      </c>
      <c r="Q781" s="9" t="n">
        <v>112.17</v>
      </c>
      <c r="R781" s="9" t="n">
        <v>79.16</v>
      </c>
      <c r="S781" s="9" t="n">
        <v>33.01</v>
      </c>
      <c r="T781" s="10" t="n">
        <v>0.2943</v>
      </c>
    </row>
    <row r="782">
      <c r="A782" s="7" t="inlineStr">
        <is>
          <t>ORD-2024-1174</t>
        </is>
      </c>
      <c r="B782" s="7" t="inlineStr">
        <is>
          <t>2024-11-10</t>
        </is>
      </c>
      <c r="C782" s="7" t="inlineStr">
        <is>
          <t>FUR-DSK-004</t>
        </is>
      </c>
      <c r="D782" s="7" t="inlineStr">
        <is>
          <t>Metro Compact Corner Workstation</t>
        </is>
      </c>
      <c r="E782" s="7" t="inlineStr">
        <is>
          <t>Furniture</t>
        </is>
      </c>
      <c r="F782" s="7" t="inlineStr">
        <is>
          <t>Desks &amp; Workstations</t>
        </is>
      </c>
      <c r="G782" s="7" t="inlineStr">
        <is>
          <t>Central</t>
        </is>
      </c>
      <c r="H782" s="7" t="inlineStr">
        <is>
          <t>Texas</t>
        </is>
      </c>
      <c r="I782" s="7" t="inlineStr">
        <is>
          <t>Online</t>
        </is>
      </c>
      <c r="J782" s="7" t="inlineStr">
        <is>
          <t>Home Office</t>
        </is>
      </c>
      <c r="K782" s="8" t="n">
        <v>2</v>
      </c>
      <c r="L782" s="9" t="n">
        <v>329.99</v>
      </c>
      <c r="M782" s="10" t="n">
        <v>0</v>
      </c>
      <c r="N782" s="9" t="n">
        <v>250.79</v>
      </c>
      <c r="O782" s="9" t="n">
        <v>659.98</v>
      </c>
      <c r="P782" s="9" t="n">
        <v>0</v>
      </c>
      <c r="Q782" s="9" t="n">
        <v>659.98</v>
      </c>
      <c r="R782" s="9" t="n">
        <v>501.58</v>
      </c>
      <c r="S782" s="9" t="n">
        <v>158.4</v>
      </c>
      <c r="T782" s="10" t="n">
        <v>0.24</v>
      </c>
    </row>
    <row r="783">
      <c r="A783" s="7" t="inlineStr">
        <is>
          <t>ORD-2024-1185</t>
        </is>
      </c>
      <c r="B783" s="7" t="inlineStr">
        <is>
          <t>2024-11-10</t>
        </is>
      </c>
      <c r="C783" s="7" t="inlineStr">
        <is>
          <t>OFF-ART-006</t>
        </is>
      </c>
      <c r="D783" s="7" t="inlineStr">
        <is>
          <t>Professional Presentation Dry Erase Board</t>
        </is>
      </c>
      <c r="E783" s="7" t="inlineStr">
        <is>
          <t>Office Supplies</t>
        </is>
      </c>
      <c r="F783" s="7" t="inlineStr">
        <is>
          <t>Presentation &amp; Art</t>
        </is>
      </c>
      <c r="G783" s="7" t="inlineStr">
        <is>
          <t>West</t>
        </is>
      </c>
      <c r="H783" s="7" t="inlineStr">
        <is>
          <t>California</t>
        </is>
      </c>
      <c r="I783" s="7" t="inlineStr">
        <is>
          <t>Retail Partner</t>
        </is>
      </c>
      <c r="J783" s="7" t="inlineStr">
        <is>
          <t>Corporate</t>
        </is>
      </c>
      <c r="K783" s="8" t="n">
        <v>7</v>
      </c>
      <c r="L783" s="9" t="n">
        <v>89.98999999999999</v>
      </c>
      <c r="M783" s="10" t="n">
        <v>0</v>
      </c>
      <c r="N783" s="9" t="n">
        <v>53.99</v>
      </c>
      <c r="O783" s="9" t="n">
        <v>629.9299999999999</v>
      </c>
      <c r="P783" s="9" t="n">
        <v>0</v>
      </c>
      <c r="Q783" s="9" t="n">
        <v>629.9299999999999</v>
      </c>
      <c r="R783" s="9" t="n">
        <v>377.93</v>
      </c>
      <c r="S783" s="9" t="n">
        <v>252</v>
      </c>
      <c r="T783" s="10" t="n">
        <v>0.4</v>
      </c>
    </row>
    <row r="784">
      <c r="A784" s="7" t="inlineStr">
        <is>
          <t>ORD-2024-1185</t>
        </is>
      </c>
      <c r="B784" s="7" t="inlineStr">
        <is>
          <t>2024-11-10</t>
        </is>
      </c>
      <c r="C784" s="7" t="inlineStr">
        <is>
          <t>TEC-TAB-004</t>
        </is>
      </c>
      <c r="D784" s="7" t="inlineStr">
        <is>
          <t>VisionPad Lite 8.5"</t>
        </is>
      </c>
      <c r="E784" s="7" t="inlineStr">
        <is>
          <t>Technology</t>
        </is>
      </c>
      <c r="F784" s="7" t="inlineStr">
        <is>
          <t>Phones &amp; Tablets</t>
        </is>
      </c>
      <c r="G784" s="7" t="inlineStr">
        <is>
          <t>West</t>
        </is>
      </c>
      <c r="H784" s="7" t="inlineStr">
        <is>
          <t>California</t>
        </is>
      </c>
      <c r="I784" s="7" t="inlineStr">
        <is>
          <t>Retail Partner</t>
        </is>
      </c>
      <c r="J784" s="7" t="inlineStr">
        <is>
          <t>Corporate</t>
        </is>
      </c>
      <c r="K784" s="8" t="n">
        <v>8</v>
      </c>
      <c r="L784" s="9" t="n">
        <v>299.99</v>
      </c>
      <c r="M784" s="10" t="n">
        <v>0.1</v>
      </c>
      <c r="N784" s="9" t="n">
        <v>245.99</v>
      </c>
      <c r="O784" s="9" t="n">
        <v>2399.92</v>
      </c>
      <c r="P784" s="9" t="n">
        <v>239.99</v>
      </c>
      <c r="Q784" s="9" t="n">
        <v>2159.93</v>
      </c>
      <c r="R784" s="9" t="n">
        <v>1967.92</v>
      </c>
      <c r="S784" s="9" t="n">
        <v>192.01</v>
      </c>
      <c r="T784" s="10" t="n">
        <v>0.08890000000000001</v>
      </c>
    </row>
    <row r="785">
      <c r="A785" s="7" t="inlineStr">
        <is>
          <t>ORD-2024-1185</t>
        </is>
      </c>
      <c r="B785" s="7" t="inlineStr">
        <is>
          <t>2024-11-10</t>
        </is>
      </c>
      <c r="C785" s="7" t="inlineStr">
        <is>
          <t>TEC-ACC-007</t>
        </is>
      </c>
      <c r="D785" s="7" t="inlineStr">
        <is>
          <t>ErgoMechanical Wireless Keyboard</t>
        </is>
      </c>
      <c r="E785" s="7" t="inlineStr">
        <is>
          <t>Technology</t>
        </is>
      </c>
      <c r="F785" s="7" t="inlineStr">
        <is>
          <t>Audio &amp; Accessories</t>
        </is>
      </c>
      <c r="G785" s="7" t="inlineStr">
        <is>
          <t>West</t>
        </is>
      </c>
      <c r="H785" s="7" t="inlineStr">
        <is>
          <t>California</t>
        </is>
      </c>
      <c r="I785" s="7" t="inlineStr">
        <is>
          <t>Retail Partner</t>
        </is>
      </c>
      <c r="J785" s="7" t="inlineStr">
        <is>
          <t>Corporate</t>
        </is>
      </c>
      <c r="K785" s="8" t="n">
        <v>7</v>
      </c>
      <c r="L785" s="9" t="n">
        <v>109.99</v>
      </c>
      <c r="M785" s="10" t="n">
        <v>0.2</v>
      </c>
      <c r="N785" s="9" t="n">
        <v>65.98999999999999</v>
      </c>
      <c r="O785" s="9" t="n">
        <v>769.9299999999999</v>
      </c>
      <c r="P785" s="9" t="n">
        <v>153.99</v>
      </c>
      <c r="Q785" s="9" t="n">
        <v>615.9400000000001</v>
      </c>
      <c r="R785" s="9" t="n">
        <v>461.93</v>
      </c>
      <c r="S785" s="9" t="n">
        <v>154.01</v>
      </c>
      <c r="T785" s="10" t="n">
        <v>0.25</v>
      </c>
    </row>
    <row r="786">
      <c r="A786" s="7" t="inlineStr">
        <is>
          <t>ORD-2024-1355</t>
        </is>
      </c>
      <c r="B786" s="7" t="inlineStr">
        <is>
          <t>2024-11-10</t>
        </is>
      </c>
      <c r="C786" s="7" t="inlineStr">
        <is>
          <t>OFF-DSK-008</t>
        </is>
      </c>
      <c r="D786" s="7" t="inlineStr">
        <is>
          <t>Steel Desktop Mesh Organizer Caddy</t>
        </is>
      </c>
      <c r="E786" s="7" t="inlineStr">
        <is>
          <t>Office Supplies</t>
        </is>
      </c>
      <c r="F786" s="7" t="inlineStr">
        <is>
          <t>Desk Supplies</t>
        </is>
      </c>
      <c r="G786" s="7" t="inlineStr">
        <is>
          <t>East</t>
        </is>
      </c>
      <c r="H786" s="7" t="inlineStr">
        <is>
          <t>Massachusetts</t>
        </is>
      </c>
      <c r="I786" s="7" t="inlineStr">
        <is>
          <t>Wholesale</t>
        </is>
      </c>
      <c r="J786" s="7" t="inlineStr">
        <is>
          <t>Consumer</t>
        </is>
      </c>
      <c r="K786" s="8" t="n">
        <v>14</v>
      </c>
      <c r="L786" s="9" t="n">
        <v>18.99</v>
      </c>
      <c r="M786" s="10" t="n">
        <v>0.15</v>
      </c>
      <c r="N786" s="9" t="n">
        <v>8.550000000000001</v>
      </c>
      <c r="O786" s="9" t="n">
        <v>265.86</v>
      </c>
      <c r="P786" s="9" t="n">
        <v>39.88</v>
      </c>
      <c r="Q786" s="9" t="n">
        <v>225.98</v>
      </c>
      <c r="R786" s="9" t="n">
        <v>119.7</v>
      </c>
      <c r="S786" s="9" t="n">
        <v>106.28</v>
      </c>
      <c r="T786" s="10" t="n">
        <v>0.4703</v>
      </c>
    </row>
    <row r="787">
      <c r="A787" s="7" t="inlineStr">
        <is>
          <t>ORD-2024-1370</t>
        </is>
      </c>
      <c r="B787" s="7" t="inlineStr">
        <is>
          <t>2024-11-10</t>
        </is>
      </c>
      <c r="C787" s="7" t="inlineStr">
        <is>
          <t>TEC-ACC-007</t>
        </is>
      </c>
      <c r="D787" s="7" t="inlineStr">
        <is>
          <t>ErgoMechanical Wireless Keyboard</t>
        </is>
      </c>
      <c r="E787" s="7" t="inlineStr">
        <is>
          <t>Technology</t>
        </is>
      </c>
      <c r="F787" s="7" t="inlineStr">
        <is>
          <t>Audio &amp; Accessories</t>
        </is>
      </c>
      <c r="G787" s="7" t="inlineStr">
        <is>
          <t>West</t>
        </is>
      </c>
      <c r="H787" s="7" t="inlineStr">
        <is>
          <t>Colorado</t>
        </is>
      </c>
      <c r="I787" s="7" t="inlineStr">
        <is>
          <t>Wholesale</t>
        </is>
      </c>
      <c r="J787" s="7" t="inlineStr">
        <is>
          <t>Consumer</t>
        </is>
      </c>
      <c r="K787" s="8" t="n">
        <v>10</v>
      </c>
      <c r="L787" s="9" t="n">
        <v>109.99</v>
      </c>
      <c r="M787" s="10" t="n">
        <v>0.1</v>
      </c>
      <c r="N787" s="9" t="n">
        <v>65.98999999999999</v>
      </c>
      <c r="O787" s="9" t="n">
        <v>1099.9</v>
      </c>
      <c r="P787" s="9" t="n">
        <v>109.99</v>
      </c>
      <c r="Q787" s="9" t="n">
        <v>989.91</v>
      </c>
      <c r="R787" s="9" t="n">
        <v>659.9</v>
      </c>
      <c r="S787" s="9" t="n">
        <v>330.01</v>
      </c>
      <c r="T787" s="10" t="n">
        <v>0.3334</v>
      </c>
    </row>
    <row r="788">
      <c r="A788" s="7" t="inlineStr">
        <is>
          <t>ORD-2024-1297</t>
        </is>
      </c>
      <c r="B788" s="7" t="inlineStr">
        <is>
          <t>2024-11-11</t>
        </is>
      </c>
      <c r="C788" s="7" t="inlineStr">
        <is>
          <t>FUR-BOK-005</t>
        </is>
      </c>
      <c r="D788" s="7" t="inlineStr">
        <is>
          <t>Modular 5-Tier Steel Bookcase</t>
        </is>
      </c>
      <c r="E788" s="7" t="inlineStr">
        <is>
          <t>Furniture</t>
        </is>
      </c>
      <c r="F788" s="7" t="inlineStr">
        <is>
          <t>Bookcases</t>
        </is>
      </c>
      <c r="G788" s="7" t="inlineStr">
        <is>
          <t>East</t>
        </is>
      </c>
      <c r="H788" s="7" t="inlineStr">
        <is>
          <t>New Jersey</t>
        </is>
      </c>
      <c r="I788" s="7" t="inlineStr">
        <is>
          <t>Online</t>
        </is>
      </c>
      <c r="J788" s="7" t="inlineStr">
        <is>
          <t>Consumer</t>
        </is>
      </c>
      <c r="K788" s="8" t="n">
        <v>4</v>
      </c>
      <c r="L788" s="9" t="n">
        <v>189.99</v>
      </c>
      <c r="M788" s="10" t="n">
        <v>0.05</v>
      </c>
      <c r="N788" s="9" t="n">
        <v>142.49</v>
      </c>
      <c r="O788" s="9" t="n">
        <v>759.96</v>
      </c>
      <c r="P788" s="9" t="n">
        <v>38</v>
      </c>
      <c r="Q788" s="9" t="n">
        <v>721.96</v>
      </c>
      <c r="R788" s="9" t="n">
        <v>569.96</v>
      </c>
      <c r="S788" s="9" t="n">
        <v>152</v>
      </c>
      <c r="T788" s="10" t="n">
        <v>0.2105</v>
      </c>
    </row>
    <row r="789">
      <c r="A789" s="7" t="inlineStr">
        <is>
          <t>ORD-2024-1297</t>
        </is>
      </c>
      <c r="B789" s="7" t="inlineStr">
        <is>
          <t>2024-11-11</t>
        </is>
      </c>
      <c r="C789" s="7" t="inlineStr">
        <is>
          <t>TEC-TAB-004</t>
        </is>
      </c>
      <c r="D789" s="7" t="inlineStr">
        <is>
          <t>VisionPad Lite 8.5"</t>
        </is>
      </c>
      <c r="E789" s="7" t="inlineStr">
        <is>
          <t>Technology</t>
        </is>
      </c>
      <c r="F789" s="7" t="inlineStr">
        <is>
          <t>Phones &amp; Tablets</t>
        </is>
      </c>
      <c r="G789" s="7" t="inlineStr">
        <is>
          <t>East</t>
        </is>
      </c>
      <c r="H789" s="7" t="inlineStr">
        <is>
          <t>New Jersey</t>
        </is>
      </c>
      <c r="I789" s="7" t="inlineStr">
        <is>
          <t>Online</t>
        </is>
      </c>
      <c r="J789" s="7" t="inlineStr">
        <is>
          <t>Consumer</t>
        </is>
      </c>
      <c r="K789" s="8" t="n">
        <v>3</v>
      </c>
      <c r="L789" s="9" t="n">
        <v>299.99</v>
      </c>
      <c r="M789" s="10" t="n">
        <v>0</v>
      </c>
      <c r="N789" s="9" t="n">
        <v>245.99</v>
      </c>
      <c r="O789" s="9" t="n">
        <v>899.97</v>
      </c>
      <c r="P789" s="9" t="n">
        <v>0</v>
      </c>
      <c r="Q789" s="9" t="n">
        <v>899.97</v>
      </c>
      <c r="R789" s="9" t="n">
        <v>737.97</v>
      </c>
      <c r="S789" s="9" t="n">
        <v>162</v>
      </c>
      <c r="T789" s="10" t="n">
        <v>0.18</v>
      </c>
    </row>
    <row r="790">
      <c r="A790" s="7" t="inlineStr">
        <is>
          <t>ORD-2024-1423</t>
        </is>
      </c>
      <c r="B790" s="7" t="inlineStr">
        <is>
          <t>2024-11-11</t>
        </is>
      </c>
      <c r="C790" s="7" t="inlineStr">
        <is>
          <t>TEC-TAB-003</t>
        </is>
      </c>
      <c r="D790" s="7" t="inlineStr">
        <is>
          <t>VisionPad Pro 11"</t>
        </is>
      </c>
      <c r="E790" s="7" t="inlineStr">
        <is>
          <t>Technology</t>
        </is>
      </c>
      <c r="F790" s="7" t="inlineStr">
        <is>
          <t>Phones &amp; Tablets</t>
        </is>
      </c>
      <c r="G790" s="7" t="inlineStr">
        <is>
          <t>Central</t>
        </is>
      </c>
      <c r="H790" s="7" t="inlineStr">
        <is>
          <t>Ohio</t>
        </is>
      </c>
      <c r="I790" s="7" t="inlineStr">
        <is>
          <t>Direct Sales</t>
        </is>
      </c>
      <c r="J790" s="7" t="inlineStr">
        <is>
          <t>Home Office</t>
        </is>
      </c>
      <c r="K790" s="8" t="n">
        <v>3</v>
      </c>
      <c r="L790" s="9" t="n">
        <v>649.99</v>
      </c>
      <c r="M790" s="10" t="n">
        <v>0</v>
      </c>
      <c r="N790" s="9" t="n">
        <v>487.49</v>
      </c>
      <c r="O790" s="9" t="n">
        <v>1949.97</v>
      </c>
      <c r="P790" s="9" t="n">
        <v>0</v>
      </c>
      <c r="Q790" s="9" t="n">
        <v>1949.97</v>
      </c>
      <c r="R790" s="9" t="n">
        <v>1462.47</v>
      </c>
      <c r="S790" s="9" t="n">
        <v>487.5</v>
      </c>
      <c r="T790" s="10" t="n">
        <v>0.25</v>
      </c>
    </row>
    <row r="791">
      <c r="A791" s="7" t="inlineStr">
        <is>
          <t>ORD-2024-1245</t>
        </is>
      </c>
      <c r="B791" s="7" t="inlineStr">
        <is>
          <t>2024-11-12</t>
        </is>
      </c>
      <c r="C791" s="7" t="inlineStr">
        <is>
          <t>OFF-DSK-007</t>
        </is>
      </c>
      <c r="D791" s="7" t="inlineStr">
        <is>
          <t>Gel Ergo Mouse Pad &amp; Wrist Rest Combo</t>
        </is>
      </c>
      <c r="E791" s="7" t="inlineStr">
        <is>
          <t>Office Supplies</t>
        </is>
      </c>
      <c r="F791" s="7" t="inlineStr">
        <is>
          <t>Desk Supplies</t>
        </is>
      </c>
      <c r="G791" s="7" t="inlineStr">
        <is>
          <t>West</t>
        </is>
      </c>
      <c r="H791" s="7" t="inlineStr">
        <is>
          <t>Oregon</t>
        </is>
      </c>
      <c r="I791" s="7" t="inlineStr">
        <is>
          <t>Retail Partner</t>
        </is>
      </c>
      <c r="J791" s="7" t="inlineStr">
        <is>
          <t>Consumer</t>
        </is>
      </c>
      <c r="K791" s="8" t="n">
        <v>4</v>
      </c>
      <c r="L791" s="9" t="n">
        <v>21.99</v>
      </c>
      <c r="M791" s="10" t="n">
        <v>0</v>
      </c>
      <c r="N791" s="9" t="n">
        <v>10.56</v>
      </c>
      <c r="O791" s="9" t="n">
        <v>87.95999999999999</v>
      </c>
      <c r="P791" s="9" t="n">
        <v>0</v>
      </c>
      <c r="Q791" s="9" t="n">
        <v>87.95999999999999</v>
      </c>
      <c r="R791" s="9" t="n">
        <v>42.24</v>
      </c>
      <c r="S791" s="9" t="n">
        <v>45.72</v>
      </c>
      <c r="T791" s="10" t="n">
        <v>0.5198</v>
      </c>
    </row>
    <row r="792">
      <c r="A792" s="7" t="inlineStr">
        <is>
          <t>ORD-2024-1307</t>
        </is>
      </c>
      <c r="B792" s="7" t="inlineStr">
        <is>
          <t>2024-11-12</t>
        </is>
      </c>
      <c r="C792" s="7" t="inlineStr">
        <is>
          <t>FUR-CHA-001</t>
        </is>
      </c>
      <c r="D792" s="7" t="inlineStr">
        <is>
          <t>ErgoFlex Executive Mesh Chair</t>
        </is>
      </c>
      <c r="E792" s="7" t="inlineStr">
        <is>
          <t>Furniture</t>
        </is>
      </c>
      <c r="F792" s="7" t="inlineStr">
        <is>
          <t>Chairs</t>
        </is>
      </c>
      <c r="G792" s="7" t="inlineStr">
        <is>
          <t>West</t>
        </is>
      </c>
      <c r="H792" s="7" t="inlineStr">
        <is>
          <t>California</t>
        </is>
      </c>
      <c r="I792" s="7" t="inlineStr">
        <is>
          <t>Online</t>
        </is>
      </c>
      <c r="J792" s="7" t="inlineStr">
        <is>
          <t>Home Office</t>
        </is>
      </c>
      <c r="K792" s="8" t="n">
        <v>2</v>
      </c>
      <c r="L792" s="9" t="n">
        <v>389.99</v>
      </c>
      <c r="M792" s="10" t="n">
        <v>0.1</v>
      </c>
      <c r="N792" s="9" t="n">
        <v>331.49</v>
      </c>
      <c r="O792" s="9" t="n">
        <v>779.98</v>
      </c>
      <c r="P792" s="9" t="n">
        <v>78</v>
      </c>
      <c r="Q792" s="9" t="n">
        <v>701.98</v>
      </c>
      <c r="R792" s="9" t="n">
        <v>662.98</v>
      </c>
      <c r="S792" s="9" t="n">
        <v>39</v>
      </c>
      <c r="T792" s="10" t="n">
        <v>0.0556</v>
      </c>
    </row>
    <row r="793">
      <c r="A793" s="7" t="inlineStr">
        <is>
          <t>ORD-2024-1415</t>
        </is>
      </c>
      <c r="B793" s="7" t="inlineStr">
        <is>
          <t>2024-11-12</t>
        </is>
      </c>
      <c r="C793" s="7" t="inlineStr">
        <is>
          <t>OFF-BIN-005</t>
        </is>
      </c>
      <c r="D793" s="7" t="inlineStr">
        <is>
          <t>Heavy-Duty D-Ring Presentation Binder (6-Pk)</t>
        </is>
      </c>
      <c r="E793" s="7" t="inlineStr">
        <is>
          <t>Office Supplies</t>
        </is>
      </c>
      <c r="F793" s="7" t="inlineStr">
        <is>
          <t>Binders &amp; Fasteners</t>
        </is>
      </c>
      <c r="G793" s="7" t="inlineStr">
        <is>
          <t>Central</t>
        </is>
      </c>
      <c r="H793" s="7" t="inlineStr">
        <is>
          <t>Michigan</t>
        </is>
      </c>
      <c r="I793" s="7" t="inlineStr">
        <is>
          <t>Online</t>
        </is>
      </c>
      <c r="J793" s="7" t="inlineStr">
        <is>
          <t>Consumer</t>
        </is>
      </c>
      <c r="K793" s="8" t="n">
        <v>1</v>
      </c>
      <c r="L793" s="9" t="n">
        <v>27.99</v>
      </c>
      <c r="M793" s="10" t="n">
        <v>0.05</v>
      </c>
      <c r="N793" s="9" t="n">
        <v>13.99</v>
      </c>
      <c r="O793" s="9" t="n">
        <v>27.99</v>
      </c>
      <c r="P793" s="9" t="n">
        <v>1.4</v>
      </c>
      <c r="Q793" s="9" t="n">
        <v>26.59</v>
      </c>
      <c r="R793" s="9" t="n">
        <v>13.99</v>
      </c>
      <c r="S793" s="9" t="n">
        <v>12.6</v>
      </c>
      <c r="T793" s="10" t="n">
        <v>0.4739</v>
      </c>
    </row>
    <row r="794">
      <c r="A794" s="7" t="inlineStr">
        <is>
          <t>ORD-2024-1415</t>
        </is>
      </c>
      <c r="B794" s="7" t="inlineStr">
        <is>
          <t>2024-11-12</t>
        </is>
      </c>
      <c r="C794" s="7" t="inlineStr">
        <is>
          <t>OFF-ART-006</t>
        </is>
      </c>
      <c r="D794" s="7" t="inlineStr">
        <is>
          <t>Professional Presentation Dry Erase Board</t>
        </is>
      </c>
      <c r="E794" s="7" t="inlineStr">
        <is>
          <t>Office Supplies</t>
        </is>
      </c>
      <c r="F794" s="7" t="inlineStr">
        <is>
          <t>Presentation &amp; Art</t>
        </is>
      </c>
      <c r="G794" s="7" t="inlineStr">
        <is>
          <t>Central</t>
        </is>
      </c>
      <c r="H794" s="7" t="inlineStr">
        <is>
          <t>Michigan</t>
        </is>
      </c>
      <c r="I794" s="7" t="inlineStr">
        <is>
          <t>Online</t>
        </is>
      </c>
      <c r="J794" s="7" t="inlineStr">
        <is>
          <t>Consumer</t>
        </is>
      </c>
      <c r="K794" s="8" t="n">
        <v>2</v>
      </c>
      <c r="L794" s="9" t="n">
        <v>89.98999999999999</v>
      </c>
      <c r="M794" s="10" t="n">
        <v>0.05</v>
      </c>
      <c r="N794" s="9" t="n">
        <v>53.99</v>
      </c>
      <c r="O794" s="9" t="n">
        <v>179.98</v>
      </c>
      <c r="P794" s="9" t="n">
        <v>9</v>
      </c>
      <c r="Q794" s="9" t="n">
        <v>170.98</v>
      </c>
      <c r="R794" s="9" t="n">
        <v>107.98</v>
      </c>
      <c r="S794" s="9" t="n">
        <v>63</v>
      </c>
      <c r="T794" s="10" t="n">
        <v>0.3685</v>
      </c>
    </row>
    <row r="795">
      <c r="A795" s="7" t="inlineStr">
        <is>
          <t>ORD-2024-1415</t>
        </is>
      </c>
      <c r="B795" s="7" t="inlineStr">
        <is>
          <t>2024-11-12</t>
        </is>
      </c>
      <c r="C795" s="7" t="inlineStr">
        <is>
          <t>OFF-DSK-008</t>
        </is>
      </c>
      <c r="D795" s="7" t="inlineStr">
        <is>
          <t>Steel Desktop Mesh Organizer Caddy</t>
        </is>
      </c>
      <c r="E795" s="7" t="inlineStr">
        <is>
          <t>Office Supplies</t>
        </is>
      </c>
      <c r="F795" s="7" t="inlineStr">
        <is>
          <t>Desk Supplies</t>
        </is>
      </c>
      <c r="G795" s="7" t="inlineStr">
        <is>
          <t>Central</t>
        </is>
      </c>
      <c r="H795" s="7" t="inlineStr">
        <is>
          <t>Michigan</t>
        </is>
      </c>
      <c r="I795" s="7" t="inlineStr">
        <is>
          <t>Online</t>
        </is>
      </c>
      <c r="J795" s="7" t="inlineStr">
        <is>
          <t>Consumer</t>
        </is>
      </c>
      <c r="K795" s="8" t="n">
        <v>4</v>
      </c>
      <c r="L795" s="9" t="n">
        <v>18.99</v>
      </c>
      <c r="M795" s="10" t="n">
        <v>0.05</v>
      </c>
      <c r="N795" s="9" t="n">
        <v>8.550000000000001</v>
      </c>
      <c r="O795" s="9" t="n">
        <v>75.95999999999999</v>
      </c>
      <c r="P795" s="9" t="n">
        <v>3.8</v>
      </c>
      <c r="Q795" s="9" t="n">
        <v>72.16</v>
      </c>
      <c r="R795" s="9" t="n">
        <v>34.2</v>
      </c>
      <c r="S795" s="9" t="n">
        <v>37.96</v>
      </c>
      <c r="T795" s="10" t="n">
        <v>0.5261</v>
      </c>
    </row>
    <row r="796">
      <c r="A796" s="7" t="inlineStr">
        <is>
          <t>ORD-2024-1680</t>
        </is>
      </c>
      <c r="B796" s="7" t="inlineStr">
        <is>
          <t>2024-11-12</t>
        </is>
      </c>
      <c r="C796" s="7" t="inlineStr">
        <is>
          <t>OFF-STR-001</t>
        </is>
      </c>
      <c r="D796" s="7" t="inlineStr">
        <is>
          <t>SteelLock 3-Drawer File Cabinet</t>
        </is>
      </c>
      <c r="E796" s="7" t="inlineStr">
        <is>
          <t>Office Supplies</t>
        </is>
      </c>
      <c r="F796" s="7" t="inlineStr">
        <is>
          <t>Storage &amp; Organizers</t>
        </is>
      </c>
      <c r="G796" s="7" t="inlineStr">
        <is>
          <t>South</t>
        </is>
      </c>
      <c r="H796" s="7" t="inlineStr">
        <is>
          <t>Florida</t>
        </is>
      </c>
      <c r="I796" s="7" t="inlineStr">
        <is>
          <t>Online</t>
        </is>
      </c>
      <c r="J796" s="7" t="inlineStr">
        <is>
          <t>Home Office</t>
        </is>
      </c>
      <c r="K796" s="8" t="n">
        <v>1</v>
      </c>
      <c r="L796" s="9" t="n">
        <v>169.99</v>
      </c>
      <c r="M796" s="10" t="n">
        <v>0.15</v>
      </c>
      <c r="N796" s="9" t="n">
        <v>115.59</v>
      </c>
      <c r="O796" s="9" t="n">
        <v>169.99</v>
      </c>
      <c r="P796" s="9" t="n">
        <v>25.5</v>
      </c>
      <c r="Q796" s="9" t="n">
        <v>144.49</v>
      </c>
      <c r="R796" s="9" t="n">
        <v>115.59</v>
      </c>
      <c r="S796" s="9" t="n">
        <v>28.9</v>
      </c>
      <c r="T796" s="10" t="n">
        <v>0.2</v>
      </c>
    </row>
    <row r="797">
      <c r="A797" s="7" t="inlineStr">
        <is>
          <t>ORD-2024-1019</t>
        </is>
      </c>
      <c r="B797" s="7" t="inlineStr">
        <is>
          <t>2024-11-13</t>
        </is>
      </c>
      <c r="C797" s="7" t="inlineStr">
        <is>
          <t>OFF-DSK-007</t>
        </is>
      </c>
      <c r="D797" s="7" t="inlineStr">
        <is>
          <t>Gel Ergo Mouse Pad &amp; Wrist Rest Combo</t>
        </is>
      </c>
      <c r="E797" s="7" t="inlineStr">
        <is>
          <t>Office Supplies</t>
        </is>
      </c>
      <c r="F797" s="7" t="inlineStr">
        <is>
          <t>Desk Supplies</t>
        </is>
      </c>
      <c r="G797" s="7" t="inlineStr">
        <is>
          <t>West</t>
        </is>
      </c>
      <c r="H797" s="7" t="inlineStr">
        <is>
          <t>Oregon</t>
        </is>
      </c>
      <c r="I797" s="7" t="inlineStr">
        <is>
          <t>Wholesale</t>
        </is>
      </c>
      <c r="J797" s="7" t="inlineStr">
        <is>
          <t>Corporate</t>
        </is>
      </c>
      <c r="K797" s="8" t="n">
        <v>13</v>
      </c>
      <c r="L797" s="9" t="n">
        <v>21.99</v>
      </c>
      <c r="M797" s="10" t="n">
        <v>0.2</v>
      </c>
      <c r="N797" s="9" t="n">
        <v>10.56</v>
      </c>
      <c r="O797" s="9" t="n">
        <v>285.87</v>
      </c>
      <c r="P797" s="9" t="n">
        <v>57.17</v>
      </c>
      <c r="Q797" s="9" t="n">
        <v>228.7</v>
      </c>
      <c r="R797" s="9" t="n">
        <v>137.28</v>
      </c>
      <c r="S797" s="9" t="n">
        <v>91.42</v>
      </c>
      <c r="T797" s="10" t="n">
        <v>0.3997</v>
      </c>
    </row>
    <row r="798">
      <c r="A798" s="7" t="inlineStr">
        <is>
          <t>ORD-2024-1019</t>
        </is>
      </c>
      <c r="B798" s="7" t="inlineStr">
        <is>
          <t>2024-11-13</t>
        </is>
      </c>
      <c r="C798" s="7" t="inlineStr">
        <is>
          <t>TEC-ACC-008</t>
        </is>
      </c>
      <c r="D798" s="7" t="inlineStr">
        <is>
          <t>Precision Laser Bluetooth Mouse</t>
        </is>
      </c>
      <c r="E798" s="7" t="inlineStr">
        <is>
          <t>Technology</t>
        </is>
      </c>
      <c r="F798" s="7" t="inlineStr">
        <is>
          <t>Audio &amp; Accessories</t>
        </is>
      </c>
      <c r="G798" s="7" t="inlineStr">
        <is>
          <t>West</t>
        </is>
      </c>
      <c r="H798" s="7" t="inlineStr">
        <is>
          <t>Oregon</t>
        </is>
      </c>
      <c r="I798" s="7" t="inlineStr">
        <is>
          <t>Wholesale</t>
        </is>
      </c>
      <c r="J798" s="7" t="inlineStr">
        <is>
          <t>Corporate</t>
        </is>
      </c>
      <c r="K798" s="8" t="n">
        <v>15</v>
      </c>
      <c r="L798" s="9" t="n">
        <v>49.99</v>
      </c>
      <c r="M798" s="10" t="n">
        <v>0.1</v>
      </c>
      <c r="N798" s="9" t="n">
        <v>27.49</v>
      </c>
      <c r="O798" s="9" t="n">
        <v>749.85</v>
      </c>
      <c r="P798" s="9" t="n">
        <v>74.98</v>
      </c>
      <c r="Q798" s="9" t="n">
        <v>674.87</v>
      </c>
      <c r="R798" s="9" t="n">
        <v>412.35</v>
      </c>
      <c r="S798" s="9" t="n">
        <v>262.52</v>
      </c>
      <c r="T798" s="10" t="n">
        <v>0.389</v>
      </c>
    </row>
    <row r="799">
      <c r="A799" s="7" t="inlineStr">
        <is>
          <t>ORD-2024-1059</t>
        </is>
      </c>
      <c r="B799" s="7" t="inlineStr">
        <is>
          <t>2024-11-13</t>
        </is>
      </c>
      <c r="C799" s="7" t="inlineStr">
        <is>
          <t>FUR-BOK-005</t>
        </is>
      </c>
      <c r="D799" s="7" t="inlineStr">
        <is>
          <t>Modular 5-Tier Steel Bookcase</t>
        </is>
      </c>
      <c r="E799" s="7" t="inlineStr">
        <is>
          <t>Furniture</t>
        </is>
      </c>
      <c r="F799" s="7" t="inlineStr">
        <is>
          <t>Bookcases</t>
        </is>
      </c>
      <c r="G799" s="7" t="inlineStr">
        <is>
          <t>West</t>
        </is>
      </c>
      <c r="H799" s="7" t="inlineStr">
        <is>
          <t>California</t>
        </is>
      </c>
      <c r="I799" s="7" t="inlineStr">
        <is>
          <t>Retail Partner</t>
        </is>
      </c>
      <c r="J799" s="7" t="inlineStr">
        <is>
          <t>Consumer</t>
        </is>
      </c>
      <c r="K799" s="8" t="n">
        <v>3</v>
      </c>
      <c r="L799" s="9" t="n">
        <v>189.99</v>
      </c>
      <c r="M799" s="10" t="n">
        <v>0.1</v>
      </c>
      <c r="N799" s="9" t="n">
        <v>142.49</v>
      </c>
      <c r="O799" s="9" t="n">
        <v>569.97</v>
      </c>
      <c r="P799" s="9" t="n">
        <v>57</v>
      </c>
      <c r="Q799" s="9" t="n">
        <v>512.97</v>
      </c>
      <c r="R799" s="9" t="n">
        <v>427.47</v>
      </c>
      <c r="S799" s="9" t="n">
        <v>85.5</v>
      </c>
      <c r="T799" s="10" t="n">
        <v>0.1667</v>
      </c>
    </row>
    <row r="800">
      <c r="A800" s="7" t="inlineStr">
        <is>
          <t>ORD-2024-1534</t>
        </is>
      </c>
      <c r="B800" s="7" t="inlineStr">
        <is>
          <t>2024-11-13</t>
        </is>
      </c>
      <c r="C800" s="7" t="inlineStr">
        <is>
          <t>OFF-DSK-008</t>
        </is>
      </c>
      <c r="D800" s="7" t="inlineStr">
        <is>
          <t>Steel Desktop Mesh Organizer Caddy</t>
        </is>
      </c>
      <c r="E800" s="7" t="inlineStr">
        <is>
          <t>Office Supplies</t>
        </is>
      </c>
      <c r="F800" s="7" t="inlineStr">
        <is>
          <t>Desk Supplies</t>
        </is>
      </c>
      <c r="G800" s="7" t="inlineStr">
        <is>
          <t>West</t>
        </is>
      </c>
      <c r="H800" s="7" t="inlineStr">
        <is>
          <t>California</t>
        </is>
      </c>
      <c r="I800" s="7" t="inlineStr">
        <is>
          <t>Direct Sales</t>
        </is>
      </c>
      <c r="J800" s="7" t="inlineStr">
        <is>
          <t>Consumer</t>
        </is>
      </c>
      <c r="K800" s="8" t="n">
        <v>2</v>
      </c>
      <c r="L800" s="9" t="n">
        <v>18.99</v>
      </c>
      <c r="M800" s="10" t="n">
        <v>0.2</v>
      </c>
      <c r="N800" s="9" t="n">
        <v>8.550000000000001</v>
      </c>
      <c r="O800" s="9" t="n">
        <v>37.98</v>
      </c>
      <c r="P800" s="9" t="n">
        <v>7.6</v>
      </c>
      <c r="Q800" s="9" t="n">
        <v>30.38</v>
      </c>
      <c r="R800" s="9" t="n">
        <v>17.1</v>
      </c>
      <c r="S800" s="9" t="n">
        <v>13.28</v>
      </c>
      <c r="T800" s="10" t="n">
        <v>0.4371</v>
      </c>
    </row>
    <row r="801">
      <c r="A801" s="7" t="inlineStr">
        <is>
          <t>ORD-2024-1642</t>
        </is>
      </c>
      <c r="B801" s="7" t="inlineStr">
        <is>
          <t>2024-11-13</t>
        </is>
      </c>
      <c r="C801" s="7" t="inlineStr">
        <is>
          <t>OFF-DSK-008</t>
        </is>
      </c>
      <c r="D801" s="7" t="inlineStr">
        <is>
          <t>Steel Desktop Mesh Organizer Caddy</t>
        </is>
      </c>
      <c r="E801" s="7" t="inlineStr">
        <is>
          <t>Office Supplies</t>
        </is>
      </c>
      <c r="F801" s="7" t="inlineStr">
        <is>
          <t>Desk Supplies</t>
        </is>
      </c>
      <c r="G801" s="7" t="inlineStr">
        <is>
          <t>West</t>
        </is>
      </c>
      <c r="H801" s="7" t="inlineStr">
        <is>
          <t>Colorado</t>
        </is>
      </c>
      <c r="I801" s="7" t="inlineStr">
        <is>
          <t>Online</t>
        </is>
      </c>
      <c r="J801" s="7" t="inlineStr">
        <is>
          <t>Consumer</t>
        </is>
      </c>
      <c r="K801" s="8" t="n">
        <v>2</v>
      </c>
      <c r="L801" s="9" t="n">
        <v>18.99</v>
      </c>
      <c r="M801" s="10" t="n">
        <v>0.15</v>
      </c>
      <c r="N801" s="9" t="n">
        <v>8.550000000000001</v>
      </c>
      <c r="O801" s="9" t="n">
        <v>37.98</v>
      </c>
      <c r="P801" s="9" t="n">
        <v>5.7</v>
      </c>
      <c r="Q801" s="9" t="n">
        <v>32.28</v>
      </c>
      <c r="R801" s="9" t="n">
        <v>17.1</v>
      </c>
      <c r="S801" s="9" t="n">
        <v>15.18</v>
      </c>
      <c r="T801" s="10" t="n">
        <v>0.4703</v>
      </c>
    </row>
    <row r="802">
      <c r="A802" s="7" t="inlineStr">
        <is>
          <t>ORD-2024-1298</t>
        </is>
      </c>
      <c r="B802" s="7" t="inlineStr">
        <is>
          <t>2024-11-14</t>
        </is>
      </c>
      <c r="C802" s="7" t="inlineStr">
        <is>
          <t>OFF-DSK-008</t>
        </is>
      </c>
      <c r="D802" s="7" t="inlineStr">
        <is>
          <t>Steel Desktop Mesh Organizer Caddy</t>
        </is>
      </c>
      <c r="E802" s="7" t="inlineStr">
        <is>
          <t>Office Supplies</t>
        </is>
      </c>
      <c r="F802" s="7" t="inlineStr">
        <is>
          <t>Desk Supplies</t>
        </is>
      </c>
      <c r="G802" s="7" t="inlineStr">
        <is>
          <t>West</t>
        </is>
      </c>
      <c r="H802" s="7" t="inlineStr">
        <is>
          <t>Oregon</t>
        </is>
      </c>
      <c r="I802" s="7" t="inlineStr">
        <is>
          <t>Retail Partner</t>
        </is>
      </c>
      <c r="J802" s="7" t="inlineStr">
        <is>
          <t>Consumer</t>
        </is>
      </c>
      <c r="K802" s="8" t="n">
        <v>3</v>
      </c>
      <c r="L802" s="9" t="n">
        <v>18.99</v>
      </c>
      <c r="M802" s="10" t="n">
        <v>0.05</v>
      </c>
      <c r="N802" s="9" t="n">
        <v>8.550000000000001</v>
      </c>
      <c r="O802" s="9" t="n">
        <v>56.97</v>
      </c>
      <c r="P802" s="9" t="n">
        <v>2.85</v>
      </c>
      <c r="Q802" s="9" t="n">
        <v>54.12</v>
      </c>
      <c r="R802" s="9" t="n">
        <v>25.65</v>
      </c>
      <c r="S802" s="9" t="n">
        <v>28.47</v>
      </c>
      <c r="T802" s="10" t="n">
        <v>0.5261</v>
      </c>
    </row>
    <row r="803">
      <c r="A803" s="7" t="inlineStr">
        <is>
          <t>ORD-2024-1298</t>
        </is>
      </c>
      <c r="B803" s="7" t="inlineStr">
        <is>
          <t>2024-11-14</t>
        </is>
      </c>
      <c r="C803" s="7" t="inlineStr">
        <is>
          <t>FUR-DSK-004</t>
        </is>
      </c>
      <c r="D803" s="7" t="inlineStr">
        <is>
          <t>Metro Compact Corner Workstation</t>
        </is>
      </c>
      <c r="E803" s="7" t="inlineStr">
        <is>
          <t>Furniture</t>
        </is>
      </c>
      <c r="F803" s="7" t="inlineStr">
        <is>
          <t>Desks &amp; Workstations</t>
        </is>
      </c>
      <c r="G803" s="7" t="inlineStr">
        <is>
          <t>West</t>
        </is>
      </c>
      <c r="H803" s="7" t="inlineStr">
        <is>
          <t>Oregon</t>
        </is>
      </c>
      <c r="I803" s="7" t="inlineStr">
        <is>
          <t>Retail Partner</t>
        </is>
      </c>
      <c r="J803" s="7" t="inlineStr">
        <is>
          <t>Consumer</t>
        </is>
      </c>
      <c r="K803" s="8" t="n">
        <v>2</v>
      </c>
      <c r="L803" s="9" t="n">
        <v>329.99</v>
      </c>
      <c r="M803" s="10" t="n">
        <v>0</v>
      </c>
      <c r="N803" s="9" t="n">
        <v>250.79</v>
      </c>
      <c r="O803" s="9" t="n">
        <v>659.98</v>
      </c>
      <c r="P803" s="9" t="n">
        <v>0</v>
      </c>
      <c r="Q803" s="9" t="n">
        <v>659.98</v>
      </c>
      <c r="R803" s="9" t="n">
        <v>501.58</v>
      </c>
      <c r="S803" s="9" t="n">
        <v>158.4</v>
      </c>
      <c r="T803" s="10" t="n">
        <v>0.24</v>
      </c>
    </row>
    <row r="804">
      <c r="A804" s="7" t="inlineStr">
        <is>
          <t>ORD-2024-1298</t>
        </is>
      </c>
      <c r="B804" s="7" t="inlineStr">
        <is>
          <t>2024-11-14</t>
        </is>
      </c>
      <c r="C804" s="7" t="inlineStr">
        <is>
          <t>OFF-DSK-008</t>
        </is>
      </c>
      <c r="D804" s="7" t="inlineStr">
        <is>
          <t>Steel Desktop Mesh Organizer Caddy</t>
        </is>
      </c>
      <c r="E804" s="7" t="inlineStr">
        <is>
          <t>Office Supplies</t>
        </is>
      </c>
      <c r="F804" s="7" t="inlineStr">
        <is>
          <t>Desk Supplies</t>
        </is>
      </c>
      <c r="G804" s="7" t="inlineStr">
        <is>
          <t>West</t>
        </is>
      </c>
      <c r="H804" s="7" t="inlineStr">
        <is>
          <t>Oregon</t>
        </is>
      </c>
      <c r="I804" s="7" t="inlineStr">
        <is>
          <t>Retail Partner</t>
        </is>
      </c>
      <c r="J804" s="7" t="inlineStr">
        <is>
          <t>Consumer</t>
        </is>
      </c>
      <c r="K804" s="8" t="n">
        <v>4</v>
      </c>
      <c r="L804" s="9" t="n">
        <v>18.99</v>
      </c>
      <c r="M804" s="10" t="n">
        <v>0</v>
      </c>
      <c r="N804" s="9" t="n">
        <v>8.550000000000001</v>
      </c>
      <c r="O804" s="9" t="n">
        <v>75.95999999999999</v>
      </c>
      <c r="P804" s="9" t="n">
        <v>0</v>
      </c>
      <c r="Q804" s="9" t="n">
        <v>75.95999999999999</v>
      </c>
      <c r="R804" s="9" t="n">
        <v>34.2</v>
      </c>
      <c r="S804" s="9" t="n">
        <v>41.76</v>
      </c>
      <c r="T804" s="10" t="n">
        <v>0.5498</v>
      </c>
    </row>
    <row r="805">
      <c r="A805" s="7" t="inlineStr">
        <is>
          <t>ORD-2024-1165</t>
        </is>
      </c>
      <c r="B805" s="7" t="inlineStr">
        <is>
          <t>2024-11-15</t>
        </is>
      </c>
      <c r="C805" s="7" t="inlineStr">
        <is>
          <t>TEC-TAB-003</t>
        </is>
      </c>
      <c r="D805" s="7" t="inlineStr">
        <is>
          <t>VisionPad Pro 11"</t>
        </is>
      </c>
      <c r="E805" s="7" t="inlineStr">
        <is>
          <t>Technology</t>
        </is>
      </c>
      <c r="F805" s="7" t="inlineStr">
        <is>
          <t>Phones &amp; Tablets</t>
        </is>
      </c>
      <c r="G805" s="7" t="inlineStr">
        <is>
          <t>South</t>
        </is>
      </c>
      <c r="H805" s="7" t="inlineStr">
        <is>
          <t>Florida</t>
        </is>
      </c>
      <c r="I805" s="7" t="inlineStr">
        <is>
          <t>Online</t>
        </is>
      </c>
      <c r="J805" s="7" t="inlineStr">
        <is>
          <t>Corporate</t>
        </is>
      </c>
      <c r="K805" s="8" t="n">
        <v>4</v>
      </c>
      <c r="L805" s="9" t="n">
        <v>649.99</v>
      </c>
      <c r="M805" s="10" t="n">
        <v>0.05</v>
      </c>
      <c r="N805" s="9" t="n">
        <v>487.49</v>
      </c>
      <c r="O805" s="9" t="n">
        <v>2599.96</v>
      </c>
      <c r="P805" s="9" t="n">
        <v>130</v>
      </c>
      <c r="Q805" s="9" t="n">
        <v>2469.96</v>
      </c>
      <c r="R805" s="9" t="n">
        <v>1949.96</v>
      </c>
      <c r="S805" s="9" t="n">
        <v>520</v>
      </c>
      <c r="T805" s="10" t="n">
        <v>0.2105</v>
      </c>
    </row>
    <row r="806">
      <c r="A806" s="7" t="inlineStr">
        <is>
          <t>ORD-2024-1347</t>
        </is>
      </c>
      <c r="B806" s="7" t="inlineStr">
        <is>
          <t>2024-11-15</t>
        </is>
      </c>
      <c r="C806" s="7" t="inlineStr">
        <is>
          <t>FUR-DSK-003</t>
        </is>
      </c>
      <c r="D806" s="7" t="inlineStr">
        <is>
          <t>ApexMotor Dual-Motor Standing Desk</t>
        </is>
      </c>
      <c r="E806" s="7" t="inlineStr">
        <is>
          <t>Furniture</t>
        </is>
      </c>
      <c r="F806" s="7" t="inlineStr">
        <is>
          <t>Desks &amp; Workstations</t>
        </is>
      </c>
      <c r="G806" s="7" t="inlineStr">
        <is>
          <t>Central</t>
        </is>
      </c>
      <c r="H806" s="7" t="inlineStr">
        <is>
          <t>Texas</t>
        </is>
      </c>
      <c r="I806" s="7" t="inlineStr">
        <is>
          <t>Online</t>
        </is>
      </c>
      <c r="J806" s="7" t="inlineStr">
        <is>
          <t>Home Office</t>
        </is>
      </c>
      <c r="K806" s="8" t="n">
        <v>4</v>
      </c>
      <c r="L806" s="9" t="n">
        <v>549.99</v>
      </c>
      <c r="M806" s="10" t="n">
        <v>0</v>
      </c>
      <c r="N806" s="9" t="n">
        <v>439.99</v>
      </c>
      <c r="O806" s="9" t="n">
        <v>2199.96</v>
      </c>
      <c r="P806" s="9" t="n">
        <v>0</v>
      </c>
      <c r="Q806" s="9" t="n">
        <v>2199.96</v>
      </c>
      <c r="R806" s="9" t="n">
        <v>1759.96</v>
      </c>
      <c r="S806" s="9" t="n">
        <v>440</v>
      </c>
      <c r="T806" s="10" t="n">
        <v>0.2</v>
      </c>
    </row>
    <row r="807">
      <c r="A807" s="7" t="inlineStr">
        <is>
          <t>ORD-2024-1040</t>
        </is>
      </c>
      <c r="B807" s="7" t="inlineStr">
        <is>
          <t>2024-11-16</t>
        </is>
      </c>
      <c r="C807" s="7" t="inlineStr">
        <is>
          <t>FUR-CHA-001</t>
        </is>
      </c>
      <c r="D807" s="7" t="inlineStr">
        <is>
          <t>ErgoFlex Executive Mesh Chair</t>
        </is>
      </c>
      <c r="E807" s="7" t="inlineStr">
        <is>
          <t>Furniture</t>
        </is>
      </c>
      <c r="F807" s="7" t="inlineStr">
        <is>
          <t>Chairs</t>
        </is>
      </c>
      <c r="G807" s="7" t="inlineStr">
        <is>
          <t>West</t>
        </is>
      </c>
      <c r="H807" s="7" t="inlineStr">
        <is>
          <t>Washington</t>
        </is>
      </c>
      <c r="I807" s="7" t="inlineStr">
        <is>
          <t>Online</t>
        </is>
      </c>
      <c r="J807" s="7" t="inlineStr">
        <is>
          <t>Corporate</t>
        </is>
      </c>
      <c r="K807" s="8" t="n">
        <v>6</v>
      </c>
      <c r="L807" s="9" t="n">
        <v>389.99</v>
      </c>
      <c r="M807" s="10" t="n">
        <v>0.15</v>
      </c>
      <c r="N807" s="9" t="n">
        <v>331.49</v>
      </c>
      <c r="O807" s="9" t="n">
        <v>2339.94</v>
      </c>
      <c r="P807" s="9" t="n">
        <v>350.99</v>
      </c>
      <c r="Q807" s="9" t="n">
        <v>1988.95</v>
      </c>
      <c r="R807" s="9" t="n">
        <v>1988.94</v>
      </c>
      <c r="S807" s="9" t="n">
        <v>0.01</v>
      </c>
      <c r="T807" s="10" t="n">
        <v>0</v>
      </c>
    </row>
    <row r="808">
      <c r="A808" s="7" t="inlineStr">
        <is>
          <t>ORD-2024-1040</t>
        </is>
      </c>
      <c r="B808" s="7" t="inlineStr">
        <is>
          <t>2024-11-16</t>
        </is>
      </c>
      <c r="C808" s="7" t="inlineStr">
        <is>
          <t>OFF-ART-006</t>
        </is>
      </c>
      <c r="D808" s="7" t="inlineStr">
        <is>
          <t>Professional Presentation Dry Erase Board</t>
        </is>
      </c>
      <c r="E808" s="7" t="inlineStr">
        <is>
          <t>Office Supplies</t>
        </is>
      </c>
      <c r="F808" s="7" t="inlineStr">
        <is>
          <t>Presentation &amp; Art</t>
        </is>
      </c>
      <c r="G808" s="7" t="inlineStr">
        <is>
          <t>West</t>
        </is>
      </c>
      <c r="H808" s="7" t="inlineStr">
        <is>
          <t>Washington</t>
        </is>
      </c>
      <c r="I808" s="7" t="inlineStr">
        <is>
          <t>Online</t>
        </is>
      </c>
      <c r="J808" s="7" t="inlineStr">
        <is>
          <t>Corporate</t>
        </is>
      </c>
      <c r="K808" s="8" t="n">
        <v>5</v>
      </c>
      <c r="L808" s="9" t="n">
        <v>89.98999999999999</v>
      </c>
      <c r="M808" s="10" t="n">
        <v>0.05</v>
      </c>
      <c r="N808" s="9" t="n">
        <v>53.99</v>
      </c>
      <c r="O808" s="9" t="n">
        <v>449.95</v>
      </c>
      <c r="P808" s="9" t="n">
        <v>22.5</v>
      </c>
      <c r="Q808" s="9" t="n">
        <v>427.45</v>
      </c>
      <c r="R808" s="9" t="n">
        <v>269.95</v>
      </c>
      <c r="S808" s="9" t="n">
        <v>157.5</v>
      </c>
      <c r="T808" s="10" t="n">
        <v>0.3685</v>
      </c>
    </row>
    <row r="809">
      <c r="A809" s="7" t="inlineStr">
        <is>
          <t>ORD-2024-1040</t>
        </is>
      </c>
      <c r="B809" s="7" t="inlineStr">
        <is>
          <t>2024-11-16</t>
        </is>
      </c>
      <c r="C809" s="7" t="inlineStr">
        <is>
          <t>TEC-ACC-007</t>
        </is>
      </c>
      <c r="D809" s="7" t="inlineStr">
        <is>
          <t>ErgoMechanical Wireless Keyboard</t>
        </is>
      </c>
      <c r="E809" s="7" t="inlineStr">
        <is>
          <t>Technology</t>
        </is>
      </c>
      <c r="F809" s="7" t="inlineStr">
        <is>
          <t>Audio &amp; Accessories</t>
        </is>
      </c>
      <c r="G809" s="7" t="inlineStr">
        <is>
          <t>West</t>
        </is>
      </c>
      <c r="H809" s="7" t="inlineStr">
        <is>
          <t>Washington</t>
        </is>
      </c>
      <c r="I809" s="7" t="inlineStr">
        <is>
          <t>Online</t>
        </is>
      </c>
      <c r="J809" s="7" t="inlineStr">
        <is>
          <t>Corporate</t>
        </is>
      </c>
      <c r="K809" s="8" t="n">
        <v>6</v>
      </c>
      <c r="L809" s="9" t="n">
        <v>109.99</v>
      </c>
      <c r="M809" s="10" t="n">
        <v>0</v>
      </c>
      <c r="N809" s="9" t="n">
        <v>65.98999999999999</v>
      </c>
      <c r="O809" s="9" t="n">
        <v>659.9400000000001</v>
      </c>
      <c r="P809" s="9" t="n">
        <v>0</v>
      </c>
      <c r="Q809" s="9" t="n">
        <v>659.9400000000001</v>
      </c>
      <c r="R809" s="9" t="n">
        <v>395.94</v>
      </c>
      <c r="S809" s="9" t="n">
        <v>264</v>
      </c>
      <c r="T809" s="10" t="n">
        <v>0.4</v>
      </c>
    </row>
    <row r="810">
      <c r="A810" s="7" t="inlineStr">
        <is>
          <t>ORD-2024-1346</t>
        </is>
      </c>
      <c r="B810" s="7" t="inlineStr">
        <is>
          <t>2024-11-17</t>
        </is>
      </c>
      <c r="C810" s="7" t="inlineStr">
        <is>
          <t>OFF-STR-001</t>
        </is>
      </c>
      <c r="D810" s="7" t="inlineStr">
        <is>
          <t>SteelLock 3-Drawer File Cabinet</t>
        </is>
      </c>
      <c r="E810" s="7" t="inlineStr">
        <is>
          <t>Office Supplies</t>
        </is>
      </c>
      <c r="F810" s="7" t="inlineStr">
        <is>
          <t>Storage &amp; Organizers</t>
        </is>
      </c>
      <c r="G810" s="7" t="inlineStr">
        <is>
          <t>South</t>
        </is>
      </c>
      <c r="H810" s="7" t="inlineStr">
        <is>
          <t>Virginia</t>
        </is>
      </c>
      <c r="I810" s="7" t="inlineStr">
        <is>
          <t>Online</t>
        </is>
      </c>
      <c r="J810" s="7" t="inlineStr">
        <is>
          <t>Home Office</t>
        </is>
      </c>
      <c r="K810" s="8" t="n">
        <v>1</v>
      </c>
      <c r="L810" s="9" t="n">
        <v>169.99</v>
      </c>
      <c r="M810" s="10" t="n">
        <v>0.15</v>
      </c>
      <c r="N810" s="9" t="n">
        <v>115.59</v>
      </c>
      <c r="O810" s="9" t="n">
        <v>169.99</v>
      </c>
      <c r="P810" s="9" t="n">
        <v>25.5</v>
      </c>
      <c r="Q810" s="9" t="n">
        <v>144.49</v>
      </c>
      <c r="R810" s="9" t="n">
        <v>115.59</v>
      </c>
      <c r="S810" s="9" t="n">
        <v>28.9</v>
      </c>
      <c r="T810" s="10" t="n">
        <v>0.2</v>
      </c>
    </row>
    <row r="811">
      <c r="A811" s="7" t="inlineStr">
        <is>
          <t>ORD-2024-1348</t>
        </is>
      </c>
      <c r="B811" s="7" t="inlineStr">
        <is>
          <t>2024-11-17</t>
        </is>
      </c>
      <c r="C811" s="7" t="inlineStr">
        <is>
          <t>TEC-LAP-002</t>
        </is>
      </c>
      <c r="D811" s="7" t="inlineStr">
        <is>
          <t>Apex Gaming Laptop 17"</t>
        </is>
      </c>
      <c r="E811" s="7" t="inlineStr">
        <is>
          <t>Technology</t>
        </is>
      </c>
      <c r="F811" s="7" t="inlineStr">
        <is>
          <t>Laptops</t>
        </is>
      </c>
      <c r="G811" s="7" t="inlineStr">
        <is>
          <t>West</t>
        </is>
      </c>
      <c r="H811" s="7" t="inlineStr">
        <is>
          <t>Washington</t>
        </is>
      </c>
      <c r="I811" s="7" t="inlineStr">
        <is>
          <t>Wholesale</t>
        </is>
      </c>
      <c r="J811" s="7" t="inlineStr">
        <is>
          <t>Consumer</t>
        </is>
      </c>
      <c r="K811" s="8" t="n">
        <v>12</v>
      </c>
      <c r="L811" s="9" t="n">
        <v>1499.99</v>
      </c>
      <c r="M811" s="10" t="n">
        <v>0.2</v>
      </c>
      <c r="N811" s="9" t="n">
        <v>1259.99</v>
      </c>
      <c r="O811" s="9" t="n">
        <v>17999.88</v>
      </c>
      <c r="P811" s="9" t="n">
        <v>3599.98</v>
      </c>
      <c r="Q811" s="9" t="n">
        <v>14399.9</v>
      </c>
      <c r="R811" s="9" t="n">
        <v>15119.88</v>
      </c>
      <c r="S811" s="9" t="n">
        <v>-719.98</v>
      </c>
      <c r="T811" s="10" t="n">
        <v>-0.05</v>
      </c>
    </row>
    <row r="812">
      <c r="A812" s="7" t="inlineStr">
        <is>
          <t>ORD-2024-1417</t>
        </is>
      </c>
      <c r="B812" s="7" t="inlineStr">
        <is>
          <t>2024-11-17</t>
        </is>
      </c>
      <c r="C812" s="7" t="inlineStr">
        <is>
          <t>FUR-BOK-005</t>
        </is>
      </c>
      <c r="D812" s="7" t="inlineStr">
        <is>
          <t>Modular 5-Tier Steel Bookcase</t>
        </is>
      </c>
      <c r="E812" s="7" t="inlineStr">
        <is>
          <t>Furniture</t>
        </is>
      </c>
      <c r="F812" s="7" t="inlineStr">
        <is>
          <t>Bookcases</t>
        </is>
      </c>
      <c r="G812" s="7" t="inlineStr">
        <is>
          <t>West</t>
        </is>
      </c>
      <c r="H812" s="7" t="inlineStr">
        <is>
          <t>Oregon</t>
        </is>
      </c>
      <c r="I812" s="7" t="inlineStr">
        <is>
          <t>Direct Sales</t>
        </is>
      </c>
      <c r="J812" s="7" t="inlineStr">
        <is>
          <t>Corporate</t>
        </is>
      </c>
      <c r="K812" s="8" t="n">
        <v>4</v>
      </c>
      <c r="L812" s="9" t="n">
        <v>189.99</v>
      </c>
      <c r="M812" s="10" t="n">
        <v>0</v>
      </c>
      <c r="N812" s="9" t="n">
        <v>142.49</v>
      </c>
      <c r="O812" s="9" t="n">
        <v>759.96</v>
      </c>
      <c r="P812" s="9" t="n">
        <v>0</v>
      </c>
      <c r="Q812" s="9" t="n">
        <v>759.96</v>
      </c>
      <c r="R812" s="9" t="n">
        <v>569.96</v>
      </c>
      <c r="S812" s="9" t="n">
        <v>190</v>
      </c>
      <c r="T812" s="10" t="n">
        <v>0.25</v>
      </c>
    </row>
    <row r="813">
      <c r="A813" s="7" t="inlineStr">
        <is>
          <t>ORD-2024-1417</t>
        </is>
      </c>
      <c r="B813" s="7" t="inlineStr">
        <is>
          <t>2024-11-17</t>
        </is>
      </c>
      <c r="C813" s="7" t="inlineStr">
        <is>
          <t>OFF-DSK-007</t>
        </is>
      </c>
      <c r="D813" s="7" t="inlineStr">
        <is>
          <t>Gel Ergo Mouse Pad &amp; Wrist Rest Combo</t>
        </is>
      </c>
      <c r="E813" s="7" t="inlineStr">
        <is>
          <t>Office Supplies</t>
        </is>
      </c>
      <c r="F813" s="7" t="inlineStr">
        <is>
          <t>Desk Supplies</t>
        </is>
      </c>
      <c r="G813" s="7" t="inlineStr">
        <is>
          <t>West</t>
        </is>
      </c>
      <c r="H813" s="7" t="inlineStr">
        <is>
          <t>Oregon</t>
        </is>
      </c>
      <c r="I813" s="7" t="inlineStr">
        <is>
          <t>Direct Sales</t>
        </is>
      </c>
      <c r="J813" s="7" t="inlineStr">
        <is>
          <t>Corporate</t>
        </is>
      </c>
      <c r="K813" s="8" t="n">
        <v>4</v>
      </c>
      <c r="L813" s="9" t="n">
        <v>21.99</v>
      </c>
      <c r="M813" s="10" t="n">
        <v>0.1</v>
      </c>
      <c r="N813" s="9" t="n">
        <v>10.56</v>
      </c>
      <c r="O813" s="9" t="n">
        <v>87.95999999999999</v>
      </c>
      <c r="P813" s="9" t="n">
        <v>8.800000000000001</v>
      </c>
      <c r="Q813" s="9" t="n">
        <v>79.16</v>
      </c>
      <c r="R813" s="9" t="n">
        <v>42.24</v>
      </c>
      <c r="S813" s="9" t="n">
        <v>36.92</v>
      </c>
      <c r="T813" s="10" t="n">
        <v>0.4664</v>
      </c>
    </row>
    <row r="814">
      <c r="A814" s="7" t="inlineStr">
        <is>
          <t>ORD-2024-1520</t>
        </is>
      </c>
      <c r="B814" s="7" t="inlineStr">
        <is>
          <t>2024-11-17</t>
        </is>
      </c>
      <c r="C814" s="7" t="inlineStr">
        <is>
          <t>OFF-PAP-003</t>
        </is>
      </c>
      <c r="D814" s="7" t="inlineStr">
        <is>
          <t>UltraWhite Premium Multipurpose Paper (Case)</t>
        </is>
      </c>
      <c r="E814" s="7" t="inlineStr">
        <is>
          <t>Office Supplies</t>
        </is>
      </c>
      <c r="F814" s="7" t="inlineStr">
        <is>
          <t>Paper Products</t>
        </is>
      </c>
      <c r="G814" s="7" t="inlineStr">
        <is>
          <t>Central</t>
        </is>
      </c>
      <c r="H814" s="7" t="inlineStr">
        <is>
          <t>Michigan</t>
        </is>
      </c>
      <c r="I814" s="7" t="inlineStr">
        <is>
          <t>Retail Partner</t>
        </is>
      </c>
      <c r="J814" s="7" t="inlineStr">
        <is>
          <t>Consumer</t>
        </is>
      </c>
      <c r="K814" s="8" t="n">
        <v>3</v>
      </c>
      <c r="L814" s="9" t="n">
        <v>54.99</v>
      </c>
      <c r="M814" s="10" t="n">
        <v>0.1</v>
      </c>
      <c r="N814" s="9" t="n">
        <v>31.89</v>
      </c>
      <c r="O814" s="9" t="n">
        <v>164.97</v>
      </c>
      <c r="P814" s="9" t="n">
        <v>16.5</v>
      </c>
      <c r="Q814" s="9" t="n">
        <v>148.47</v>
      </c>
      <c r="R814" s="9" t="n">
        <v>95.67</v>
      </c>
      <c r="S814" s="9" t="n">
        <v>52.8</v>
      </c>
      <c r="T814" s="10" t="n">
        <v>0.3556</v>
      </c>
    </row>
    <row r="815">
      <c r="A815" s="7" t="inlineStr">
        <is>
          <t>ORD-2024-1522</t>
        </is>
      </c>
      <c r="B815" s="7" t="inlineStr">
        <is>
          <t>2024-11-18</t>
        </is>
      </c>
      <c r="C815" s="7" t="inlineStr">
        <is>
          <t>OFF-BIN-005</t>
        </is>
      </c>
      <c r="D815" s="7" t="inlineStr">
        <is>
          <t>Heavy-Duty D-Ring Presentation Binder (6-Pk)</t>
        </is>
      </c>
      <c r="E815" s="7" t="inlineStr">
        <is>
          <t>Office Supplies</t>
        </is>
      </c>
      <c r="F815" s="7" t="inlineStr">
        <is>
          <t>Binders &amp; Fasteners</t>
        </is>
      </c>
      <c r="G815" s="7" t="inlineStr">
        <is>
          <t>East</t>
        </is>
      </c>
      <c r="H815" s="7" t="inlineStr">
        <is>
          <t>Pennsylvania</t>
        </is>
      </c>
      <c r="I815" s="7" t="inlineStr">
        <is>
          <t>Retail Partner</t>
        </is>
      </c>
      <c r="J815" s="7" t="inlineStr">
        <is>
          <t>Corporate</t>
        </is>
      </c>
      <c r="K815" s="8" t="n">
        <v>6</v>
      </c>
      <c r="L815" s="9" t="n">
        <v>27.99</v>
      </c>
      <c r="M815" s="10" t="n">
        <v>0.05</v>
      </c>
      <c r="N815" s="9" t="n">
        <v>13.99</v>
      </c>
      <c r="O815" s="9" t="n">
        <v>167.94</v>
      </c>
      <c r="P815" s="9" t="n">
        <v>8.4</v>
      </c>
      <c r="Q815" s="9" t="n">
        <v>159.54</v>
      </c>
      <c r="R815" s="9" t="n">
        <v>83.94</v>
      </c>
      <c r="S815" s="9" t="n">
        <v>75.59999999999999</v>
      </c>
      <c r="T815" s="10" t="n">
        <v>0.4739</v>
      </c>
    </row>
    <row r="816">
      <c r="A816" s="7" t="inlineStr">
        <is>
          <t>ORD-2024-1522</t>
        </is>
      </c>
      <c r="B816" s="7" t="inlineStr">
        <is>
          <t>2024-11-18</t>
        </is>
      </c>
      <c r="C816" s="7" t="inlineStr">
        <is>
          <t>TEC-ACC-005</t>
        </is>
      </c>
      <c r="D816" s="7" t="inlineStr">
        <is>
          <t>UltraWireless Noise-Canceling Headset</t>
        </is>
      </c>
      <c r="E816" s="7" t="inlineStr">
        <is>
          <t>Technology</t>
        </is>
      </c>
      <c r="F816" s="7" t="inlineStr">
        <is>
          <t>Audio &amp; Accessories</t>
        </is>
      </c>
      <c r="G816" s="7" t="inlineStr">
        <is>
          <t>East</t>
        </is>
      </c>
      <c r="H816" s="7" t="inlineStr">
        <is>
          <t>Pennsylvania</t>
        </is>
      </c>
      <c r="I816" s="7" t="inlineStr">
        <is>
          <t>Retail Partner</t>
        </is>
      </c>
      <c r="J816" s="7" t="inlineStr">
        <is>
          <t>Corporate</t>
        </is>
      </c>
      <c r="K816" s="8" t="n">
        <v>3</v>
      </c>
      <c r="L816" s="9" t="n">
        <v>179.99</v>
      </c>
      <c r="M816" s="10" t="n">
        <v>0</v>
      </c>
      <c r="N816" s="9" t="n">
        <v>111.59</v>
      </c>
      <c r="O816" s="9" t="n">
        <v>539.97</v>
      </c>
      <c r="P816" s="9" t="n">
        <v>0</v>
      </c>
      <c r="Q816" s="9" t="n">
        <v>539.97</v>
      </c>
      <c r="R816" s="9" t="n">
        <v>334.77</v>
      </c>
      <c r="S816" s="9" t="n">
        <v>205.2</v>
      </c>
      <c r="T816" s="10" t="n">
        <v>0.38</v>
      </c>
    </row>
    <row r="817">
      <c r="A817" s="7" t="inlineStr">
        <is>
          <t>ORD-2024-1555</t>
        </is>
      </c>
      <c r="B817" s="7" t="inlineStr">
        <is>
          <t>2024-11-18</t>
        </is>
      </c>
      <c r="C817" s="7" t="inlineStr">
        <is>
          <t>FUR-LGT-006</t>
        </is>
      </c>
      <c r="D817" s="7" t="inlineStr">
        <is>
          <t>Architect LED Desk Task Lamp</t>
        </is>
      </c>
      <c r="E817" s="7" t="inlineStr">
        <is>
          <t>Furniture</t>
        </is>
      </c>
      <c r="F817" s="7" t="inlineStr">
        <is>
          <t>Lighting</t>
        </is>
      </c>
      <c r="G817" s="7" t="inlineStr">
        <is>
          <t>West</t>
        </is>
      </c>
      <c r="H817" s="7" t="inlineStr">
        <is>
          <t>Colorado</t>
        </is>
      </c>
      <c r="I817" s="7" t="inlineStr">
        <is>
          <t>Online</t>
        </is>
      </c>
      <c r="J817" s="7" t="inlineStr">
        <is>
          <t>Consumer</t>
        </is>
      </c>
      <c r="K817" s="8" t="n">
        <v>2</v>
      </c>
      <c r="L817" s="9" t="n">
        <v>69.98999999999999</v>
      </c>
      <c r="M817" s="10" t="n">
        <v>0</v>
      </c>
      <c r="N817" s="9" t="n">
        <v>43.39</v>
      </c>
      <c r="O817" s="9" t="n">
        <v>139.98</v>
      </c>
      <c r="P817" s="9" t="n">
        <v>0</v>
      </c>
      <c r="Q817" s="9" t="n">
        <v>139.98</v>
      </c>
      <c r="R817" s="9" t="n">
        <v>86.78</v>
      </c>
      <c r="S817" s="9" t="n">
        <v>53.2</v>
      </c>
      <c r="T817" s="10" t="n">
        <v>0.3801</v>
      </c>
    </row>
    <row r="818">
      <c r="A818" s="7" t="inlineStr">
        <is>
          <t>ORD-2024-1558</t>
        </is>
      </c>
      <c r="B818" s="7" t="inlineStr">
        <is>
          <t>2024-11-18</t>
        </is>
      </c>
      <c r="C818" s="7" t="inlineStr">
        <is>
          <t>TEC-LAP-002</t>
        </is>
      </c>
      <c r="D818" s="7" t="inlineStr">
        <is>
          <t>Apex Gaming Laptop 17"</t>
        </is>
      </c>
      <c r="E818" s="7" t="inlineStr">
        <is>
          <t>Technology</t>
        </is>
      </c>
      <c r="F818" s="7" t="inlineStr">
        <is>
          <t>Laptops</t>
        </is>
      </c>
      <c r="G818" s="7" t="inlineStr">
        <is>
          <t>West</t>
        </is>
      </c>
      <c r="H818" s="7" t="inlineStr">
        <is>
          <t>Washington</t>
        </is>
      </c>
      <c r="I818" s="7" t="inlineStr">
        <is>
          <t>Direct Sales</t>
        </is>
      </c>
      <c r="J818" s="7" t="inlineStr">
        <is>
          <t>Corporate</t>
        </is>
      </c>
      <c r="K818" s="8" t="n">
        <v>4</v>
      </c>
      <c r="L818" s="9" t="n">
        <v>1499.99</v>
      </c>
      <c r="M818" s="10" t="n">
        <v>0.2</v>
      </c>
      <c r="N818" s="9" t="n">
        <v>1259.99</v>
      </c>
      <c r="O818" s="9" t="n">
        <v>5999.96</v>
      </c>
      <c r="P818" s="9" t="n">
        <v>1199.99</v>
      </c>
      <c r="Q818" s="9" t="n">
        <v>4799.97</v>
      </c>
      <c r="R818" s="9" t="n">
        <v>5039.96</v>
      </c>
      <c r="S818" s="9" t="n">
        <v>-239.99</v>
      </c>
      <c r="T818" s="10" t="n">
        <v>-0.05</v>
      </c>
    </row>
    <row r="819">
      <c r="A819" s="7" t="inlineStr">
        <is>
          <t>ORD-2024-1564</t>
        </is>
      </c>
      <c r="B819" s="7" t="inlineStr">
        <is>
          <t>2024-11-18</t>
        </is>
      </c>
      <c r="C819" s="7" t="inlineStr">
        <is>
          <t>FUR-CHA-002</t>
        </is>
      </c>
      <c r="D819" s="7" t="inlineStr">
        <is>
          <t>AeroTask Operator Task Chair</t>
        </is>
      </c>
      <c r="E819" s="7" t="inlineStr">
        <is>
          <t>Furniture</t>
        </is>
      </c>
      <c r="F819" s="7" t="inlineStr">
        <is>
          <t>Chairs</t>
        </is>
      </c>
      <c r="G819" s="7" t="inlineStr">
        <is>
          <t>West</t>
        </is>
      </c>
      <c r="H819" s="7" t="inlineStr">
        <is>
          <t>Oregon</t>
        </is>
      </c>
      <c r="I819" s="7" t="inlineStr">
        <is>
          <t>Online</t>
        </is>
      </c>
      <c r="J819" s="7" t="inlineStr">
        <is>
          <t>Home Office</t>
        </is>
      </c>
      <c r="K819" s="8" t="n">
        <v>4</v>
      </c>
      <c r="L819" s="9" t="n">
        <v>219.99</v>
      </c>
      <c r="M819" s="10" t="n">
        <v>0.05</v>
      </c>
      <c r="N819" s="9" t="n">
        <v>171.59</v>
      </c>
      <c r="O819" s="9" t="n">
        <v>879.96</v>
      </c>
      <c r="P819" s="9" t="n">
        <v>44</v>
      </c>
      <c r="Q819" s="9" t="n">
        <v>835.96</v>
      </c>
      <c r="R819" s="9" t="n">
        <v>686.36</v>
      </c>
      <c r="S819" s="9" t="n">
        <v>149.6</v>
      </c>
      <c r="T819" s="10" t="n">
        <v>0.179</v>
      </c>
    </row>
    <row r="820">
      <c r="A820" s="7" t="inlineStr">
        <is>
          <t>ORD-2024-1613</t>
        </is>
      </c>
      <c r="B820" s="7" t="inlineStr">
        <is>
          <t>2024-11-18</t>
        </is>
      </c>
      <c r="C820" s="7" t="inlineStr">
        <is>
          <t>TEC-TAB-004</t>
        </is>
      </c>
      <c r="D820" s="7" t="inlineStr">
        <is>
          <t>VisionPad Lite 8.5"</t>
        </is>
      </c>
      <c r="E820" s="7" t="inlineStr">
        <is>
          <t>Technology</t>
        </is>
      </c>
      <c r="F820" s="7" t="inlineStr">
        <is>
          <t>Phones &amp; Tablets</t>
        </is>
      </c>
      <c r="G820" s="7" t="inlineStr">
        <is>
          <t>West</t>
        </is>
      </c>
      <c r="H820" s="7" t="inlineStr">
        <is>
          <t>Colorado</t>
        </is>
      </c>
      <c r="I820" s="7" t="inlineStr">
        <is>
          <t>Retail Partner</t>
        </is>
      </c>
      <c r="J820" s="7" t="inlineStr">
        <is>
          <t>Corporate</t>
        </is>
      </c>
      <c r="K820" s="8" t="n">
        <v>2</v>
      </c>
      <c r="L820" s="9" t="n">
        <v>299.99</v>
      </c>
      <c r="M820" s="10" t="n">
        <v>0.05</v>
      </c>
      <c r="N820" s="9" t="n">
        <v>245.99</v>
      </c>
      <c r="O820" s="9" t="n">
        <v>599.98</v>
      </c>
      <c r="P820" s="9" t="n">
        <v>30</v>
      </c>
      <c r="Q820" s="9" t="n">
        <v>569.98</v>
      </c>
      <c r="R820" s="9" t="n">
        <v>491.98</v>
      </c>
      <c r="S820" s="9" t="n">
        <v>78</v>
      </c>
      <c r="T820" s="10" t="n">
        <v>0.1368</v>
      </c>
    </row>
    <row r="821">
      <c r="A821" s="7" t="inlineStr">
        <is>
          <t>ORD-2024-1613</t>
        </is>
      </c>
      <c r="B821" s="7" t="inlineStr">
        <is>
          <t>2024-11-18</t>
        </is>
      </c>
      <c r="C821" s="7" t="inlineStr">
        <is>
          <t>TEC-TAB-003</t>
        </is>
      </c>
      <c r="D821" s="7" t="inlineStr">
        <is>
          <t>VisionPad Pro 11"</t>
        </is>
      </c>
      <c r="E821" s="7" t="inlineStr">
        <is>
          <t>Technology</t>
        </is>
      </c>
      <c r="F821" s="7" t="inlineStr">
        <is>
          <t>Phones &amp; Tablets</t>
        </is>
      </c>
      <c r="G821" s="7" t="inlineStr">
        <is>
          <t>West</t>
        </is>
      </c>
      <c r="H821" s="7" t="inlineStr">
        <is>
          <t>Colorado</t>
        </is>
      </c>
      <c r="I821" s="7" t="inlineStr">
        <is>
          <t>Retail Partner</t>
        </is>
      </c>
      <c r="J821" s="7" t="inlineStr">
        <is>
          <t>Corporate</t>
        </is>
      </c>
      <c r="K821" s="8" t="n">
        <v>4</v>
      </c>
      <c r="L821" s="9" t="n">
        <v>649.99</v>
      </c>
      <c r="M821" s="10" t="n">
        <v>0.05</v>
      </c>
      <c r="N821" s="9" t="n">
        <v>487.49</v>
      </c>
      <c r="O821" s="9" t="n">
        <v>2599.96</v>
      </c>
      <c r="P821" s="9" t="n">
        <v>130</v>
      </c>
      <c r="Q821" s="9" t="n">
        <v>2469.96</v>
      </c>
      <c r="R821" s="9" t="n">
        <v>1949.96</v>
      </c>
      <c r="S821" s="9" t="n">
        <v>520</v>
      </c>
      <c r="T821" s="10" t="n">
        <v>0.2105</v>
      </c>
    </row>
    <row r="822">
      <c r="A822" s="7" t="inlineStr">
        <is>
          <t>ORD-2024-1012</t>
        </is>
      </c>
      <c r="B822" s="7" t="inlineStr">
        <is>
          <t>2024-11-19</t>
        </is>
      </c>
      <c r="C822" s="7" t="inlineStr">
        <is>
          <t>TEC-TAB-003</t>
        </is>
      </c>
      <c r="D822" s="7" t="inlineStr">
        <is>
          <t>VisionPad Pro 11"</t>
        </is>
      </c>
      <c r="E822" s="7" t="inlineStr">
        <is>
          <t>Technology</t>
        </is>
      </c>
      <c r="F822" s="7" t="inlineStr">
        <is>
          <t>Phones &amp; Tablets</t>
        </is>
      </c>
      <c r="G822" s="7" t="inlineStr">
        <is>
          <t>Central</t>
        </is>
      </c>
      <c r="H822" s="7" t="inlineStr">
        <is>
          <t>Texas</t>
        </is>
      </c>
      <c r="I822" s="7" t="inlineStr">
        <is>
          <t>Retail Partner</t>
        </is>
      </c>
      <c r="J822" s="7" t="inlineStr">
        <is>
          <t>Corporate</t>
        </is>
      </c>
      <c r="K822" s="8" t="n">
        <v>2</v>
      </c>
      <c r="L822" s="9" t="n">
        <v>649.99</v>
      </c>
      <c r="M822" s="10" t="n">
        <v>0.05</v>
      </c>
      <c r="N822" s="9" t="n">
        <v>487.49</v>
      </c>
      <c r="O822" s="9" t="n">
        <v>1299.98</v>
      </c>
      <c r="P822" s="9" t="n">
        <v>65</v>
      </c>
      <c r="Q822" s="9" t="n">
        <v>1234.98</v>
      </c>
      <c r="R822" s="9" t="n">
        <v>974.98</v>
      </c>
      <c r="S822" s="9" t="n">
        <v>260</v>
      </c>
      <c r="T822" s="10" t="n">
        <v>0.2105</v>
      </c>
    </row>
    <row r="823">
      <c r="A823" s="7" t="inlineStr">
        <is>
          <t>ORD-2024-1568</t>
        </is>
      </c>
      <c r="B823" s="7" t="inlineStr">
        <is>
          <t>2024-11-19</t>
        </is>
      </c>
      <c r="C823" s="7" t="inlineStr">
        <is>
          <t>TEC-ACC-005</t>
        </is>
      </c>
      <c r="D823" s="7" t="inlineStr">
        <is>
          <t>UltraWireless Noise-Canceling Headset</t>
        </is>
      </c>
      <c r="E823" s="7" t="inlineStr">
        <is>
          <t>Technology</t>
        </is>
      </c>
      <c r="F823" s="7" t="inlineStr">
        <is>
          <t>Audio &amp; Accessories</t>
        </is>
      </c>
      <c r="G823" s="7" t="inlineStr">
        <is>
          <t>East</t>
        </is>
      </c>
      <c r="H823" s="7" t="inlineStr">
        <is>
          <t>Pennsylvania</t>
        </is>
      </c>
      <c r="I823" s="7" t="inlineStr">
        <is>
          <t>Online</t>
        </is>
      </c>
      <c r="J823" s="7" t="inlineStr">
        <is>
          <t>Corporate</t>
        </is>
      </c>
      <c r="K823" s="8" t="n">
        <v>2</v>
      </c>
      <c r="L823" s="9" t="n">
        <v>179.99</v>
      </c>
      <c r="M823" s="10" t="n">
        <v>0.1</v>
      </c>
      <c r="N823" s="9" t="n">
        <v>111.59</v>
      </c>
      <c r="O823" s="9" t="n">
        <v>359.98</v>
      </c>
      <c r="P823" s="9" t="n">
        <v>36</v>
      </c>
      <c r="Q823" s="9" t="n">
        <v>323.98</v>
      </c>
      <c r="R823" s="9" t="n">
        <v>223.18</v>
      </c>
      <c r="S823" s="9" t="n">
        <v>100.8</v>
      </c>
      <c r="T823" s="10" t="n">
        <v>0.3111</v>
      </c>
    </row>
    <row r="824">
      <c r="A824" s="7" t="inlineStr">
        <is>
          <t>ORD-2024-1568</t>
        </is>
      </c>
      <c r="B824" s="7" t="inlineStr">
        <is>
          <t>2024-11-19</t>
        </is>
      </c>
      <c r="C824" s="7" t="inlineStr">
        <is>
          <t>FUR-CHA-001</t>
        </is>
      </c>
      <c r="D824" s="7" t="inlineStr">
        <is>
          <t>ErgoFlex Executive Mesh Chair</t>
        </is>
      </c>
      <c r="E824" s="7" t="inlineStr">
        <is>
          <t>Furniture</t>
        </is>
      </c>
      <c r="F824" s="7" t="inlineStr">
        <is>
          <t>Chairs</t>
        </is>
      </c>
      <c r="G824" s="7" t="inlineStr">
        <is>
          <t>East</t>
        </is>
      </c>
      <c r="H824" s="7" t="inlineStr">
        <is>
          <t>Pennsylvania</t>
        </is>
      </c>
      <c r="I824" s="7" t="inlineStr">
        <is>
          <t>Online</t>
        </is>
      </c>
      <c r="J824" s="7" t="inlineStr">
        <is>
          <t>Corporate</t>
        </is>
      </c>
      <c r="K824" s="8" t="n">
        <v>6</v>
      </c>
      <c r="L824" s="9" t="n">
        <v>389.99</v>
      </c>
      <c r="M824" s="10" t="n">
        <v>0.05</v>
      </c>
      <c r="N824" s="9" t="n">
        <v>331.49</v>
      </c>
      <c r="O824" s="9" t="n">
        <v>2339.94</v>
      </c>
      <c r="P824" s="9" t="n">
        <v>117</v>
      </c>
      <c r="Q824" s="9" t="n">
        <v>2222.94</v>
      </c>
      <c r="R824" s="9" t="n">
        <v>1988.94</v>
      </c>
      <c r="S824" s="9" t="n">
        <v>234</v>
      </c>
      <c r="T824" s="10" t="n">
        <v>0.1053</v>
      </c>
    </row>
    <row r="825">
      <c r="A825" s="7" t="inlineStr">
        <is>
          <t>ORD-2024-1085</t>
        </is>
      </c>
      <c r="B825" s="7" t="inlineStr">
        <is>
          <t>2024-11-20</t>
        </is>
      </c>
      <c r="C825" s="7" t="inlineStr">
        <is>
          <t>TEC-ACC-008</t>
        </is>
      </c>
      <c r="D825" s="7" t="inlineStr">
        <is>
          <t>Precision Laser Bluetooth Mouse</t>
        </is>
      </c>
      <c r="E825" s="7" t="inlineStr">
        <is>
          <t>Technology</t>
        </is>
      </c>
      <c r="F825" s="7" t="inlineStr">
        <is>
          <t>Audio &amp; Accessories</t>
        </is>
      </c>
      <c r="G825" s="7" t="inlineStr">
        <is>
          <t>East</t>
        </is>
      </c>
      <c r="H825" s="7" t="inlineStr">
        <is>
          <t>Pennsylvania</t>
        </is>
      </c>
      <c r="I825" s="7" t="inlineStr">
        <is>
          <t>Retail Partner</t>
        </is>
      </c>
      <c r="J825" s="7" t="inlineStr">
        <is>
          <t>Corporate</t>
        </is>
      </c>
      <c r="K825" s="8" t="n">
        <v>8</v>
      </c>
      <c r="L825" s="9" t="n">
        <v>49.99</v>
      </c>
      <c r="M825" s="10" t="n">
        <v>0.15</v>
      </c>
      <c r="N825" s="9" t="n">
        <v>27.49</v>
      </c>
      <c r="O825" s="9" t="n">
        <v>399.92</v>
      </c>
      <c r="P825" s="9" t="n">
        <v>59.99</v>
      </c>
      <c r="Q825" s="9" t="n">
        <v>339.93</v>
      </c>
      <c r="R825" s="9" t="n">
        <v>219.92</v>
      </c>
      <c r="S825" s="9" t="n">
        <v>120.01</v>
      </c>
      <c r="T825" s="10" t="n">
        <v>0.353</v>
      </c>
    </row>
    <row r="826">
      <c r="A826" s="7" t="inlineStr">
        <is>
          <t>ORD-2024-1309</t>
        </is>
      </c>
      <c r="B826" s="7" t="inlineStr">
        <is>
          <t>2024-11-20</t>
        </is>
      </c>
      <c r="C826" s="7" t="inlineStr">
        <is>
          <t>TEC-LAP-001</t>
        </is>
      </c>
      <c r="D826" s="7" t="inlineStr">
        <is>
          <t>ProBook Elite 15.6"</t>
        </is>
      </c>
      <c r="E826" s="7" t="inlineStr">
        <is>
          <t>Technology</t>
        </is>
      </c>
      <c r="F826" s="7" t="inlineStr">
        <is>
          <t>Laptops</t>
        </is>
      </c>
      <c r="G826" s="7" t="inlineStr">
        <is>
          <t>West</t>
        </is>
      </c>
      <c r="H826" s="7" t="inlineStr">
        <is>
          <t>Oregon</t>
        </is>
      </c>
      <c r="I826" s="7" t="inlineStr">
        <is>
          <t>Direct Sales</t>
        </is>
      </c>
      <c r="J826" s="7" t="inlineStr">
        <is>
          <t>Consumer</t>
        </is>
      </c>
      <c r="K826" s="8" t="n">
        <v>2</v>
      </c>
      <c r="L826" s="9" t="n">
        <v>1199.99</v>
      </c>
      <c r="M826" s="10" t="n">
        <v>0</v>
      </c>
      <c r="N826" s="9" t="n">
        <v>863.99</v>
      </c>
      <c r="O826" s="9" t="n">
        <v>2399.98</v>
      </c>
      <c r="P826" s="9" t="n">
        <v>0</v>
      </c>
      <c r="Q826" s="9" t="n">
        <v>2399.98</v>
      </c>
      <c r="R826" s="9" t="n">
        <v>1727.98</v>
      </c>
      <c r="S826" s="9" t="n">
        <v>672</v>
      </c>
      <c r="T826" s="10" t="n">
        <v>0.28</v>
      </c>
    </row>
    <row r="827">
      <c r="A827" s="7" t="inlineStr">
        <is>
          <t>ORD-2024-1309</t>
        </is>
      </c>
      <c r="B827" s="7" t="inlineStr">
        <is>
          <t>2024-11-20</t>
        </is>
      </c>
      <c r="C827" s="7" t="inlineStr">
        <is>
          <t>FUR-CHA-001</t>
        </is>
      </c>
      <c r="D827" s="7" t="inlineStr">
        <is>
          <t>ErgoFlex Executive Mesh Chair</t>
        </is>
      </c>
      <c r="E827" s="7" t="inlineStr">
        <is>
          <t>Furniture</t>
        </is>
      </c>
      <c r="F827" s="7" t="inlineStr">
        <is>
          <t>Chairs</t>
        </is>
      </c>
      <c r="G827" s="7" t="inlineStr">
        <is>
          <t>West</t>
        </is>
      </c>
      <c r="H827" s="7" t="inlineStr">
        <is>
          <t>Oregon</t>
        </is>
      </c>
      <c r="I827" s="7" t="inlineStr">
        <is>
          <t>Direct Sales</t>
        </is>
      </c>
      <c r="J827" s="7" t="inlineStr">
        <is>
          <t>Consumer</t>
        </is>
      </c>
      <c r="K827" s="8" t="n">
        <v>3</v>
      </c>
      <c r="L827" s="9" t="n">
        <v>389.99</v>
      </c>
      <c r="M827" s="10" t="n">
        <v>0.1</v>
      </c>
      <c r="N827" s="9" t="n">
        <v>331.49</v>
      </c>
      <c r="O827" s="9" t="n">
        <v>1169.97</v>
      </c>
      <c r="P827" s="9" t="n">
        <v>117</v>
      </c>
      <c r="Q827" s="9" t="n">
        <v>1052.97</v>
      </c>
      <c r="R827" s="9" t="n">
        <v>994.47</v>
      </c>
      <c r="S827" s="9" t="n">
        <v>58.5</v>
      </c>
      <c r="T827" s="10" t="n">
        <v>0.0556</v>
      </c>
    </row>
    <row r="828">
      <c r="A828" s="7" t="inlineStr">
        <is>
          <t>ORD-2024-1309</t>
        </is>
      </c>
      <c r="B828" s="7" t="inlineStr">
        <is>
          <t>2024-11-20</t>
        </is>
      </c>
      <c r="C828" s="7" t="inlineStr">
        <is>
          <t>FUR-DSK-003</t>
        </is>
      </c>
      <c r="D828" s="7" t="inlineStr">
        <is>
          <t>ApexMotor Dual-Motor Standing Desk</t>
        </is>
      </c>
      <c r="E828" s="7" t="inlineStr">
        <is>
          <t>Furniture</t>
        </is>
      </c>
      <c r="F828" s="7" t="inlineStr">
        <is>
          <t>Desks &amp; Workstations</t>
        </is>
      </c>
      <c r="G828" s="7" t="inlineStr">
        <is>
          <t>West</t>
        </is>
      </c>
      <c r="H828" s="7" t="inlineStr">
        <is>
          <t>Oregon</t>
        </is>
      </c>
      <c r="I828" s="7" t="inlineStr">
        <is>
          <t>Direct Sales</t>
        </is>
      </c>
      <c r="J828" s="7" t="inlineStr">
        <is>
          <t>Consumer</t>
        </is>
      </c>
      <c r="K828" s="8" t="n">
        <v>3</v>
      </c>
      <c r="L828" s="9" t="n">
        <v>549.99</v>
      </c>
      <c r="M828" s="10" t="n">
        <v>0.15</v>
      </c>
      <c r="N828" s="9" t="n">
        <v>439.99</v>
      </c>
      <c r="O828" s="9" t="n">
        <v>1649.97</v>
      </c>
      <c r="P828" s="9" t="n">
        <v>247.5</v>
      </c>
      <c r="Q828" s="9" t="n">
        <v>1402.47</v>
      </c>
      <c r="R828" s="9" t="n">
        <v>1319.97</v>
      </c>
      <c r="S828" s="9" t="n">
        <v>82.5</v>
      </c>
      <c r="T828" s="10" t="n">
        <v>0.0588</v>
      </c>
    </row>
    <row r="829">
      <c r="A829" s="7" t="inlineStr">
        <is>
          <t>ORD-2024-1079</t>
        </is>
      </c>
      <c r="B829" s="7" t="inlineStr">
        <is>
          <t>2024-11-21</t>
        </is>
      </c>
      <c r="C829" s="7" t="inlineStr">
        <is>
          <t>TEC-ACC-006</t>
        </is>
      </c>
      <c r="D829" s="7" t="inlineStr">
        <is>
          <t>MultiPort Thunderbolt 4 Dock</t>
        </is>
      </c>
      <c r="E829" s="7" t="inlineStr">
        <is>
          <t>Technology</t>
        </is>
      </c>
      <c r="F829" s="7" t="inlineStr">
        <is>
          <t>Audio &amp; Accessories</t>
        </is>
      </c>
      <c r="G829" s="7" t="inlineStr">
        <is>
          <t>East</t>
        </is>
      </c>
      <c r="H829" s="7" t="inlineStr">
        <is>
          <t>Massachusetts</t>
        </is>
      </c>
      <c r="I829" s="7" t="inlineStr">
        <is>
          <t>Online</t>
        </is>
      </c>
      <c r="J829" s="7" t="inlineStr">
        <is>
          <t>Home Office</t>
        </is>
      </c>
      <c r="K829" s="8" t="n">
        <v>4</v>
      </c>
      <c r="L829" s="9" t="n">
        <v>149.99</v>
      </c>
      <c r="M829" s="10" t="n">
        <v>0</v>
      </c>
      <c r="N829" s="9" t="n">
        <v>98.98999999999999</v>
      </c>
      <c r="O829" s="9" t="n">
        <v>599.96</v>
      </c>
      <c r="P829" s="9" t="n">
        <v>0</v>
      </c>
      <c r="Q829" s="9" t="n">
        <v>599.96</v>
      </c>
      <c r="R829" s="9" t="n">
        <v>395.96</v>
      </c>
      <c r="S829" s="9" t="n">
        <v>204</v>
      </c>
      <c r="T829" s="10" t="n">
        <v>0.34</v>
      </c>
    </row>
    <row r="830">
      <c r="A830" s="7" t="inlineStr">
        <is>
          <t>ORD-2024-1079</t>
        </is>
      </c>
      <c r="B830" s="7" t="inlineStr">
        <is>
          <t>2024-11-21</t>
        </is>
      </c>
      <c r="C830" s="7" t="inlineStr">
        <is>
          <t>OFF-PAP-004</t>
        </is>
      </c>
      <c r="D830" s="7" t="inlineStr">
        <is>
          <t>EcoRecycled Copy Paper (5 Reams)</t>
        </is>
      </c>
      <c r="E830" s="7" t="inlineStr">
        <is>
          <t>Office Supplies</t>
        </is>
      </c>
      <c r="F830" s="7" t="inlineStr">
        <is>
          <t>Paper Products</t>
        </is>
      </c>
      <c r="G830" s="7" t="inlineStr">
        <is>
          <t>East</t>
        </is>
      </c>
      <c r="H830" s="7" t="inlineStr">
        <is>
          <t>Massachusetts</t>
        </is>
      </c>
      <c r="I830" s="7" t="inlineStr">
        <is>
          <t>Online</t>
        </is>
      </c>
      <c r="J830" s="7" t="inlineStr">
        <is>
          <t>Home Office</t>
        </is>
      </c>
      <c r="K830" s="8" t="n">
        <v>4</v>
      </c>
      <c r="L830" s="9" t="n">
        <v>32.99</v>
      </c>
      <c r="M830" s="10" t="n">
        <v>0</v>
      </c>
      <c r="N830" s="9" t="n">
        <v>19.79</v>
      </c>
      <c r="O830" s="9" t="n">
        <v>131.96</v>
      </c>
      <c r="P830" s="9" t="n">
        <v>0</v>
      </c>
      <c r="Q830" s="9" t="n">
        <v>131.96</v>
      </c>
      <c r="R830" s="9" t="n">
        <v>79.16</v>
      </c>
      <c r="S830" s="9" t="n">
        <v>52.8</v>
      </c>
      <c r="T830" s="10" t="n">
        <v>0.4001</v>
      </c>
    </row>
    <row r="831">
      <c r="A831" s="7" t="inlineStr">
        <is>
          <t>ORD-2024-1237</t>
        </is>
      </c>
      <c r="B831" s="7" t="inlineStr">
        <is>
          <t>2024-11-21</t>
        </is>
      </c>
      <c r="C831" s="7" t="inlineStr">
        <is>
          <t>OFF-STR-001</t>
        </is>
      </c>
      <c r="D831" s="7" t="inlineStr">
        <is>
          <t>SteelLock 3-Drawer File Cabinet</t>
        </is>
      </c>
      <c r="E831" s="7" t="inlineStr">
        <is>
          <t>Office Supplies</t>
        </is>
      </c>
      <c r="F831" s="7" t="inlineStr">
        <is>
          <t>Storage &amp; Organizers</t>
        </is>
      </c>
      <c r="G831" s="7" t="inlineStr">
        <is>
          <t>Central</t>
        </is>
      </c>
      <c r="H831" s="7" t="inlineStr">
        <is>
          <t>Illinois</t>
        </is>
      </c>
      <c r="I831" s="7" t="inlineStr">
        <is>
          <t>Retail Partner</t>
        </is>
      </c>
      <c r="J831" s="7" t="inlineStr">
        <is>
          <t>Home Office</t>
        </is>
      </c>
      <c r="K831" s="8" t="n">
        <v>2</v>
      </c>
      <c r="L831" s="9" t="n">
        <v>169.99</v>
      </c>
      <c r="M831" s="10" t="n">
        <v>0</v>
      </c>
      <c r="N831" s="9" t="n">
        <v>115.59</v>
      </c>
      <c r="O831" s="9" t="n">
        <v>339.98</v>
      </c>
      <c r="P831" s="9" t="n">
        <v>0</v>
      </c>
      <c r="Q831" s="9" t="n">
        <v>339.98</v>
      </c>
      <c r="R831" s="9" t="n">
        <v>231.18</v>
      </c>
      <c r="S831" s="9" t="n">
        <v>108.8</v>
      </c>
      <c r="T831" s="10" t="n">
        <v>0.32</v>
      </c>
    </row>
    <row r="832">
      <c r="A832" s="7" t="inlineStr">
        <is>
          <t>ORD-2024-1436</t>
        </is>
      </c>
      <c r="B832" s="7" t="inlineStr">
        <is>
          <t>2024-11-21</t>
        </is>
      </c>
      <c r="C832" s="7" t="inlineStr">
        <is>
          <t>TEC-ACC-005</t>
        </is>
      </c>
      <c r="D832" s="7" t="inlineStr">
        <is>
          <t>UltraWireless Noise-Canceling Headset</t>
        </is>
      </c>
      <c r="E832" s="7" t="inlineStr">
        <is>
          <t>Technology</t>
        </is>
      </c>
      <c r="F832" s="7" t="inlineStr">
        <is>
          <t>Audio &amp; Accessories</t>
        </is>
      </c>
      <c r="G832" s="7" t="inlineStr">
        <is>
          <t>South</t>
        </is>
      </c>
      <c r="H832" s="7" t="inlineStr">
        <is>
          <t>North Carolina</t>
        </is>
      </c>
      <c r="I832" s="7" t="inlineStr">
        <is>
          <t>Retail Partner</t>
        </is>
      </c>
      <c r="J832" s="7" t="inlineStr">
        <is>
          <t>Home Office</t>
        </is>
      </c>
      <c r="K832" s="8" t="n">
        <v>3</v>
      </c>
      <c r="L832" s="9" t="n">
        <v>179.99</v>
      </c>
      <c r="M832" s="10" t="n">
        <v>0.2</v>
      </c>
      <c r="N832" s="9" t="n">
        <v>111.59</v>
      </c>
      <c r="O832" s="9" t="n">
        <v>539.97</v>
      </c>
      <c r="P832" s="9" t="n">
        <v>107.99</v>
      </c>
      <c r="Q832" s="9" t="n">
        <v>431.98</v>
      </c>
      <c r="R832" s="9" t="n">
        <v>334.77</v>
      </c>
      <c r="S832" s="9" t="n">
        <v>97.20999999999999</v>
      </c>
      <c r="T832" s="10" t="n">
        <v>0.225</v>
      </c>
    </row>
    <row r="833">
      <c r="A833" s="7" t="inlineStr">
        <is>
          <t>ORD-2024-1550</t>
        </is>
      </c>
      <c r="B833" s="7" t="inlineStr">
        <is>
          <t>2024-11-21</t>
        </is>
      </c>
      <c r="C833" s="7" t="inlineStr">
        <is>
          <t>OFF-PAP-004</t>
        </is>
      </c>
      <c r="D833" s="7" t="inlineStr">
        <is>
          <t>EcoRecycled Copy Paper (5 Reams)</t>
        </is>
      </c>
      <c r="E833" s="7" t="inlineStr">
        <is>
          <t>Office Supplies</t>
        </is>
      </c>
      <c r="F833" s="7" t="inlineStr">
        <is>
          <t>Paper Products</t>
        </is>
      </c>
      <c r="G833" s="7" t="inlineStr">
        <is>
          <t>West</t>
        </is>
      </c>
      <c r="H833" s="7" t="inlineStr">
        <is>
          <t>Colorado</t>
        </is>
      </c>
      <c r="I833" s="7" t="inlineStr">
        <is>
          <t>Retail Partner</t>
        </is>
      </c>
      <c r="J833" s="7" t="inlineStr">
        <is>
          <t>Home Office</t>
        </is>
      </c>
      <c r="K833" s="8" t="n">
        <v>4</v>
      </c>
      <c r="L833" s="9" t="n">
        <v>32.99</v>
      </c>
      <c r="M833" s="10" t="n">
        <v>0.15</v>
      </c>
      <c r="N833" s="9" t="n">
        <v>19.79</v>
      </c>
      <c r="O833" s="9" t="n">
        <v>131.96</v>
      </c>
      <c r="P833" s="9" t="n">
        <v>19.79</v>
      </c>
      <c r="Q833" s="9" t="n">
        <v>112.17</v>
      </c>
      <c r="R833" s="9" t="n">
        <v>79.16</v>
      </c>
      <c r="S833" s="9" t="n">
        <v>33.01</v>
      </c>
      <c r="T833" s="10" t="n">
        <v>0.2943</v>
      </c>
    </row>
    <row r="834">
      <c r="A834" s="7" t="inlineStr">
        <is>
          <t>ORD-2024-1167</t>
        </is>
      </c>
      <c r="B834" s="7" t="inlineStr">
        <is>
          <t>2024-11-22</t>
        </is>
      </c>
      <c r="C834" s="7" t="inlineStr">
        <is>
          <t>OFF-STR-002</t>
        </is>
      </c>
      <c r="D834" s="7" t="inlineStr">
        <is>
          <t>Stackable Heavy-Duty Storage Bins (4-Pk)</t>
        </is>
      </c>
      <c r="E834" s="7" t="inlineStr">
        <is>
          <t>Office Supplies</t>
        </is>
      </c>
      <c r="F834" s="7" t="inlineStr">
        <is>
          <t>Storage &amp; Organizers</t>
        </is>
      </c>
      <c r="G834" s="7" t="inlineStr">
        <is>
          <t>West</t>
        </is>
      </c>
      <c r="H834" s="7" t="inlineStr">
        <is>
          <t>Oregon</t>
        </is>
      </c>
      <c r="I834" s="7" t="inlineStr">
        <is>
          <t>Online</t>
        </is>
      </c>
      <c r="J834" s="7" t="inlineStr">
        <is>
          <t>Consumer</t>
        </is>
      </c>
      <c r="K834" s="8" t="n">
        <v>3</v>
      </c>
      <c r="L834" s="9" t="n">
        <v>44.99</v>
      </c>
      <c r="M834" s="10" t="n">
        <v>0</v>
      </c>
      <c r="N834" s="9" t="n">
        <v>24.74</v>
      </c>
      <c r="O834" s="9" t="n">
        <v>134.97</v>
      </c>
      <c r="P834" s="9" t="n">
        <v>0</v>
      </c>
      <c r="Q834" s="9" t="n">
        <v>134.97</v>
      </c>
      <c r="R834" s="9" t="n">
        <v>74.22</v>
      </c>
      <c r="S834" s="9" t="n">
        <v>60.75</v>
      </c>
      <c r="T834" s="10" t="n">
        <v>0.4501</v>
      </c>
    </row>
    <row r="835">
      <c r="A835" s="7" t="inlineStr">
        <is>
          <t>ORD-2024-1271</t>
        </is>
      </c>
      <c r="B835" s="7" t="inlineStr">
        <is>
          <t>2024-11-22</t>
        </is>
      </c>
      <c r="C835" s="7" t="inlineStr">
        <is>
          <t>OFF-BIN-005</t>
        </is>
      </c>
      <c r="D835" s="7" t="inlineStr">
        <is>
          <t>Heavy-Duty D-Ring Presentation Binder (6-Pk)</t>
        </is>
      </c>
      <c r="E835" s="7" t="inlineStr">
        <is>
          <t>Office Supplies</t>
        </is>
      </c>
      <c r="F835" s="7" t="inlineStr">
        <is>
          <t>Binders &amp; Fasteners</t>
        </is>
      </c>
      <c r="G835" s="7" t="inlineStr">
        <is>
          <t>East</t>
        </is>
      </c>
      <c r="H835" s="7" t="inlineStr">
        <is>
          <t>New Jersey</t>
        </is>
      </c>
      <c r="I835" s="7" t="inlineStr">
        <is>
          <t>Online</t>
        </is>
      </c>
      <c r="J835" s="7" t="inlineStr">
        <is>
          <t>Corporate</t>
        </is>
      </c>
      <c r="K835" s="8" t="n">
        <v>7</v>
      </c>
      <c r="L835" s="9" t="n">
        <v>27.99</v>
      </c>
      <c r="M835" s="10" t="n">
        <v>0.05</v>
      </c>
      <c r="N835" s="9" t="n">
        <v>13.99</v>
      </c>
      <c r="O835" s="9" t="n">
        <v>195.93</v>
      </c>
      <c r="P835" s="9" t="n">
        <v>9.800000000000001</v>
      </c>
      <c r="Q835" s="9" t="n">
        <v>186.13</v>
      </c>
      <c r="R835" s="9" t="n">
        <v>97.93000000000001</v>
      </c>
      <c r="S835" s="9" t="n">
        <v>88.2</v>
      </c>
      <c r="T835" s="10" t="n">
        <v>0.4739</v>
      </c>
    </row>
    <row r="836">
      <c r="A836" s="7" t="inlineStr">
        <is>
          <t>ORD-2024-1515</t>
        </is>
      </c>
      <c r="B836" s="7" t="inlineStr">
        <is>
          <t>2024-11-22</t>
        </is>
      </c>
      <c r="C836" s="7" t="inlineStr">
        <is>
          <t>TEC-TAB-004</t>
        </is>
      </c>
      <c r="D836" s="7" t="inlineStr">
        <is>
          <t>VisionPad Lite 8.5"</t>
        </is>
      </c>
      <c r="E836" s="7" t="inlineStr">
        <is>
          <t>Technology</t>
        </is>
      </c>
      <c r="F836" s="7" t="inlineStr">
        <is>
          <t>Phones &amp; Tablets</t>
        </is>
      </c>
      <c r="G836" s="7" t="inlineStr">
        <is>
          <t>East</t>
        </is>
      </c>
      <c r="H836" s="7" t="inlineStr">
        <is>
          <t>Massachusetts</t>
        </is>
      </c>
      <c r="I836" s="7" t="inlineStr">
        <is>
          <t>Online</t>
        </is>
      </c>
      <c r="J836" s="7" t="inlineStr">
        <is>
          <t>Home Office</t>
        </is>
      </c>
      <c r="K836" s="8" t="n">
        <v>3</v>
      </c>
      <c r="L836" s="9" t="n">
        <v>299.99</v>
      </c>
      <c r="M836" s="10" t="n">
        <v>0.05</v>
      </c>
      <c r="N836" s="9" t="n">
        <v>245.99</v>
      </c>
      <c r="O836" s="9" t="n">
        <v>899.97</v>
      </c>
      <c r="P836" s="9" t="n">
        <v>45</v>
      </c>
      <c r="Q836" s="9" t="n">
        <v>854.97</v>
      </c>
      <c r="R836" s="9" t="n">
        <v>737.97</v>
      </c>
      <c r="S836" s="9" t="n">
        <v>117</v>
      </c>
      <c r="T836" s="10" t="n">
        <v>0.1368</v>
      </c>
    </row>
    <row r="837">
      <c r="A837" s="7" t="inlineStr">
        <is>
          <t>ORD-2024-1515</t>
        </is>
      </c>
      <c r="B837" s="7" t="inlineStr">
        <is>
          <t>2024-11-22</t>
        </is>
      </c>
      <c r="C837" s="7" t="inlineStr">
        <is>
          <t>FUR-DSK-004</t>
        </is>
      </c>
      <c r="D837" s="7" t="inlineStr">
        <is>
          <t>Metro Compact Corner Workstation</t>
        </is>
      </c>
      <c r="E837" s="7" t="inlineStr">
        <is>
          <t>Furniture</t>
        </is>
      </c>
      <c r="F837" s="7" t="inlineStr">
        <is>
          <t>Desks &amp; Workstations</t>
        </is>
      </c>
      <c r="G837" s="7" t="inlineStr">
        <is>
          <t>East</t>
        </is>
      </c>
      <c r="H837" s="7" t="inlineStr">
        <is>
          <t>Massachusetts</t>
        </is>
      </c>
      <c r="I837" s="7" t="inlineStr">
        <is>
          <t>Online</t>
        </is>
      </c>
      <c r="J837" s="7" t="inlineStr">
        <is>
          <t>Home Office</t>
        </is>
      </c>
      <c r="K837" s="8" t="n">
        <v>2</v>
      </c>
      <c r="L837" s="9" t="n">
        <v>329.99</v>
      </c>
      <c r="M837" s="10" t="n">
        <v>0</v>
      </c>
      <c r="N837" s="9" t="n">
        <v>250.79</v>
      </c>
      <c r="O837" s="9" t="n">
        <v>659.98</v>
      </c>
      <c r="P837" s="9" t="n">
        <v>0</v>
      </c>
      <c r="Q837" s="9" t="n">
        <v>659.98</v>
      </c>
      <c r="R837" s="9" t="n">
        <v>501.58</v>
      </c>
      <c r="S837" s="9" t="n">
        <v>158.4</v>
      </c>
      <c r="T837" s="10" t="n">
        <v>0.24</v>
      </c>
    </row>
    <row r="838">
      <c r="A838" s="7" t="inlineStr">
        <is>
          <t>ORD-2024-1659</t>
        </is>
      </c>
      <c r="B838" s="7" t="inlineStr">
        <is>
          <t>2024-11-22</t>
        </is>
      </c>
      <c r="C838" s="7" t="inlineStr">
        <is>
          <t>OFF-PAP-003</t>
        </is>
      </c>
      <c r="D838" s="7" t="inlineStr">
        <is>
          <t>UltraWhite Premium Multipurpose Paper (Case)</t>
        </is>
      </c>
      <c r="E838" s="7" t="inlineStr">
        <is>
          <t>Office Supplies</t>
        </is>
      </c>
      <c r="F838" s="7" t="inlineStr">
        <is>
          <t>Paper Products</t>
        </is>
      </c>
      <c r="G838" s="7" t="inlineStr">
        <is>
          <t>South</t>
        </is>
      </c>
      <c r="H838" s="7" t="inlineStr">
        <is>
          <t>Virginia</t>
        </is>
      </c>
      <c r="I838" s="7" t="inlineStr">
        <is>
          <t>Direct Sales</t>
        </is>
      </c>
      <c r="J838" s="7" t="inlineStr">
        <is>
          <t>Corporate</t>
        </is>
      </c>
      <c r="K838" s="8" t="n">
        <v>7</v>
      </c>
      <c r="L838" s="9" t="n">
        <v>54.99</v>
      </c>
      <c r="M838" s="10" t="n">
        <v>0</v>
      </c>
      <c r="N838" s="9" t="n">
        <v>31.89</v>
      </c>
      <c r="O838" s="9" t="n">
        <v>384.93</v>
      </c>
      <c r="P838" s="9" t="n">
        <v>0</v>
      </c>
      <c r="Q838" s="9" t="n">
        <v>384.93</v>
      </c>
      <c r="R838" s="9" t="n">
        <v>223.23</v>
      </c>
      <c r="S838" s="9" t="n">
        <v>161.7</v>
      </c>
      <c r="T838" s="10" t="n">
        <v>0.4201</v>
      </c>
    </row>
    <row r="839">
      <c r="A839" s="7" t="inlineStr">
        <is>
          <t>ORD-2024-1061</t>
        </is>
      </c>
      <c r="B839" s="7" t="inlineStr">
        <is>
          <t>2024-11-23</t>
        </is>
      </c>
      <c r="C839" s="7" t="inlineStr">
        <is>
          <t>TEC-ACC-005</t>
        </is>
      </c>
      <c r="D839" s="7" t="inlineStr">
        <is>
          <t>UltraWireless Noise-Canceling Headset</t>
        </is>
      </c>
      <c r="E839" s="7" t="inlineStr">
        <is>
          <t>Technology</t>
        </is>
      </c>
      <c r="F839" s="7" t="inlineStr">
        <is>
          <t>Audio &amp; Accessories</t>
        </is>
      </c>
      <c r="G839" s="7" t="inlineStr">
        <is>
          <t>Central</t>
        </is>
      </c>
      <c r="H839" s="7" t="inlineStr">
        <is>
          <t>Michigan</t>
        </is>
      </c>
      <c r="I839" s="7" t="inlineStr">
        <is>
          <t>Wholesale</t>
        </is>
      </c>
      <c r="J839" s="7" t="inlineStr">
        <is>
          <t>Consumer</t>
        </is>
      </c>
      <c r="K839" s="8" t="n">
        <v>8</v>
      </c>
      <c r="L839" s="9" t="n">
        <v>179.99</v>
      </c>
      <c r="M839" s="10" t="n">
        <v>0.15</v>
      </c>
      <c r="N839" s="9" t="n">
        <v>111.59</v>
      </c>
      <c r="O839" s="9" t="n">
        <v>1439.92</v>
      </c>
      <c r="P839" s="9" t="n">
        <v>215.99</v>
      </c>
      <c r="Q839" s="9" t="n">
        <v>1223.93</v>
      </c>
      <c r="R839" s="9" t="n">
        <v>892.72</v>
      </c>
      <c r="S839" s="9" t="n">
        <v>331.21</v>
      </c>
      <c r="T839" s="10" t="n">
        <v>0.2706</v>
      </c>
    </row>
    <row r="840">
      <c r="A840" s="7" t="inlineStr">
        <is>
          <t>ORD-2024-1327</t>
        </is>
      </c>
      <c r="B840" s="7" t="inlineStr">
        <is>
          <t>2024-11-23</t>
        </is>
      </c>
      <c r="C840" s="7" t="inlineStr">
        <is>
          <t>FUR-CHA-002</t>
        </is>
      </c>
      <c r="D840" s="7" t="inlineStr">
        <is>
          <t>AeroTask Operator Task Chair</t>
        </is>
      </c>
      <c r="E840" s="7" t="inlineStr">
        <is>
          <t>Furniture</t>
        </is>
      </c>
      <c r="F840" s="7" t="inlineStr">
        <is>
          <t>Chairs</t>
        </is>
      </c>
      <c r="G840" s="7" t="inlineStr">
        <is>
          <t>East</t>
        </is>
      </c>
      <c r="H840" s="7" t="inlineStr">
        <is>
          <t>New Jersey</t>
        </is>
      </c>
      <c r="I840" s="7" t="inlineStr">
        <is>
          <t>Retail Partner</t>
        </is>
      </c>
      <c r="J840" s="7" t="inlineStr">
        <is>
          <t>Home Office</t>
        </is>
      </c>
      <c r="K840" s="8" t="n">
        <v>1</v>
      </c>
      <c r="L840" s="9" t="n">
        <v>219.99</v>
      </c>
      <c r="M840" s="10" t="n">
        <v>0.05</v>
      </c>
      <c r="N840" s="9" t="n">
        <v>171.59</v>
      </c>
      <c r="O840" s="9" t="n">
        <v>219.99</v>
      </c>
      <c r="P840" s="9" t="n">
        <v>11</v>
      </c>
      <c r="Q840" s="9" t="n">
        <v>208.99</v>
      </c>
      <c r="R840" s="9" t="n">
        <v>171.59</v>
      </c>
      <c r="S840" s="9" t="n">
        <v>37.4</v>
      </c>
      <c r="T840" s="10" t="n">
        <v>0.179</v>
      </c>
    </row>
    <row r="841">
      <c r="A841" s="7" t="inlineStr">
        <is>
          <t>ORD-2024-1524</t>
        </is>
      </c>
      <c r="B841" s="7" t="inlineStr">
        <is>
          <t>2024-11-23</t>
        </is>
      </c>
      <c r="C841" s="7" t="inlineStr">
        <is>
          <t>TEC-TAB-003</t>
        </is>
      </c>
      <c r="D841" s="7" t="inlineStr">
        <is>
          <t>VisionPad Pro 11"</t>
        </is>
      </c>
      <c r="E841" s="7" t="inlineStr">
        <is>
          <t>Technology</t>
        </is>
      </c>
      <c r="F841" s="7" t="inlineStr">
        <is>
          <t>Phones &amp; Tablets</t>
        </is>
      </c>
      <c r="G841" s="7" t="inlineStr">
        <is>
          <t>South</t>
        </is>
      </c>
      <c r="H841" s="7" t="inlineStr">
        <is>
          <t>Virginia</t>
        </is>
      </c>
      <c r="I841" s="7" t="inlineStr">
        <is>
          <t>Retail Partner</t>
        </is>
      </c>
      <c r="J841" s="7" t="inlineStr">
        <is>
          <t>Corporate</t>
        </is>
      </c>
      <c r="K841" s="8" t="n">
        <v>6</v>
      </c>
      <c r="L841" s="9" t="n">
        <v>649.99</v>
      </c>
      <c r="M841" s="10" t="n">
        <v>0.15</v>
      </c>
      <c r="N841" s="9" t="n">
        <v>487.49</v>
      </c>
      <c r="O841" s="9" t="n">
        <v>3899.94</v>
      </c>
      <c r="P841" s="9" t="n">
        <v>584.99</v>
      </c>
      <c r="Q841" s="9" t="n">
        <v>3314.95</v>
      </c>
      <c r="R841" s="9" t="n">
        <v>2924.94</v>
      </c>
      <c r="S841" s="9" t="n">
        <v>390.01</v>
      </c>
      <c r="T841" s="10" t="n">
        <v>0.1177</v>
      </c>
    </row>
    <row r="842">
      <c r="A842" s="7" t="inlineStr">
        <is>
          <t>ORD-2024-1563</t>
        </is>
      </c>
      <c r="B842" s="7" t="inlineStr">
        <is>
          <t>2024-11-23</t>
        </is>
      </c>
      <c r="C842" s="7" t="inlineStr">
        <is>
          <t>FUR-BOK-005</t>
        </is>
      </c>
      <c r="D842" s="7" t="inlineStr">
        <is>
          <t>Modular 5-Tier Steel Bookcase</t>
        </is>
      </c>
      <c r="E842" s="7" t="inlineStr">
        <is>
          <t>Furniture</t>
        </is>
      </c>
      <c r="F842" s="7" t="inlineStr">
        <is>
          <t>Bookcases</t>
        </is>
      </c>
      <c r="G842" s="7" t="inlineStr">
        <is>
          <t>East</t>
        </is>
      </c>
      <c r="H842" s="7" t="inlineStr">
        <is>
          <t>Pennsylvania</t>
        </is>
      </c>
      <c r="I842" s="7" t="inlineStr">
        <is>
          <t>Retail Partner</t>
        </is>
      </c>
      <c r="J842" s="7" t="inlineStr">
        <is>
          <t>Consumer</t>
        </is>
      </c>
      <c r="K842" s="8" t="n">
        <v>2</v>
      </c>
      <c r="L842" s="9" t="n">
        <v>189.99</v>
      </c>
      <c r="M842" s="10" t="n">
        <v>0.05</v>
      </c>
      <c r="N842" s="9" t="n">
        <v>142.49</v>
      </c>
      <c r="O842" s="9" t="n">
        <v>379.98</v>
      </c>
      <c r="P842" s="9" t="n">
        <v>19</v>
      </c>
      <c r="Q842" s="9" t="n">
        <v>360.98</v>
      </c>
      <c r="R842" s="9" t="n">
        <v>284.98</v>
      </c>
      <c r="S842" s="9" t="n">
        <v>76</v>
      </c>
      <c r="T842" s="10" t="n">
        <v>0.2105</v>
      </c>
    </row>
    <row r="843">
      <c r="A843" s="7" t="inlineStr">
        <is>
          <t>ORD-2024-1101</t>
        </is>
      </c>
      <c r="B843" s="7" t="inlineStr">
        <is>
          <t>2024-11-24</t>
        </is>
      </c>
      <c r="C843" s="7" t="inlineStr">
        <is>
          <t>OFF-PAP-003</t>
        </is>
      </c>
      <c r="D843" s="7" t="inlineStr">
        <is>
          <t>UltraWhite Premium Multipurpose Paper (Case)</t>
        </is>
      </c>
      <c r="E843" s="7" t="inlineStr">
        <is>
          <t>Office Supplies</t>
        </is>
      </c>
      <c r="F843" s="7" t="inlineStr">
        <is>
          <t>Paper Products</t>
        </is>
      </c>
      <c r="G843" s="7" t="inlineStr">
        <is>
          <t>East</t>
        </is>
      </c>
      <c r="H843" s="7" t="inlineStr">
        <is>
          <t>Massachusetts</t>
        </is>
      </c>
      <c r="I843" s="7" t="inlineStr">
        <is>
          <t>Online</t>
        </is>
      </c>
      <c r="J843" s="7" t="inlineStr">
        <is>
          <t>Corporate</t>
        </is>
      </c>
      <c r="K843" s="8" t="n">
        <v>4</v>
      </c>
      <c r="L843" s="9" t="n">
        <v>54.99</v>
      </c>
      <c r="M843" s="10" t="n">
        <v>0.1</v>
      </c>
      <c r="N843" s="9" t="n">
        <v>31.89</v>
      </c>
      <c r="O843" s="9" t="n">
        <v>219.96</v>
      </c>
      <c r="P843" s="9" t="n">
        <v>22</v>
      </c>
      <c r="Q843" s="9" t="n">
        <v>197.96</v>
      </c>
      <c r="R843" s="9" t="n">
        <v>127.56</v>
      </c>
      <c r="S843" s="9" t="n">
        <v>70.40000000000001</v>
      </c>
      <c r="T843" s="10" t="n">
        <v>0.3556</v>
      </c>
    </row>
    <row r="844">
      <c r="A844" s="7" t="inlineStr">
        <is>
          <t>ORD-2024-1163</t>
        </is>
      </c>
      <c r="B844" s="7" t="inlineStr">
        <is>
          <t>2024-11-24</t>
        </is>
      </c>
      <c r="C844" s="7" t="inlineStr">
        <is>
          <t>OFF-STR-002</t>
        </is>
      </c>
      <c r="D844" s="7" t="inlineStr">
        <is>
          <t>Stackable Heavy-Duty Storage Bins (4-Pk)</t>
        </is>
      </c>
      <c r="E844" s="7" t="inlineStr">
        <is>
          <t>Office Supplies</t>
        </is>
      </c>
      <c r="F844" s="7" t="inlineStr">
        <is>
          <t>Storage &amp; Organizers</t>
        </is>
      </c>
      <c r="G844" s="7" t="inlineStr">
        <is>
          <t>West</t>
        </is>
      </c>
      <c r="H844" s="7" t="inlineStr">
        <is>
          <t>Colorado</t>
        </is>
      </c>
      <c r="I844" s="7" t="inlineStr">
        <is>
          <t>Direct Sales</t>
        </is>
      </c>
      <c r="J844" s="7" t="inlineStr">
        <is>
          <t>Home Office</t>
        </is>
      </c>
      <c r="K844" s="8" t="n">
        <v>2</v>
      </c>
      <c r="L844" s="9" t="n">
        <v>44.99</v>
      </c>
      <c r="M844" s="10" t="n">
        <v>0</v>
      </c>
      <c r="N844" s="9" t="n">
        <v>24.74</v>
      </c>
      <c r="O844" s="9" t="n">
        <v>89.98</v>
      </c>
      <c r="P844" s="9" t="n">
        <v>0</v>
      </c>
      <c r="Q844" s="9" t="n">
        <v>89.98</v>
      </c>
      <c r="R844" s="9" t="n">
        <v>49.48</v>
      </c>
      <c r="S844" s="9" t="n">
        <v>40.5</v>
      </c>
      <c r="T844" s="10" t="n">
        <v>0.4501</v>
      </c>
    </row>
    <row r="845">
      <c r="A845" s="7" t="inlineStr">
        <is>
          <t>ORD-2024-1256</t>
        </is>
      </c>
      <c r="B845" s="7" t="inlineStr">
        <is>
          <t>2024-11-24</t>
        </is>
      </c>
      <c r="C845" s="7" t="inlineStr">
        <is>
          <t>TEC-ACC-006</t>
        </is>
      </c>
      <c r="D845" s="7" t="inlineStr">
        <is>
          <t>MultiPort Thunderbolt 4 Dock</t>
        </is>
      </c>
      <c r="E845" s="7" t="inlineStr">
        <is>
          <t>Technology</t>
        </is>
      </c>
      <c r="F845" s="7" t="inlineStr">
        <is>
          <t>Audio &amp; Accessories</t>
        </is>
      </c>
      <c r="G845" s="7" t="inlineStr">
        <is>
          <t>South</t>
        </is>
      </c>
      <c r="H845" s="7" t="inlineStr">
        <is>
          <t>Virginia</t>
        </is>
      </c>
      <c r="I845" s="7" t="inlineStr">
        <is>
          <t>Online</t>
        </is>
      </c>
      <c r="J845" s="7" t="inlineStr">
        <is>
          <t>Consumer</t>
        </is>
      </c>
      <c r="K845" s="8" t="n">
        <v>2</v>
      </c>
      <c r="L845" s="9" t="n">
        <v>149.99</v>
      </c>
      <c r="M845" s="10" t="n">
        <v>0.2</v>
      </c>
      <c r="N845" s="9" t="n">
        <v>98.98999999999999</v>
      </c>
      <c r="O845" s="9" t="n">
        <v>299.98</v>
      </c>
      <c r="P845" s="9" t="n">
        <v>60</v>
      </c>
      <c r="Q845" s="9" t="n">
        <v>239.98</v>
      </c>
      <c r="R845" s="9" t="n">
        <v>197.98</v>
      </c>
      <c r="S845" s="9" t="n">
        <v>42</v>
      </c>
      <c r="T845" s="10" t="n">
        <v>0.175</v>
      </c>
    </row>
    <row r="846">
      <c r="A846" s="7" t="inlineStr">
        <is>
          <t>ORD-2024-1288</t>
        </is>
      </c>
      <c r="B846" s="7" t="inlineStr">
        <is>
          <t>2024-11-24</t>
        </is>
      </c>
      <c r="C846" s="7" t="inlineStr">
        <is>
          <t>OFF-STR-002</t>
        </is>
      </c>
      <c r="D846" s="7" t="inlineStr">
        <is>
          <t>Stackable Heavy-Duty Storage Bins (4-Pk)</t>
        </is>
      </c>
      <c r="E846" s="7" t="inlineStr">
        <is>
          <t>Office Supplies</t>
        </is>
      </c>
      <c r="F846" s="7" t="inlineStr">
        <is>
          <t>Storage &amp; Organizers</t>
        </is>
      </c>
      <c r="G846" s="7" t="inlineStr">
        <is>
          <t>Central</t>
        </is>
      </c>
      <c r="H846" s="7" t="inlineStr">
        <is>
          <t>Illinois</t>
        </is>
      </c>
      <c r="I846" s="7" t="inlineStr">
        <is>
          <t>Online</t>
        </is>
      </c>
      <c r="J846" s="7" t="inlineStr">
        <is>
          <t>Consumer</t>
        </is>
      </c>
      <c r="K846" s="8" t="n">
        <v>4</v>
      </c>
      <c r="L846" s="9" t="n">
        <v>44.99</v>
      </c>
      <c r="M846" s="10" t="n">
        <v>0</v>
      </c>
      <c r="N846" s="9" t="n">
        <v>24.74</v>
      </c>
      <c r="O846" s="9" t="n">
        <v>179.96</v>
      </c>
      <c r="P846" s="9" t="n">
        <v>0</v>
      </c>
      <c r="Q846" s="9" t="n">
        <v>179.96</v>
      </c>
      <c r="R846" s="9" t="n">
        <v>98.95999999999999</v>
      </c>
      <c r="S846" s="9" t="n">
        <v>81</v>
      </c>
      <c r="T846" s="10" t="n">
        <v>0.4501</v>
      </c>
    </row>
    <row r="847">
      <c r="A847" s="7" t="inlineStr">
        <is>
          <t>ORD-2024-1288</t>
        </is>
      </c>
      <c r="B847" s="7" t="inlineStr">
        <is>
          <t>2024-11-24</t>
        </is>
      </c>
      <c r="C847" s="7" t="inlineStr">
        <is>
          <t>FUR-DSK-004</t>
        </is>
      </c>
      <c r="D847" s="7" t="inlineStr">
        <is>
          <t>Metro Compact Corner Workstation</t>
        </is>
      </c>
      <c r="E847" s="7" t="inlineStr">
        <is>
          <t>Furniture</t>
        </is>
      </c>
      <c r="F847" s="7" t="inlineStr">
        <is>
          <t>Desks &amp; Workstations</t>
        </is>
      </c>
      <c r="G847" s="7" t="inlineStr">
        <is>
          <t>Central</t>
        </is>
      </c>
      <c r="H847" s="7" t="inlineStr">
        <is>
          <t>Illinois</t>
        </is>
      </c>
      <c r="I847" s="7" t="inlineStr">
        <is>
          <t>Online</t>
        </is>
      </c>
      <c r="J847" s="7" t="inlineStr">
        <is>
          <t>Consumer</t>
        </is>
      </c>
      <c r="K847" s="8" t="n">
        <v>1</v>
      </c>
      <c r="L847" s="9" t="n">
        <v>329.99</v>
      </c>
      <c r="M847" s="10" t="n">
        <v>0.05</v>
      </c>
      <c r="N847" s="9" t="n">
        <v>250.79</v>
      </c>
      <c r="O847" s="9" t="n">
        <v>329.99</v>
      </c>
      <c r="P847" s="9" t="n">
        <v>16.5</v>
      </c>
      <c r="Q847" s="9" t="n">
        <v>313.49</v>
      </c>
      <c r="R847" s="9" t="n">
        <v>250.79</v>
      </c>
      <c r="S847" s="9" t="n">
        <v>62.7</v>
      </c>
      <c r="T847" s="10" t="n">
        <v>0.2</v>
      </c>
    </row>
    <row r="848">
      <c r="A848" s="7" t="inlineStr">
        <is>
          <t>ORD-2024-1729</t>
        </is>
      </c>
      <c r="B848" s="7" t="inlineStr">
        <is>
          <t>2024-11-24</t>
        </is>
      </c>
      <c r="C848" s="7" t="inlineStr">
        <is>
          <t>TEC-LAP-002</t>
        </is>
      </c>
      <c r="D848" s="7" t="inlineStr">
        <is>
          <t>Apex Gaming Laptop 17"</t>
        </is>
      </c>
      <c r="E848" s="7" t="inlineStr">
        <is>
          <t>Technology</t>
        </is>
      </c>
      <c r="F848" s="7" t="inlineStr">
        <is>
          <t>Laptops</t>
        </is>
      </c>
      <c r="G848" s="7" t="inlineStr">
        <is>
          <t>South</t>
        </is>
      </c>
      <c r="H848" s="7" t="inlineStr">
        <is>
          <t>Georgia</t>
        </is>
      </c>
      <c r="I848" s="7" t="inlineStr">
        <is>
          <t>Online</t>
        </is>
      </c>
      <c r="J848" s="7" t="inlineStr">
        <is>
          <t>Home Office</t>
        </is>
      </c>
      <c r="K848" s="8" t="n">
        <v>2</v>
      </c>
      <c r="L848" s="9" t="n">
        <v>1499.99</v>
      </c>
      <c r="M848" s="10" t="n">
        <v>0.2</v>
      </c>
      <c r="N848" s="9" t="n">
        <v>1259.99</v>
      </c>
      <c r="O848" s="9" t="n">
        <v>2999.98</v>
      </c>
      <c r="P848" s="9" t="n">
        <v>600</v>
      </c>
      <c r="Q848" s="9" t="n">
        <v>2399.98</v>
      </c>
      <c r="R848" s="9" t="n">
        <v>2519.98</v>
      </c>
      <c r="S848" s="9" t="n">
        <v>-120</v>
      </c>
      <c r="T848" s="10" t="n">
        <v>-0.05</v>
      </c>
    </row>
    <row r="849">
      <c r="A849" s="7" t="inlineStr">
        <is>
          <t>ORD-2024-1121</t>
        </is>
      </c>
      <c r="B849" s="7" t="inlineStr">
        <is>
          <t>2024-11-25</t>
        </is>
      </c>
      <c r="C849" s="7" t="inlineStr">
        <is>
          <t>OFF-DSK-007</t>
        </is>
      </c>
      <c r="D849" s="7" t="inlineStr">
        <is>
          <t>Gel Ergo Mouse Pad &amp; Wrist Rest Combo</t>
        </is>
      </c>
      <c r="E849" s="7" t="inlineStr">
        <is>
          <t>Office Supplies</t>
        </is>
      </c>
      <c r="F849" s="7" t="inlineStr">
        <is>
          <t>Desk Supplies</t>
        </is>
      </c>
      <c r="G849" s="7" t="inlineStr">
        <is>
          <t>West</t>
        </is>
      </c>
      <c r="H849" s="7" t="inlineStr">
        <is>
          <t>Washington</t>
        </is>
      </c>
      <c r="I849" s="7" t="inlineStr">
        <is>
          <t>Online</t>
        </is>
      </c>
      <c r="J849" s="7" t="inlineStr">
        <is>
          <t>Corporate</t>
        </is>
      </c>
      <c r="K849" s="8" t="n">
        <v>4</v>
      </c>
      <c r="L849" s="9" t="n">
        <v>21.99</v>
      </c>
      <c r="M849" s="10" t="n">
        <v>0.1</v>
      </c>
      <c r="N849" s="9" t="n">
        <v>10.56</v>
      </c>
      <c r="O849" s="9" t="n">
        <v>87.95999999999999</v>
      </c>
      <c r="P849" s="9" t="n">
        <v>8.800000000000001</v>
      </c>
      <c r="Q849" s="9" t="n">
        <v>79.16</v>
      </c>
      <c r="R849" s="9" t="n">
        <v>42.24</v>
      </c>
      <c r="S849" s="9" t="n">
        <v>36.92</v>
      </c>
      <c r="T849" s="10" t="n">
        <v>0.4664</v>
      </c>
    </row>
    <row r="850">
      <c r="A850" s="7" t="inlineStr">
        <is>
          <t>ORD-2024-1353</t>
        </is>
      </c>
      <c r="B850" s="7" t="inlineStr">
        <is>
          <t>2024-11-25</t>
        </is>
      </c>
      <c r="C850" s="7" t="inlineStr">
        <is>
          <t>OFF-DSK-008</t>
        </is>
      </c>
      <c r="D850" s="7" t="inlineStr">
        <is>
          <t>Steel Desktop Mesh Organizer Caddy</t>
        </is>
      </c>
      <c r="E850" s="7" t="inlineStr">
        <is>
          <t>Office Supplies</t>
        </is>
      </c>
      <c r="F850" s="7" t="inlineStr">
        <is>
          <t>Desk Supplies</t>
        </is>
      </c>
      <c r="G850" s="7" t="inlineStr">
        <is>
          <t>East</t>
        </is>
      </c>
      <c r="H850" s="7" t="inlineStr">
        <is>
          <t>Massachusetts</t>
        </is>
      </c>
      <c r="I850" s="7" t="inlineStr">
        <is>
          <t>Online</t>
        </is>
      </c>
      <c r="J850" s="7" t="inlineStr">
        <is>
          <t>Consumer</t>
        </is>
      </c>
      <c r="K850" s="8" t="n">
        <v>1</v>
      </c>
      <c r="L850" s="9" t="n">
        <v>18.99</v>
      </c>
      <c r="M850" s="10" t="n">
        <v>0.1</v>
      </c>
      <c r="N850" s="9" t="n">
        <v>8.550000000000001</v>
      </c>
      <c r="O850" s="9" t="n">
        <v>18.99</v>
      </c>
      <c r="P850" s="9" t="n">
        <v>1.9</v>
      </c>
      <c r="Q850" s="9" t="n">
        <v>17.09</v>
      </c>
      <c r="R850" s="9" t="n">
        <v>8.550000000000001</v>
      </c>
      <c r="S850" s="9" t="n">
        <v>8.539999999999999</v>
      </c>
      <c r="T850" s="10" t="n">
        <v>0.4997</v>
      </c>
    </row>
    <row r="851">
      <c r="A851" s="7" t="inlineStr">
        <is>
          <t>ORD-2024-1353</t>
        </is>
      </c>
      <c r="B851" s="7" t="inlineStr">
        <is>
          <t>2024-11-25</t>
        </is>
      </c>
      <c r="C851" s="7" t="inlineStr">
        <is>
          <t>OFF-DSK-007</t>
        </is>
      </c>
      <c r="D851" s="7" t="inlineStr">
        <is>
          <t>Gel Ergo Mouse Pad &amp; Wrist Rest Combo</t>
        </is>
      </c>
      <c r="E851" s="7" t="inlineStr">
        <is>
          <t>Office Supplies</t>
        </is>
      </c>
      <c r="F851" s="7" t="inlineStr">
        <is>
          <t>Desk Supplies</t>
        </is>
      </c>
      <c r="G851" s="7" t="inlineStr">
        <is>
          <t>East</t>
        </is>
      </c>
      <c r="H851" s="7" t="inlineStr">
        <is>
          <t>Massachusetts</t>
        </is>
      </c>
      <c r="I851" s="7" t="inlineStr">
        <is>
          <t>Online</t>
        </is>
      </c>
      <c r="J851" s="7" t="inlineStr">
        <is>
          <t>Consumer</t>
        </is>
      </c>
      <c r="K851" s="8" t="n">
        <v>3</v>
      </c>
      <c r="L851" s="9" t="n">
        <v>21.99</v>
      </c>
      <c r="M851" s="10" t="n">
        <v>0.15</v>
      </c>
      <c r="N851" s="9" t="n">
        <v>10.56</v>
      </c>
      <c r="O851" s="9" t="n">
        <v>65.97</v>
      </c>
      <c r="P851" s="9" t="n">
        <v>9.9</v>
      </c>
      <c r="Q851" s="9" t="n">
        <v>56.07</v>
      </c>
      <c r="R851" s="9" t="n">
        <v>31.68</v>
      </c>
      <c r="S851" s="9" t="n">
        <v>24.39</v>
      </c>
      <c r="T851" s="10" t="n">
        <v>0.435</v>
      </c>
    </row>
    <row r="852">
      <c r="A852" s="7" t="inlineStr">
        <is>
          <t>ORD-2024-1487</t>
        </is>
      </c>
      <c r="B852" s="7" t="inlineStr">
        <is>
          <t>2024-11-25</t>
        </is>
      </c>
      <c r="C852" s="7" t="inlineStr">
        <is>
          <t>FUR-CHA-002</t>
        </is>
      </c>
      <c r="D852" s="7" t="inlineStr">
        <is>
          <t>AeroTask Operator Task Chair</t>
        </is>
      </c>
      <c r="E852" s="7" t="inlineStr">
        <is>
          <t>Furniture</t>
        </is>
      </c>
      <c r="F852" s="7" t="inlineStr">
        <is>
          <t>Chairs</t>
        </is>
      </c>
      <c r="G852" s="7" t="inlineStr">
        <is>
          <t>West</t>
        </is>
      </c>
      <c r="H852" s="7" t="inlineStr">
        <is>
          <t>Washington</t>
        </is>
      </c>
      <c r="I852" s="7" t="inlineStr">
        <is>
          <t>Direct Sales</t>
        </is>
      </c>
      <c r="J852" s="7" t="inlineStr">
        <is>
          <t>Corporate</t>
        </is>
      </c>
      <c r="K852" s="8" t="n">
        <v>2</v>
      </c>
      <c r="L852" s="9" t="n">
        <v>219.99</v>
      </c>
      <c r="M852" s="10" t="n">
        <v>0</v>
      </c>
      <c r="N852" s="9" t="n">
        <v>171.59</v>
      </c>
      <c r="O852" s="9" t="n">
        <v>439.98</v>
      </c>
      <c r="P852" s="9" t="n">
        <v>0</v>
      </c>
      <c r="Q852" s="9" t="n">
        <v>439.98</v>
      </c>
      <c r="R852" s="9" t="n">
        <v>343.18</v>
      </c>
      <c r="S852" s="9" t="n">
        <v>96.8</v>
      </c>
      <c r="T852" s="10" t="n">
        <v>0.22</v>
      </c>
    </row>
    <row r="853">
      <c r="A853" s="7" t="inlineStr">
        <is>
          <t>ORD-2024-1576</t>
        </is>
      </c>
      <c r="B853" s="7" t="inlineStr">
        <is>
          <t>2024-11-25</t>
        </is>
      </c>
      <c r="C853" s="7" t="inlineStr">
        <is>
          <t>FUR-LGT-006</t>
        </is>
      </c>
      <c r="D853" s="7" t="inlineStr">
        <is>
          <t>Architect LED Desk Task Lamp</t>
        </is>
      </c>
      <c r="E853" s="7" t="inlineStr">
        <is>
          <t>Furniture</t>
        </is>
      </c>
      <c r="F853" s="7" t="inlineStr">
        <is>
          <t>Lighting</t>
        </is>
      </c>
      <c r="G853" s="7" t="inlineStr">
        <is>
          <t>West</t>
        </is>
      </c>
      <c r="H853" s="7" t="inlineStr">
        <is>
          <t>California</t>
        </is>
      </c>
      <c r="I853" s="7" t="inlineStr">
        <is>
          <t>Online</t>
        </is>
      </c>
      <c r="J853" s="7" t="inlineStr">
        <is>
          <t>Consumer</t>
        </is>
      </c>
      <c r="K853" s="8" t="n">
        <v>2</v>
      </c>
      <c r="L853" s="9" t="n">
        <v>69.98999999999999</v>
      </c>
      <c r="M853" s="10" t="n">
        <v>0</v>
      </c>
      <c r="N853" s="9" t="n">
        <v>43.39</v>
      </c>
      <c r="O853" s="9" t="n">
        <v>139.98</v>
      </c>
      <c r="P853" s="9" t="n">
        <v>0</v>
      </c>
      <c r="Q853" s="9" t="n">
        <v>139.98</v>
      </c>
      <c r="R853" s="9" t="n">
        <v>86.78</v>
      </c>
      <c r="S853" s="9" t="n">
        <v>53.2</v>
      </c>
      <c r="T853" s="10" t="n">
        <v>0.3801</v>
      </c>
    </row>
    <row r="854">
      <c r="A854" s="7" t="inlineStr">
        <is>
          <t>ORD-2024-1026</t>
        </is>
      </c>
      <c r="B854" s="7" t="inlineStr">
        <is>
          <t>2024-11-26</t>
        </is>
      </c>
      <c r="C854" s="7" t="inlineStr">
        <is>
          <t>OFF-ART-006</t>
        </is>
      </c>
      <c r="D854" s="7" t="inlineStr">
        <is>
          <t>Professional Presentation Dry Erase Board</t>
        </is>
      </c>
      <c r="E854" s="7" t="inlineStr">
        <is>
          <t>Office Supplies</t>
        </is>
      </c>
      <c r="F854" s="7" t="inlineStr">
        <is>
          <t>Presentation &amp; Art</t>
        </is>
      </c>
      <c r="G854" s="7" t="inlineStr">
        <is>
          <t>West</t>
        </is>
      </c>
      <c r="H854" s="7" t="inlineStr">
        <is>
          <t>Colorado</t>
        </is>
      </c>
      <c r="I854" s="7" t="inlineStr">
        <is>
          <t>Online</t>
        </is>
      </c>
      <c r="J854" s="7" t="inlineStr">
        <is>
          <t>Consumer</t>
        </is>
      </c>
      <c r="K854" s="8" t="n">
        <v>1</v>
      </c>
      <c r="L854" s="9" t="n">
        <v>89.98999999999999</v>
      </c>
      <c r="M854" s="10" t="n">
        <v>0.1</v>
      </c>
      <c r="N854" s="9" t="n">
        <v>53.99</v>
      </c>
      <c r="O854" s="9" t="n">
        <v>89.98999999999999</v>
      </c>
      <c r="P854" s="9" t="n">
        <v>9</v>
      </c>
      <c r="Q854" s="9" t="n">
        <v>80.98999999999999</v>
      </c>
      <c r="R854" s="9" t="n">
        <v>53.99</v>
      </c>
      <c r="S854" s="9" t="n">
        <v>27</v>
      </c>
      <c r="T854" s="10" t="n">
        <v>0.3334</v>
      </c>
    </row>
    <row r="855">
      <c r="A855" s="7" t="inlineStr">
        <is>
          <t>ORD-2024-1393</t>
        </is>
      </c>
      <c r="B855" s="7" t="inlineStr">
        <is>
          <t>2024-11-26</t>
        </is>
      </c>
      <c r="C855" s="7" t="inlineStr">
        <is>
          <t>FUR-DSK-004</t>
        </is>
      </c>
      <c r="D855" s="7" t="inlineStr">
        <is>
          <t>Metro Compact Corner Workstation</t>
        </is>
      </c>
      <c r="E855" s="7" t="inlineStr">
        <is>
          <t>Furniture</t>
        </is>
      </c>
      <c r="F855" s="7" t="inlineStr">
        <is>
          <t>Desks &amp; Workstations</t>
        </is>
      </c>
      <c r="G855" s="7" t="inlineStr">
        <is>
          <t>East</t>
        </is>
      </c>
      <c r="H855" s="7" t="inlineStr">
        <is>
          <t>New York</t>
        </is>
      </c>
      <c r="I855" s="7" t="inlineStr">
        <is>
          <t>Wholesale</t>
        </is>
      </c>
      <c r="J855" s="7" t="inlineStr">
        <is>
          <t>Consumer</t>
        </is>
      </c>
      <c r="K855" s="8" t="n">
        <v>8</v>
      </c>
      <c r="L855" s="9" t="n">
        <v>329.99</v>
      </c>
      <c r="M855" s="10" t="n">
        <v>0.2</v>
      </c>
      <c r="N855" s="9" t="n">
        <v>250.79</v>
      </c>
      <c r="O855" s="9" t="n">
        <v>2639.92</v>
      </c>
      <c r="P855" s="9" t="n">
        <v>527.98</v>
      </c>
      <c r="Q855" s="9" t="n">
        <v>2111.94</v>
      </c>
      <c r="R855" s="9" t="n">
        <v>2006.32</v>
      </c>
      <c r="S855" s="9" t="n">
        <v>105.62</v>
      </c>
      <c r="T855" s="10" t="n">
        <v>0.05</v>
      </c>
    </row>
    <row r="856">
      <c r="A856" s="7" t="inlineStr">
        <is>
          <t>ORD-2024-1398</t>
        </is>
      </c>
      <c r="B856" s="7" t="inlineStr">
        <is>
          <t>2024-11-26</t>
        </is>
      </c>
      <c r="C856" s="7" t="inlineStr">
        <is>
          <t>TEC-LAP-002</t>
        </is>
      </c>
      <c r="D856" s="7" t="inlineStr">
        <is>
          <t>Apex Gaming Laptop 17"</t>
        </is>
      </c>
      <c r="E856" s="7" t="inlineStr">
        <is>
          <t>Technology</t>
        </is>
      </c>
      <c r="F856" s="7" t="inlineStr">
        <is>
          <t>Laptops</t>
        </is>
      </c>
      <c r="G856" s="7" t="inlineStr">
        <is>
          <t>Central</t>
        </is>
      </c>
      <c r="H856" s="7" t="inlineStr">
        <is>
          <t>Texas</t>
        </is>
      </c>
      <c r="I856" s="7" t="inlineStr">
        <is>
          <t>Retail Partner</t>
        </is>
      </c>
      <c r="J856" s="7" t="inlineStr">
        <is>
          <t>Consumer</t>
        </is>
      </c>
      <c r="K856" s="8" t="n">
        <v>3</v>
      </c>
      <c r="L856" s="9" t="n">
        <v>1499.99</v>
      </c>
      <c r="M856" s="10" t="n">
        <v>0.2</v>
      </c>
      <c r="N856" s="9" t="n">
        <v>1259.99</v>
      </c>
      <c r="O856" s="9" t="n">
        <v>4499.97</v>
      </c>
      <c r="P856" s="9" t="n">
        <v>899.99</v>
      </c>
      <c r="Q856" s="9" t="n">
        <v>3599.98</v>
      </c>
      <c r="R856" s="9" t="n">
        <v>3779.97</v>
      </c>
      <c r="S856" s="9" t="n">
        <v>-179.99</v>
      </c>
      <c r="T856" s="10" t="n">
        <v>-0.05</v>
      </c>
    </row>
    <row r="857">
      <c r="A857" s="7" t="inlineStr">
        <is>
          <t>ORD-2024-1398</t>
        </is>
      </c>
      <c r="B857" s="7" t="inlineStr">
        <is>
          <t>2024-11-26</t>
        </is>
      </c>
      <c r="C857" s="7" t="inlineStr">
        <is>
          <t>FUR-CHA-002</t>
        </is>
      </c>
      <c r="D857" s="7" t="inlineStr">
        <is>
          <t>AeroTask Operator Task Chair</t>
        </is>
      </c>
      <c r="E857" s="7" t="inlineStr">
        <is>
          <t>Furniture</t>
        </is>
      </c>
      <c r="F857" s="7" t="inlineStr">
        <is>
          <t>Chairs</t>
        </is>
      </c>
      <c r="G857" s="7" t="inlineStr">
        <is>
          <t>Central</t>
        </is>
      </c>
      <c r="H857" s="7" t="inlineStr">
        <is>
          <t>Texas</t>
        </is>
      </c>
      <c r="I857" s="7" t="inlineStr">
        <is>
          <t>Retail Partner</t>
        </is>
      </c>
      <c r="J857" s="7" t="inlineStr">
        <is>
          <t>Consumer</t>
        </is>
      </c>
      <c r="K857" s="8" t="n">
        <v>4</v>
      </c>
      <c r="L857" s="9" t="n">
        <v>219.99</v>
      </c>
      <c r="M857" s="10" t="n">
        <v>0.1</v>
      </c>
      <c r="N857" s="9" t="n">
        <v>171.59</v>
      </c>
      <c r="O857" s="9" t="n">
        <v>879.96</v>
      </c>
      <c r="P857" s="9" t="n">
        <v>88</v>
      </c>
      <c r="Q857" s="9" t="n">
        <v>791.96</v>
      </c>
      <c r="R857" s="9" t="n">
        <v>686.36</v>
      </c>
      <c r="S857" s="9" t="n">
        <v>105.6</v>
      </c>
      <c r="T857" s="10" t="n">
        <v>0.1333</v>
      </c>
    </row>
    <row r="858">
      <c r="A858" s="7" t="inlineStr">
        <is>
          <t>ORD-2024-1425</t>
        </is>
      </c>
      <c r="B858" s="7" t="inlineStr">
        <is>
          <t>2024-11-26</t>
        </is>
      </c>
      <c r="C858" s="7" t="inlineStr">
        <is>
          <t>OFF-PAP-003</t>
        </is>
      </c>
      <c r="D858" s="7" t="inlineStr">
        <is>
          <t>UltraWhite Premium Multipurpose Paper (Case)</t>
        </is>
      </c>
      <c r="E858" s="7" t="inlineStr">
        <is>
          <t>Office Supplies</t>
        </is>
      </c>
      <c r="F858" s="7" t="inlineStr">
        <is>
          <t>Paper Products</t>
        </is>
      </c>
      <c r="G858" s="7" t="inlineStr">
        <is>
          <t>East</t>
        </is>
      </c>
      <c r="H858" s="7" t="inlineStr">
        <is>
          <t>Massachusetts</t>
        </is>
      </c>
      <c r="I858" s="7" t="inlineStr">
        <is>
          <t>Online</t>
        </is>
      </c>
      <c r="J858" s="7" t="inlineStr">
        <is>
          <t>Consumer</t>
        </is>
      </c>
      <c r="K858" s="8" t="n">
        <v>2</v>
      </c>
      <c r="L858" s="9" t="n">
        <v>54.99</v>
      </c>
      <c r="M858" s="10" t="n">
        <v>0</v>
      </c>
      <c r="N858" s="9" t="n">
        <v>31.89</v>
      </c>
      <c r="O858" s="9" t="n">
        <v>109.98</v>
      </c>
      <c r="P858" s="9" t="n">
        <v>0</v>
      </c>
      <c r="Q858" s="9" t="n">
        <v>109.98</v>
      </c>
      <c r="R858" s="9" t="n">
        <v>63.78</v>
      </c>
      <c r="S858" s="9" t="n">
        <v>46.2</v>
      </c>
      <c r="T858" s="10" t="n">
        <v>0.4201</v>
      </c>
    </row>
    <row r="859">
      <c r="A859" s="7" t="inlineStr">
        <is>
          <t>ORD-2024-1466</t>
        </is>
      </c>
      <c r="B859" s="7" t="inlineStr">
        <is>
          <t>2024-11-26</t>
        </is>
      </c>
      <c r="C859" s="7" t="inlineStr">
        <is>
          <t>OFF-PAP-003</t>
        </is>
      </c>
      <c r="D859" s="7" t="inlineStr">
        <is>
          <t>UltraWhite Premium Multipurpose Paper (Case)</t>
        </is>
      </c>
      <c r="E859" s="7" t="inlineStr">
        <is>
          <t>Office Supplies</t>
        </is>
      </c>
      <c r="F859" s="7" t="inlineStr">
        <is>
          <t>Paper Products</t>
        </is>
      </c>
      <c r="G859" s="7" t="inlineStr">
        <is>
          <t>East</t>
        </is>
      </c>
      <c r="H859" s="7" t="inlineStr">
        <is>
          <t>New Jersey</t>
        </is>
      </c>
      <c r="I859" s="7" t="inlineStr">
        <is>
          <t>Online</t>
        </is>
      </c>
      <c r="J859" s="7" t="inlineStr">
        <is>
          <t>Home Office</t>
        </is>
      </c>
      <c r="K859" s="8" t="n">
        <v>4</v>
      </c>
      <c r="L859" s="9" t="n">
        <v>54.99</v>
      </c>
      <c r="M859" s="10" t="n">
        <v>0.1</v>
      </c>
      <c r="N859" s="9" t="n">
        <v>31.89</v>
      </c>
      <c r="O859" s="9" t="n">
        <v>219.96</v>
      </c>
      <c r="P859" s="9" t="n">
        <v>22</v>
      </c>
      <c r="Q859" s="9" t="n">
        <v>197.96</v>
      </c>
      <c r="R859" s="9" t="n">
        <v>127.56</v>
      </c>
      <c r="S859" s="9" t="n">
        <v>70.40000000000001</v>
      </c>
      <c r="T859" s="10" t="n">
        <v>0.3556</v>
      </c>
    </row>
    <row r="860">
      <c r="A860" s="7" t="inlineStr">
        <is>
          <t>ORD-2024-1273</t>
        </is>
      </c>
      <c r="B860" s="7" t="inlineStr">
        <is>
          <t>2024-11-27</t>
        </is>
      </c>
      <c r="C860" s="7" t="inlineStr">
        <is>
          <t>OFF-ART-006</t>
        </is>
      </c>
      <c r="D860" s="7" t="inlineStr">
        <is>
          <t>Professional Presentation Dry Erase Board</t>
        </is>
      </c>
      <c r="E860" s="7" t="inlineStr">
        <is>
          <t>Office Supplies</t>
        </is>
      </c>
      <c r="F860" s="7" t="inlineStr">
        <is>
          <t>Presentation &amp; Art</t>
        </is>
      </c>
      <c r="G860" s="7" t="inlineStr">
        <is>
          <t>Central</t>
        </is>
      </c>
      <c r="H860" s="7" t="inlineStr">
        <is>
          <t>Michigan</t>
        </is>
      </c>
      <c r="I860" s="7" t="inlineStr">
        <is>
          <t>Retail Partner</t>
        </is>
      </c>
      <c r="J860" s="7" t="inlineStr">
        <is>
          <t>Consumer</t>
        </is>
      </c>
      <c r="K860" s="8" t="n">
        <v>4</v>
      </c>
      <c r="L860" s="9" t="n">
        <v>89.98999999999999</v>
      </c>
      <c r="M860" s="10" t="n">
        <v>0.05</v>
      </c>
      <c r="N860" s="9" t="n">
        <v>53.99</v>
      </c>
      <c r="O860" s="9" t="n">
        <v>359.96</v>
      </c>
      <c r="P860" s="9" t="n">
        <v>18</v>
      </c>
      <c r="Q860" s="9" t="n">
        <v>341.96</v>
      </c>
      <c r="R860" s="9" t="n">
        <v>215.96</v>
      </c>
      <c r="S860" s="9" t="n">
        <v>126</v>
      </c>
      <c r="T860" s="10" t="n">
        <v>0.3685</v>
      </c>
    </row>
    <row r="861">
      <c r="A861" s="7" t="inlineStr">
        <is>
          <t>ORD-2024-1399</t>
        </is>
      </c>
      <c r="B861" s="7" t="inlineStr">
        <is>
          <t>2024-11-27</t>
        </is>
      </c>
      <c r="C861" s="7" t="inlineStr">
        <is>
          <t>FUR-CHA-001</t>
        </is>
      </c>
      <c r="D861" s="7" t="inlineStr">
        <is>
          <t>ErgoFlex Executive Mesh Chair</t>
        </is>
      </c>
      <c r="E861" s="7" t="inlineStr">
        <is>
          <t>Furniture</t>
        </is>
      </c>
      <c r="F861" s="7" t="inlineStr">
        <is>
          <t>Chairs</t>
        </is>
      </c>
      <c r="G861" s="7" t="inlineStr">
        <is>
          <t>Central</t>
        </is>
      </c>
      <c r="H861" s="7" t="inlineStr">
        <is>
          <t>Michigan</t>
        </is>
      </c>
      <c r="I861" s="7" t="inlineStr">
        <is>
          <t>Direct Sales</t>
        </is>
      </c>
      <c r="J861" s="7" t="inlineStr">
        <is>
          <t>Consumer</t>
        </is>
      </c>
      <c r="K861" s="8" t="n">
        <v>1</v>
      </c>
      <c r="L861" s="9" t="n">
        <v>389.99</v>
      </c>
      <c r="M861" s="10" t="n">
        <v>0.05</v>
      </c>
      <c r="N861" s="9" t="n">
        <v>331.49</v>
      </c>
      <c r="O861" s="9" t="n">
        <v>389.99</v>
      </c>
      <c r="P861" s="9" t="n">
        <v>19.5</v>
      </c>
      <c r="Q861" s="9" t="n">
        <v>370.49</v>
      </c>
      <c r="R861" s="9" t="n">
        <v>331.49</v>
      </c>
      <c r="S861" s="9" t="n">
        <v>39</v>
      </c>
      <c r="T861" s="10" t="n">
        <v>0.1053</v>
      </c>
    </row>
    <row r="862">
      <c r="A862" s="7" t="inlineStr">
        <is>
          <t>ORD-2024-1577</t>
        </is>
      </c>
      <c r="B862" s="7" t="inlineStr">
        <is>
          <t>2024-11-27</t>
        </is>
      </c>
      <c r="C862" s="7" t="inlineStr">
        <is>
          <t>TEC-TAB-003</t>
        </is>
      </c>
      <c r="D862" s="7" t="inlineStr">
        <is>
          <t>VisionPad Pro 11"</t>
        </is>
      </c>
      <c r="E862" s="7" t="inlineStr">
        <is>
          <t>Technology</t>
        </is>
      </c>
      <c r="F862" s="7" t="inlineStr">
        <is>
          <t>Phones &amp; Tablets</t>
        </is>
      </c>
      <c r="G862" s="7" t="inlineStr">
        <is>
          <t>West</t>
        </is>
      </c>
      <c r="H862" s="7" t="inlineStr">
        <is>
          <t>Washington</t>
        </is>
      </c>
      <c r="I862" s="7" t="inlineStr">
        <is>
          <t>Direct Sales</t>
        </is>
      </c>
      <c r="J862" s="7" t="inlineStr">
        <is>
          <t>Consumer</t>
        </is>
      </c>
      <c r="K862" s="8" t="n">
        <v>2</v>
      </c>
      <c r="L862" s="9" t="n">
        <v>649.99</v>
      </c>
      <c r="M862" s="10" t="n">
        <v>0.05</v>
      </c>
      <c r="N862" s="9" t="n">
        <v>487.49</v>
      </c>
      <c r="O862" s="9" t="n">
        <v>1299.98</v>
      </c>
      <c r="P862" s="9" t="n">
        <v>65</v>
      </c>
      <c r="Q862" s="9" t="n">
        <v>1234.98</v>
      </c>
      <c r="R862" s="9" t="n">
        <v>974.98</v>
      </c>
      <c r="S862" s="9" t="n">
        <v>260</v>
      </c>
      <c r="T862" s="10" t="n">
        <v>0.2105</v>
      </c>
    </row>
    <row r="863">
      <c r="A863" s="7" t="inlineStr">
        <is>
          <t>ORD-2024-1633</t>
        </is>
      </c>
      <c r="B863" s="7" t="inlineStr">
        <is>
          <t>2024-11-27</t>
        </is>
      </c>
      <c r="C863" s="7" t="inlineStr">
        <is>
          <t>OFF-DSK-008</t>
        </is>
      </c>
      <c r="D863" s="7" t="inlineStr">
        <is>
          <t>Steel Desktop Mesh Organizer Caddy</t>
        </is>
      </c>
      <c r="E863" s="7" t="inlineStr">
        <is>
          <t>Office Supplies</t>
        </is>
      </c>
      <c r="F863" s="7" t="inlineStr">
        <is>
          <t>Desk Supplies</t>
        </is>
      </c>
      <c r="G863" s="7" t="inlineStr">
        <is>
          <t>Central</t>
        </is>
      </c>
      <c r="H863" s="7" t="inlineStr">
        <is>
          <t>Michigan</t>
        </is>
      </c>
      <c r="I863" s="7" t="inlineStr">
        <is>
          <t>Retail Partner</t>
        </is>
      </c>
      <c r="J863" s="7" t="inlineStr">
        <is>
          <t>Consumer</t>
        </is>
      </c>
      <c r="K863" s="8" t="n">
        <v>4</v>
      </c>
      <c r="L863" s="9" t="n">
        <v>18.99</v>
      </c>
      <c r="M863" s="10" t="n">
        <v>0.1</v>
      </c>
      <c r="N863" s="9" t="n">
        <v>8.550000000000001</v>
      </c>
      <c r="O863" s="9" t="n">
        <v>75.95999999999999</v>
      </c>
      <c r="P863" s="9" t="n">
        <v>7.6</v>
      </c>
      <c r="Q863" s="9" t="n">
        <v>68.36</v>
      </c>
      <c r="R863" s="9" t="n">
        <v>34.2</v>
      </c>
      <c r="S863" s="9" t="n">
        <v>34.16</v>
      </c>
      <c r="T863" s="10" t="n">
        <v>0.4997</v>
      </c>
    </row>
    <row r="864">
      <c r="A864" s="7" t="inlineStr">
        <is>
          <t>ORD-2024-1227</t>
        </is>
      </c>
      <c r="B864" s="7" t="inlineStr">
        <is>
          <t>2024-11-28</t>
        </is>
      </c>
      <c r="C864" s="7" t="inlineStr">
        <is>
          <t>OFF-STR-001</t>
        </is>
      </c>
      <c r="D864" s="7" t="inlineStr">
        <is>
          <t>SteelLock 3-Drawer File Cabinet</t>
        </is>
      </c>
      <c r="E864" s="7" t="inlineStr">
        <is>
          <t>Office Supplies</t>
        </is>
      </c>
      <c r="F864" s="7" t="inlineStr">
        <is>
          <t>Storage &amp; Organizers</t>
        </is>
      </c>
      <c r="G864" s="7" t="inlineStr">
        <is>
          <t>South</t>
        </is>
      </c>
      <c r="H864" s="7" t="inlineStr">
        <is>
          <t>Florida</t>
        </is>
      </c>
      <c r="I864" s="7" t="inlineStr">
        <is>
          <t>Retail Partner</t>
        </is>
      </c>
      <c r="J864" s="7" t="inlineStr">
        <is>
          <t>Corporate</t>
        </is>
      </c>
      <c r="K864" s="8" t="n">
        <v>2</v>
      </c>
      <c r="L864" s="9" t="n">
        <v>169.99</v>
      </c>
      <c r="M864" s="10" t="n">
        <v>0.15</v>
      </c>
      <c r="N864" s="9" t="n">
        <v>115.59</v>
      </c>
      <c r="O864" s="9" t="n">
        <v>339.98</v>
      </c>
      <c r="P864" s="9" t="n">
        <v>51</v>
      </c>
      <c r="Q864" s="9" t="n">
        <v>288.98</v>
      </c>
      <c r="R864" s="9" t="n">
        <v>231.18</v>
      </c>
      <c r="S864" s="9" t="n">
        <v>57.8</v>
      </c>
      <c r="T864" s="10" t="n">
        <v>0.2</v>
      </c>
    </row>
    <row r="865">
      <c r="A865" s="7" t="inlineStr">
        <is>
          <t>ORD-2024-1261</t>
        </is>
      </c>
      <c r="B865" s="7" t="inlineStr">
        <is>
          <t>2024-11-28</t>
        </is>
      </c>
      <c r="C865" s="7" t="inlineStr">
        <is>
          <t>TEC-TAB-003</t>
        </is>
      </c>
      <c r="D865" s="7" t="inlineStr">
        <is>
          <t>VisionPad Pro 11"</t>
        </is>
      </c>
      <c r="E865" s="7" t="inlineStr">
        <is>
          <t>Technology</t>
        </is>
      </c>
      <c r="F865" s="7" t="inlineStr">
        <is>
          <t>Phones &amp; Tablets</t>
        </is>
      </c>
      <c r="G865" s="7" t="inlineStr">
        <is>
          <t>West</t>
        </is>
      </c>
      <c r="H865" s="7" t="inlineStr">
        <is>
          <t>Oregon</t>
        </is>
      </c>
      <c r="I865" s="7" t="inlineStr">
        <is>
          <t>Wholesale</t>
        </is>
      </c>
      <c r="J865" s="7" t="inlineStr">
        <is>
          <t>Consumer</t>
        </is>
      </c>
      <c r="K865" s="8" t="n">
        <v>11</v>
      </c>
      <c r="L865" s="9" t="n">
        <v>649.99</v>
      </c>
      <c r="M865" s="10" t="n">
        <v>0.1</v>
      </c>
      <c r="N865" s="9" t="n">
        <v>487.49</v>
      </c>
      <c r="O865" s="9" t="n">
        <v>7149.89</v>
      </c>
      <c r="P865" s="9" t="n">
        <v>714.99</v>
      </c>
      <c r="Q865" s="9" t="n">
        <v>6434.9</v>
      </c>
      <c r="R865" s="9" t="n">
        <v>5362.39</v>
      </c>
      <c r="S865" s="9" t="n">
        <v>1072.51</v>
      </c>
      <c r="T865" s="10" t="n">
        <v>0.1667</v>
      </c>
    </row>
    <row r="866">
      <c r="A866" s="7" t="inlineStr">
        <is>
          <t>ORD-2024-1261</t>
        </is>
      </c>
      <c r="B866" s="7" t="inlineStr">
        <is>
          <t>2024-11-28</t>
        </is>
      </c>
      <c r="C866" s="7" t="inlineStr">
        <is>
          <t>TEC-LAP-001</t>
        </is>
      </c>
      <c r="D866" s="7" t="inlineStr">
        <is>
          <t>ProBook Elite 15.6"</t>
        </is>
      </c>
      <c r="E866" s="7" t="inlineStr">
        <is>
          <t>Technology</t>
        </is>
      </c>
      <c r="F866" s="7" t="inlineStr">
        <is>
          <t>Laptops</t>
        </is>
      </c>
      <c r="G866" s="7" t="inlineStr">
        <is>
          <t>West</t>
        </is>
      </c>
      <c r="H866" s="7" t="inlineStr">
        <is>
          <t>Oregon</t>
        </is>
      </c>
      <c r="I866" s="7" t="inlineStr">
        <is>
          <t>Wholesale</t>
        </is>
      </c>
      <c r="J866" s="7" t="inlineStr">
        <is>
          <t>Consumer</t>
        </is>
      </c>
      <c r="K866" s="8" t="n">
        <v>9</v>
      </c>
      <c r="L866" s="9" t="n">
        <v>1199.99</v>
      </c>
      <c r="M866" s="10" t="n">
        <v>0.2</v>
      </c>
      <c r="N866" s="9" t="n">
        <v>863.99</v>
      </c>
      <c r="O866" s="9" t="n">
        <v>10799.91</v>
      </c>
      <c r="P866" s="9" t="n">
        <v>2159.98</v>
      </c>
      <c r="Q866" s="9" t="n">
        <v>8639.93</v>
      </c>
      <c r="R866" s="9" t="n">
        <v>7775.91</v>
      </c>
      <c r="S866" s="9" t="n">
        <v>864.02</v>
      </c>
      <c r="T866" s="10" t="n">
        <v>0.1</v>
      </c>
    </row>
    <row r="867">
      <c r="A867" s="7" t="inlineStr">
        <is>
          <t>ORD-2024-1457</t>
        </is>
      </c>
      <c r="B867" s="7" t="inlineStr">
        <is>
          <t>2024-11-28</t>
        </is>
      </c>
      <c r="C867" s="7" t="inlineStr">
        <is>
          <t>FUR-LGT-006</t>
        </is>
      </c>
      <c r="D867" s="7" t="inlineStr">
        <is>
          <t>Architect LED Desk Task Lamp</t>
        </is>
      </c>
      <c r="E867" s="7" t="inlineStr">
        <is>
          <t>Furniture</t>
        </is>
      </c>
      <c r="F867" s="7" t="inlineStr">
        <is>
          <t>Lighting</t>
        </is>
      </c>
      <c r="G867" s="7" t="inlineStr">
        <is>
          <t>Central</t>
        </is>
      </c>
      <c r="H867" s="7" t="inlineStr">
        <is>
          <t>Illinois</t>
        </is>
      </c>
      <c r="I867" s="7" t="inlineStr">
        <is>
          <t>Direct Sales</t>
        </is>
      </c>
      <c r="J867" s="7" t="inlineStr">
        <is>
          <t>Consumer</t>
        </is>
      </c>
      <c r="K867" s="8" t="n">
        <v>2</v>
      </c>
      <c r="L867" s="9" t="n">
        <v>69.98999999999999</v>
      </c>
      <c r="M867" s="10" t="n">
        <v>0.1</v>
      </c>
      <c r="N867" s="9" t="n">
        <v>43.39</v>
      </c>
      <c r="O867" s="9" t="n">
        <v>139.98</v>
      </c>
      <c r="P867" s="9" t="n">
        <v>14</v>
      </c>
      <c r="Q867" s="9" t="n">
        <v>125.98</v>
      </c>
      <c r="R867" s="9" t="n">
        <v>86.78</v>
      </c>
      <c r="S867" s="9" t="n">
        <v>39.2</v>
      </c>
      <c r="T867" s="10" t="n">
        <v>0.3112</v>
      </c>
    </row>
    <row r="868">
      <c r="A868" s="7" t="inlineStr">
        <is>
          <t>ORD-2024-1561</t>
        </is>
      </c>
      <c r="B868" s="7" t="inlineStr">
        <is>
          <t>2024-11-28</t>
        </is>
      </c>
      <c r="C868" s="7" t="inlineStr">
        <is>
          <t>FUR-CHA-002</t>
        </is>
      </c>
      <c r="D868" s="7" t="inlineStr">
        <is>
          <t>AeroTask Operator Task Chair</t>
        </is>
      </c>
      <c r="E868" s="7" t="inlineStr">
        <is>
          <t>Furniture</t>
        </is>
      </c>
      <c r="F868" s="7" t="inlineStr">
        <is>
          <t>Chairs</t>
        </is>
      </c>
      <c r="G868" s="7" t="inlineStr">
        <is>
          <t>South</t>
        </is>
      </c>
      <c r="H868" s="7" t="inlineStr">
        <is>
          <t>North Carolina</t>
        </is>
      </c>
      <c r="I868" s="7" t="inlineStr">
        <is>
          <t>Online</t>
        </is>
      </c>
      <c r="J868" s="7" t="inlineStr">
        <is>
          <t>Corporate</t>
        </is>
      </c>
      <c r="K868" s="8" t="n">
        <v>2</v>
      </c>
      <c r="L868" s="9" t="n">
        <v>219.99</v>
      </c>
      <c r="M868" s="10" t="n">
        <v>0.2</v>
      </c>
      <c r="N868" s="9" t="n">
        <v>171.59</v>
      </c>
      <c r="O868" s="9" t="n">
        <v>439.98</v>
      </c>
      <c r="P868" s="9" t="n">
        <v>88</v>
      </c>
      <c r="Q868" s="9" t="n">
        <v>351.98</v>
      </c>
      <c r="R868" s="9" t="n">
        <v>343.18</v>
      </c>
      <c r="S868" s="9" t="n">
        <v>8.800000000000001</v>
      </c>
      <c r="T868" s="10" t="n">
        <v>0.025</v>
      </c>
    </row>
    <row r="869">
      <c r="A869" s="7" t="inlineStr">
        <is>
          <t>ORD-2024-1561</t>
        </is>
      </c>
      <c r="B869" s="7" t="inlineStr">
        <is>
          <t>2024-11-28</t>
        </is>
      </c>
      <c r="C869" s="7" t="inlineStr">
        <is>
          <t>TEC-ACC-007</t>
        </is>
      </c>
      <c r="D869" s="7" t="inlineStr">
        <is>
          <t>ErgoMechanical Wireless Keyboard</t>
        </is>
      </c>
      <c r="E869" s="7" t="inlineStr">
        <is>
          <t>Technology</t>
        </is>
      </c>
      <c r="F869" s="7" t="inlineStr">
        <is>
          <t>Audio &amp; Accessories</t>
        </is>
      </c>
      <c r="G869" s="7" t="inlineStr">
        <is>
          <t>South</t>
        </is>
      </c>
      <c r="H869" s="7" t="inlineStr">
        <is>
          <t>North Carolina</t>
        </is>
      </c>
      <c r="I869" s="7" t="inlineStr">
        <is>
          <t>Online</t>
        </is>
      </c>
      <c r="J869" s="7" t="inlineStr">
        <is>
          <t>Corporate</t>
        </is>
      </c>
      <c r="K869" s="8" t="n">
        <v>3</v>
      </c>
      <c r="L869" s="9" t="n">
        <v>109.99</v>
      </c>
      <c r="M869" s="10" t="n">
        <v>0.15</v>
      </c>
      <c r="N869" s="9" t="n">
        <v>65.98999999999999</v>
      </c>
      <c r="O869" s="9" t="n">
        <v>329.97</v>
      </c>
      <c r="P869" s="9" t="n">
        <v>49.5</v>
      </c>
      <c r="Q869" s="9" t="n">
        <v>280.47</v>
      </c>
      <c r="R869" s="9" t="n">
        <v>197.97</v>
      </c>
      <c r="S869" s="9" t="n">
        <v>82.5</v>
      </c>
      <c r="T869" s="10" t="n">
        <v>0.2941</v>
      </c>
    </row>
    <row r="870">
      <c r="A870" s="7" t="inlineStr">
        <is>
          <t>ORD-2024-1129</t>
        </is>
      </c>
      <c r="B870" s="7" t="inlineStr">
        <is>
          <t>2024-11-29</t>
        </is>
      </c>
      <c r="C870" s="7" t="inlineStr">
        <is>
          <t>OFF-PAP-004</t>
        </is>
      </c>
      <c r="D870" s="7" t="inlineStr">
        <is>
          <t>EcoRecycled Copy Paper (5 Reams)</t>
        </is>
      </c>
      <c r="E870" s="7" t="inlineStr">
        <is>
          <t>Office Supplies</t>
        </is>
      </c>
      <c r="F870" s="7" t="inlineStr">
        <is>
          <t>Paper Products</t>
        </is>
      </c>
      <c r="G870" s="7" t="inlineStr">
        <is>
          <t>East</t>
        </is>
      </c>
      <c r="H870" s="7" t="inlineStr">
        <is>
          <t>New Jersey</t>
        </is>
      </c>
      <c r="I870" s="7" t="inlineStr">
        <is>
          <t>Online</t>
        </is>
      </c>
      <c r="J870" s="7" t="inlineStr">
        <is>
          <t>Corporate</t>
        </is>
      </c>
      <c r="K870" s="8" t="n">
        <v>7</v>
      </c>
      <c r="L870" s="9" t="n">
        <v>32.99</v>
      </c>
      <c r="M870" s="10" t="n">
        <v>0</v>
      </c>
      <c r="N870" s="9" t="n">
        <v>19.79</v>
      </c>
      <c r="O870" s="9" t="n">
        <v>230.93</v>
      </c>
      <c r="P870" s="9" t="n">
        <v>0</v>
      </c>
      <c r="Q870" s="9" t="n">
        <v>230.93</v>
      </c>
      <c r="R870" s="9" t="n">
        <v>138.53</v>
      </c>
      <c r="S870" s="9" t="n">
        <v>92.40000000000001</v>
      </c>
      <c r="T870" s="10" t="n">
        <v>0.4001</v>
      </c>
    </row>
    <row r="871">
      <c r="A871" s="7" t="inlineStr">
        <is>
          <t>ORD-2024-1296</t>
        </is>
      </c>
      <c r="B871" s="7" t="inlineStr">
        <is>
          <t>2024-11-29</t>
        </is>
      </c>
      <c r="C871" s="7" t="inlineStr">
        <is>
          <t>FUR-LGT-006</t>
        </is>
      </c>
      <c r="D871" s="7" t="inlineStr">
        <is>
          <t>Architect LED Desk Task Lamp</t>
        </is>
      </c>
      <c r="E871" s="7" t="inlineStr">
        <is>
          <t>Furniture</t>
        </is>
      </c>
      <c r="F871" s="7" t="inlineStr">
        <is>
          <t>Lighting</t>
        </is>
      </c>
      <c r="G871" s="7" t="inlineStr">
        <is>
          <t>South</t>
        </is>
      </c>
      <c r="H871" s="7" t="inlineStr">
        <is>
          <t>Georgia</t>
        </is>
      </c>
      <c r="I871" s="7" t="inlineStr">
        <is>
          <t>Online</t>
        </is>
      </c>
      <c r="J871" s="7" t="inlineStr">
        <is>
          <t>Consumer</t>
        </is>
      </c>
      <c r="K871" s="8" t="n">
        <v>4</v>
      </c>
      <c r="L871" s="9" t="n">
        <v>69.98999999999999</v>
      </c>
      <c r="M871" s="10" t="n">
        <v>0</v>
      </c>
      <c r="N871" s="9" t="n">
        <v>43.39</v>
      </c>
      <c r="O871" s="9" t="n">
        <v>279.96</v>
      </c>
      <c r="P871" s="9" t="n">
        <v>0</v>
      </c>
      <c r="Q871" s="9" t="n">
        <v>279.96</v>
      </c>
      <c r="R871" s="9" t="n">
        <v>173.56</v>
      </c>
      <c r="S871" s="9" t="n">
        <v>106.4</v>
      </c>
      <c r="T871" s="10" t="n">
        <v>0.3801</v>
      </c>
    </row>
    <row r="872">
      <c r="A872" s="7" t="inlineStr">
        <is>
          <t>ORD-2024-1296</t>
        </is>
      </c>
      <c r="B872" s="7" t="inlineStr">
        <is>
          <t>2024-11-29</t>
        </is>
      </c>
      <c r="C872" s="7" t="inlineStr">
        <is>
          <t>TEC-ACC-008</t>
        </is>
      </c>
      <c r="D872" s="7" t="inlineStr">
        <is>
          <t>Precision Laser Bluetooth Mouse</t>
        </is>
      </c>
      <c r="E872" s="7" t="inlineStr">
        <is>
          <t>Technology</t>
        </is>
      </c>
      <c r="F872" s="7" t="inlineStr">
        <is>
          <t>Audio &amp; Accessories</t>
        </is>
      </c>
      <c r="G872" s="7" t="inlineStr">
        <is>
          <t>South</t>
        </is>
      </c>
      <c r="H872" s="7" t="inlineStr">
        <is>
          <t>Georgia</t>
        </is>
      </c>
      <c r="I872" s="7" t="inlineStr">
        <is>
          <t>Online</t>
        </is>
      </c>
      <c r="J872" s="7" t="inlineStr">
        <is>
          <t>Consumer</t>
        </is>
      </c>
      <c r="K872" s="8" t="n">
        <v>4</v>
      </c>
      <c r="L872" s="9" t="n">
        <v>49.99</v>
      </c>
      <c r="M872" s="10" t="n">
        <v>0.05</v>
      </c>
      <c r="N872" s="9" t="n">
        <v>27.49</v>
      </c>
      <c r="O872" s="9" t="n">
        <v>199.96</v>
      </c>
      <c r="P872" s="9" t="n">
        <v>10</v>
      </c>
      <c r="Q872" s="9" t="n">
        <v>189.96</v>
      </c>
      <c r="R872" s="9" t="n">
        <v>109.96</v>
      </c>
      <c r="S872" s="9" t="n">
        <v>80</v>
      </c>
      <c r="T872" s="10" t="n">
        <v>0.4211</v>
      </c>
    </row>
    <row r="873">
      <c r="A873" s="7" t="inlineStr">
        <is>
          <t>ORD-2024-1424</t>
        </is>
      </c>
      <c r="B873" s="7" t="inlineStr">
        <is>
          <t>2024-11-29</t>
        </is>
      </c>
      <c r="C873" s="7" t="inlineStr">
        <is>
          <t>TEC-ACC-006</t>
        </is>
      </c>
      <c r="D873" s="7" t="inlineStr">
        <is>
          <t>MultiPort Thunderbolt 4 Dock</t>
        </is>
      </c>
      <c r="E873" s="7" t="inlineStr">
        <is>
          <t>Technology</t>
        </is>
      </c>
      <c r="F873" s="7" t="inlineStr">
        <is>
          <t>Audio &amp; Accessories</t>
        </is>
      </c>
      <c r="G873" s="7" t="inlineStr">
        <is>
          <t>Central</t>
        </is>
      </c>
      <c r="H873" s="7" t="inlineStr">
        <is>
          <t>Ohio</t>
        </is>
      </c>
      <c r="I873" s="7" t="inlineStr">
        <is>
          <t>Online</t>
        </is>
      </c>
      <c r="J873" s="7" t="inlineStr">
        <is>
          <t>Consumer</t>
        </is>
      </c>
      <c r="K873" s="8" t="n">
        <v>2</v>
      </c>
      <c r="L873" s="9" t="n">
        <v>149.99</v>
      </c>
      <c r="M873" s="10" t="n">
        <v>0</v>
      </c>
      <c r="N873" s="9" t="n">
        <v>98.98999999999999</v>
      </c>
      <c r="O873" s="9" t="n">
        <v>299.98</v>
      </c>
      <c r="P873" s="9" t="n">
        <v>0</v>
      </c>
      <c r="Q873" s="9" t="n">
        <v>299.98</v>
      </c>
      <c r="R873" s="9" t="n">
        <v>197.98</v>
      </c>
      <c r="S873" s="9" t="n">
        <v>102</v>
      </c>
      <c r="T873" s="10" t="n">
        <v>0.34</v>
      </c>
    </row>
    <row r="874">
      <c r="A874" s="7" t="inlineStr">
        <is>
          <t>ORD-2024-1458</t>
        </is>
      </c>
      <c r="B874" s="7" t="inlineStr">
        <is>
          <t>2024-11-29</t>
        </is>
      </c>
      <c r="C874" s="7" t="inlineStr">
        <is>
          <t>FUR-DSK-004</t>
        </is>
      </c>
      <c r="D874" s="7" t="inlineStr">
        <is>
          <t>Metro Compact Corner Workstation</t>
        </is>
      </c>
      <c r="E874" s="7" t="inlineStr">
        <is>
          <t>Furniture</t>
        </is>
      </c>
      <c r="F874" s="7" t="inlineStr">
        <is>
          <t>Desks &amp; Workstations</t>
        </is>
      </c>
      <c r="G874" s="7" t="inlineStr">
        <is>
          <t>West</t>
        </is>
      </c>
      <c r="H874" s="7" t="inlineStr">
        <is>
          <t>Oregon</t>
        </is>
      </c>
      <c r="I874" s="7" t="inlineStr">
        <is>
          <t>Online</t>
        </is>
      </c>
      <c r="J874" s="7" t="inlineStr">
        <is>
          <t>Home Office</t>
        </is>
      </c>
      <c r="K874" s="8" t="n">
        <v>4</v>
      </c>
      <c r="L874" s="9" t="n">
        <v>329.99</v>
      </c>
      <c r="M874" s="10" t="n">
        <v>0.2</v>
      </c>
      <c r="N874" s="9" t="n">
        <v>250.79</v>
      </c>
      <c r="O874" s="9" t="n">
        <v>1319.96</v>
      </c>
      <c r="P874" s="9" t="n">
        <v>263.99</v>
      </c>
      <c r="Q874" s="9" t="n">
        <v>1055.97</v>
      </c>
      <c r="R874" s="9" t="n">
        <v>1003.16</v>
      </c>
      <c r="S874" s="9" t="n">
        <v>52.81</v>
      </c>
      <c r="T874" s="10" t="n">
        <v>0.05</v>
      </c>
    </row>
    <row r="875">
      <c r="A875" s="7" t="inlineStr">
        <is>
          <t>ORD-2024-1458</t>
        </is>
      </c>
      <c r="B875" s="7" t="inlineStr">
        <is>
          <t>2024-11-29</t>
        </is>
      </c>
      <c r="C875" s="7" t="inlineStr">
        <is>
          <t>FUR-DSK-004</t>
        </is>
      </c>
      <c r="D875" s="7" t="inlineStr">
        <is>
          <t>Metro Compact Corner Workstation</t>
        </is>
      </c>
      <c r="E875" s="7" t="inlineStr">
        <is>
          <t>Furniture</t>
        </is>
      </c>
      <c r="F875" s="7" t="inlineStr">
        <is>
          <t>Desks &amp; Workstations</t>
        </is>
      </c>
      <c r="G875" s="7" t="inlineStr">
        <is>
          <t>West</t>
        </is>
      </c>
      <c r="H875" s="7" t="inlineStr">
        <is>
          <t>Oregon</t>
        </is>
      </c>
      <c r="I875" s="7" t="inlineStr">
        <is>
          <t>Online</t>
        </is>
      </c>
      <c r="J875" s="7" t="inlineStr">
        <is>
          <t>Home Office</t>
        </is>
      </c>
      <c r="K875" s="8" t="n">
        <v>1</v>
      </c>
      <c r="L875" s="9" t="n">
        <v>329.99</v>
      </c>
      <c r="M875" s="10" t="n">
        <v>0.1</v>
      </c>
      <c r="N875" s="9" t="n">
        <v>250.79</v>
      </c>
      <c r="O875" s="9" t="n">
        <v>329.99</v>
      </c>
      <c r="P875" s="9" t="n">
        <v>33</v>
      </c>
      <c r="Q875" s="9" t="n">
        <v>296.99</v>
      </c>
      <c r="R875" s="9" t="n">
        <v>250.79</v>
      </c>
      <c r="S875" s="9" t="n">
        <v>46.2</v>
      </c>
      <c r="T875" s="10" t="n">
        <v>0.1556</v>
      </c>
    </row>
    <row r="876">
      <c r="A876" s="7" t="inlineStr">
        <is>
          <t>ORD-2024-1715</t>
        </is>
      </c>
      <c r="B876" s="7" t="inlineStr">
        <is>
          <t>2024-11-29</t>
        </is>
      </c>
      <c r="C876" s="7" t="inlineStr">
        <is>
          <t>TEC-ACC-005</t>
        </is>
      </c>
      <c r="D876" s="7" t="inlineStr">
        <is>
          <t>UltraWireless Noise-Canceling Headset</t>
        </is>
      </c>
      <c r="E876" s="7" t="inlineStr">
        <is>
          <t>Technology</t>
        </is>
      </c>
      <c r="F876" s="7" t="inlineStr">
        <is>
          <t>Audio &amp; Accessories</t>
        </is>
      </c>
      <c r="G876" s="7" t="inlineStr">
        <is>
          <t>West</t>
        </is>
      </c>
      <c r="H876" s="7" t="inlineStr">
        <is>
          <t>California</t>
        </is>
      </c>
      <c r="I876" s="7" t="inlineStr">
        <is>
          <t>Direct Sales</t>
        </is>
      </c>
      <c r="J876" s="7" t="inlineStr">
        <is>
          <t>Corporate</t>
        </is>
      </c>
      <c r="K876" s="8" t="n">
        <v>8</v>
      </c>
      <c r="L876" s="9" t="n">
        <v>179.99</v>
      </c>
      <c r="M876" s="10" t="n">
        <v>0.2</v>
      </c>
      <c r="N876" s="9" t="n">
        <v>111.59</v>
      </c>
      <c r="O876" s="9" t="n">
        <v>1439.92</v>
      </c>
      <c r="P876" s="9" t="n">
        <v>287.98</v>
      </c>
      <c r="Q876" s="9" t="n">
        <v>1151.94</v>
      </c>
      <c r="R876" s="9" t="n">
        <v>892.72</v>
      </c>
      <c r="S876" s="9" t="n">
        <v>259.22</v>
      </c>
      <c r="T876" s="10" t="n">
        <v>0.225</v>
      </c>
    </row>
    <row r="877">
      <c r="A877" s="7" t="inlineStr">
        <is>
          <t>ORD-2024-1715</t>
        </is>
      </c>
      <c r="B877" s="7" t="inlineStr">
        <is>
          <t>2024-11-29</t>
        </is>
      </c>
      <c r="C877" s="7" t="inlineStr">
        <is>
          <t>TEC-TAB-004</t>
        </is>
      </c>
      <c r="D877" s="7" t="inlineStr">
        <is>
          <t>VisionPad Lite 8.5"</t>
        </is>
      </c>
      <c r="E877" s="7" t="inlineStr">
        <is>
          <t>Technology</t>
        </is>
      </c>
      <c r="F877" s="7" t="inlineStr">
        <is>
          <t>Phones &amp; Tablets</t>
        </is>
      </c>
      <c r="G877" s="7" t="inlineStr">
        <is>
          <t>West</t>
        </is>
      </c>
      <c r="H877" s="7" t="inlineStr">
        <is>
          <t>California</t>
        </is>
      </c>
      <c r="I877" s="7" t="inlineStr">
        <is>
          <t>Direct Sales</t>
        </is>
      </c>
      <c r="J877" s="7" t="inlineStr">
        <is>
          <t>Corporate</t>
        </is>
      </c>
      <c r="K877" s="8" t="n">
        <v>6</v>
      </c>
      <c r="L877" s="9" t="n">
        <v>299.99</v>
      </c>
      <c r="M877" s="10" t="n">
        <v>0</v>
      </c>
      <c r="N877" s="9" t="n">
        <v>245.99</v>
      </c>
      <c r="O877" s="9" t="n">
        <v>1799.94</v>
      </c>
      <c r="P877" s="9" t="n">
        <v>0</v>
      </c>
      <c r="Q877" s="9" t="n">
        <v>1799.94</v>
      </c>
      <c r="R877" s="9" t="n">
        <v>1475.94</v>
      </c>
      <c r="S877" s="9" t="n">
        <v>324</v>
      </c>
      <c r="T877" s="10" t="n">
        <v>0.18</v>
      </c>
    </row>
    <row r="878">
      <c r="A878" s="7" t="inlineStr">
        <is>
          <t>ORD-2024-1217</t>
        </is>
      </c>
      <c r="B878" s="7" t="inlineStr">
        <is>
          <t>2024-11-30</t>
        </is>
      </c>
      <c r="C878" s="7" t="inlineStr">
        <is>
          <t>TEC-TAB-003</t>
        </is>
      </c>
      <c r="D878" s="7" t="inlineStr">
        <is>
          <t>VisionPad Pro 11"</t>
        </is>
      </c>
      <c r="E878" s="7" t="inlineStr">
        <is>
          <t>Technology</t>
        </is>
      </c>
      <c r="F878" s="7" t="inlineStr">
        <is>
          <t>Phones &amp; Tablets</t>
        </is>
      </c>
      <c r="G878" s="7" t="inlineStr">
        <is>
          <t>West</t>
        </is>
      </c>
      <c r="H878" s="7" t="inlineStr">
        <is>
          <t>Washington</t>
        </is>
      </c>
      <c r="I878" s="7" t="inlineStr">
        <is>
          <t>Wholesale</t>
        </is>
      </c>
      <c r="J878" s="7" t="inlineStr">
        <is>
          <t>Corporate</t>
        </is>
      </c>
      <c r="K878" s="8" t="n">
        <v>9</v>
      </c>
      <c r="L878" s="9" t="n">
        <v>649.99</v>
      </c>
      <c r="M878" s="10" t="n">
        <v>0.1</v>
      </c>
      <c r="N878" s="9" t="n">
        <v>487.49</v>
      </c>
      <c r="O878" s="9" t="n">
        <v>5849.91</v>
      </c>
      <c r="P878" s="9" t="n">
        <v>584.99</v>
      </c>
      <c r="Q878" s="9" t="n">
        <v>5264.92</v>
      </c>
      <c r="R878" s="9" t="n">
        <v>4387.41</v>
      </c>
      <c r="S878" s="9" t="n">
        <v>877.51</v>
      </c>
      <c r="T878" s="10" t="n">
        <v>0.1667</v>
      </c>
    </row>
    <row r="879">
      <c r="A879" s="7" t="inlineStr">
        <is>
          <t>ORD-2024-1258</t>
        </is>
      </c>
      <c r="B879" s="7" t="inlineStr">
        <is>
          <t>2024-11-30</t>
        </is>
      </c>
      <c r="C879" s="7" t="inlineStr">
        <is>
          <t>TEC-ACC-006</t>
        </is>
      </c>
      <c r="D879" s="7" t="inlineStr">
        <is>
          <t>MultiPort Thunderbolt 4 Dock</t>
        </is>
      </c>
      <c r="E879" s="7" t="inlineStr">
        <is>
          <t>Technology</t>
        </is>
      </c>
      <c r="F879" s="7" t="inlineStr">
        <is>
          <t>Audio &amp; Accessories</t>
        </is>
      </c>
      <c r="G879" s="7" t="inlineStr">
        <is>
          <t>West</t>
        </is>
      </c>
      <c r="H879" s="7" t="inlineStr">
        <is>
          <t>Oregon</t>
        </is>
      </c>
      <c r="I879" s="7" t="inlineStr">
        <is>
          <t>Retail Partner</t>
        </is>
      </c>
      <c r="J879" s="7" t="inlineStr">
        <is>
          <t>Corporate</t>
        </is>
      </c>
      <c r="K879" s="8" t="n">
        <v>4</v>
      </c>
      <c r="L879" s="9" t="n">
        <v>149.99</v>
      </c>
      <c r="M879" s="10" t="n">
        <v>0</v>
      </c>
      <c r="N879" s="9" t="n">
        <v>98.98999999999999</v>
      </c>
      <c r="O879" s="9" t="n">
        <v>599.96</v>
      </c>
      <c r="P879" s="9" t="n">
        <v>0</v>
      </c>
      <c r="Q879" s="9" t="n">
        <v>599.96</v>
      </c>
      <c r="R879" s="9" t="n">
        <v>395.96</v>
      </c>
      <c r="S879" s="9" t="n">
        <v>204</v>
      </c>
      <c r="T879" s="10" t="n">
        <v>0.34</v>
      </c>
    </row>
    <row r="880">
      <c r="A880" s="7" t="inlineStr">
        <is>
          <t>ORD-2024-1698</t>
        </is>
      </c>
      <c r="B880" s="7" t="inlineStr">
        <is>
          <t>2024-12-01</t>
        </is>
      </c>
      <c r="C880" s="7" t="inlineStr">
        <is>
          <t>TEC-ACC-006</t>
        </is>
      </c>
      <c r="D880" s="7" t="inlineStr">
        <is>
          <t>MultiPort Thunderbolt 4 Dock</t>
        </is>
      </c>
      <c r="E880" s="7" t="inlineStr">
        <is>
          <t>Technology</t>
        </is>
      </c>
      <c r="F880" s="7" t="inlineStr">
        <is>
          <t>Audio &amp; Accessories</t>
        </is>
      </c>
      <c r="G880" s="7" t="inlineStr">
        <is>
          <t>West</t>
        </is>
      </c>
      <c r="H880" s="7" t="inlineStr">
        <is>
          <t>California</t>
        </is>
      </c>
      <c r="I880" s="7" t="inlineStr">
        <is>
          <t>Wholesale</t>
        </is>
      </c>
      <c r="J880" s="7" t="inlineStr">
        <is>
          <t>Home Office</t>
        </is>
      </c>
      <c r="K880" s="8" t="n">
        <v>12</v>
      </c>
      <c r="L880" s="9" t="n">
        <v>149.99</v>
      </c>
      <c r="M880" s="10" t="n">
        <v>0.1</v>
      </c>
      <c r="N880" s="9" t="n">
        <v>98.98999999999999</v>
      </c>
      <c r="O880" s="9" t="n">
        <v>1799.88</v>
      </c>
      <c r="P880" s="9" t="n">
        <v>179.99</v>
      </c>
      <c r="Q880" s="9" t="n">
        <v>1619.89</v>
      </c>
      <c r="R880" s="9" t="n">
        <v>1187.88</v>
      </c>
      <c r="S880" s="9" t="n">
        <v>432.01</v>
      </c>
      <c r="T880" s="10" t="n">
        <v>0.2667</v>
      </c>
    </row>
    <row r="881">
      <c r="A881" s="7" t="inlineStr">
        <is>
          <t>ORD-2024-1063</t>
        </is>
      </c>
      <c r="B881" s="7" t="inlineStr">
        <is>
          <t>2024-12-02</t>
        </is>
      </c>
      <c r="C881" s="7" t="inlineStr">
        <is>
          <t>OFF-PAP-003</t>
        </is>
      </c>
      <c r="D881" s="7" t="inlineStr">
        <is>
          <t>UltraWhite Premium Multipurpose Paper (Case)</t>
        </is>
      </c>
      <c r="E881" s="7" t="inlineStr">
        <is>
          <t>Office Supplies</t>
        </is>
      </c>
      <c r="F881" s="7" t="inlineStr">
        <is>
          <t>Paper Products</t>
        </is>
      </c>
      <c r="G881" s="7" t="inlineStr">
        <is>
          <t>East</t>
        </is>
      </c>
      <c r="H881" s="7" t="inlineStr">
        <is>
          <t>New Jersey</t>
        </is>
      </c>
      <c r="I881" s="7" t="inlineStr">
        <is>
          <t>Retail Partner</t>
        </is>
      </c>
      <c r="J881" s="7" t="inlineStr">
        <is>
          <t>Consumer</t>
        </is>
      </c>
      <c r="K881" s="8" t="n">
        <v>2</v>
      </c>
      <c r="L881" s="9" t="n">
        <v>54.99</v>
      </c>
      <c r="M881" s="10" t="n">
        <v>0.05</v>
      </c>
      <c r="N881" s="9" t="n">
        <v>31.89</v>
      </c>
      <c r="O881" s="9" t="n">
        <v>109.98</v>
      </c>
      <c r="P881" s="9" t="n">
        <v>5.5</v>
      </c>
      <c r="Q881" s="9" t="n">
        <v>104.48</v>
      </c>
      <c r="R881" s="9" t="n">
        <v>63.78</v>
      </c>
      <c r="S881" s="9" t="n">
        <v>40.7</v>
      </c>
      <c r="T881" s="10" t="n">
        <v>0.3895</v>
      </c>
    </row>
    <row r="882">
      <c r="A882" s="7" t="inlineStr">
        <is>
          <t>ORD-2024-1063</t>
        </is>
      </c>
      <c r="B882" s="7" t="inlineStr">
        <is>
          <t>2024-12-02</t>
        </is>
      </c>
      <c r="C882" s="7" t="inlineStr">
        <is>
          <t>TEC-LAP-002</t>
        </is>
      </c>
      <c r="D882" s="7" t="inlineStr">
        <is>
          <t>Apex Gaming Laptop 17"</t>
        </is>
      </c>
      <c r="E882" s="7" t="inlineStr">
        <is>
          <t>Technology</t>
        </is>
      </c>
      <c r="F882" s="7" t="inlineStr">
        <is>
          <t>Laptops</t>
        </is>
      </c>
      <c r="G882" s="7" t="inlineStr">
        <is>
          <t>East</t>
        </is>
      </c>
      <c r="H882" s="7" t="inlineStr">
        <is>
          <t>New Jersey</t>
        </is>
      </c>
      <c r="I882" s="7" t="inlineStr">
        <is>
          <t>Retail Partner</t>
        </is>
      </c>
      <c r="J882" s="7" t="inlineStr">
        <is>
          <t>Consumer</t>
        </is>
      </c>
      <c r="K882" s="8" t="n">
        <v>1</v>
      </c>
      <c r="L882" s="9" t="n">
        <v>1499.99</v>
      </c>
      <c r="M882" s="10" t="n">
        <v>0.1</v>
      </c>
      <c r="N882" s="9" t="n">
        <v>1259.99</v>
      </c>
      <c r="O882" s="9" t="n">
        <v>1499.99</v>
      </c>
      <c r="P882" s="9" t="n">
        <v>150</v>
      </c>
      <c r="Q882" s="9" t="n">
        <v>1349.99</v>
      </c>
      <c r="R882" s="9" t="n">
        <v>1259.99</v>
      </c>
      <c r="S882" s="9" t="n">
        <v>90</v>
      </c>
      <c r="T882" s="10" t="n">
        <v>0.0667</v>
      </c>
    </row>
    <row r="883">
      <c r="A883" s="7" t="inlineStr">
        <is>
          <t>ORD-2024-1117</t>
        </is>
      </c>
      <c r="B883" s="7" t="inlineStr">
        <is>
          <t>2024-12-02</t>
        </is>
      </c>
      <c r="C883" s="7" t="inlineStr">
        <is>
          <t>TEC-TAB-004</t>
        </is>
      </c>
      <c r="D883" s="7" t="inlineStr">
        <is>
          <t>VisionPad Lite 8.5"</t>
        </is>
      </c>
      <c r="E883" s="7" t="inlineStr">
        <is>
          <t>Technology</t>
        </is>
      </c>
      <c r="F883" s="7" t="inlineStr">
        <is>
          <t>Phones &amp; Tablets</t>
        </is>
      </c>
      <c r="G883" s="7" t="inlineStr">
        <is>
          <t>East</t>
        </is>
      </c>
      <c r="H883" s="7" t="inlineStr">
        <is>
          <t>Pennsylvania</t>
        </is>
      </c>
      <c r="I883" s="7" t="inlineStr">
        <is>
          <t>Online</t>
        </is>
      </c>
      <c r="J883" s="7" t="inlineStr">
        <is>
          <t>Home Office</t>
        </is>
      </c>
      <c r="K883" s="8" t="n">
        <v>4</v>
      </c>
      <c r="L883" s="9" t="n">
        <v>299.99</v>
      </c>
      <c r="M883" s="10" t="n">
        <v>0</v>
      </c>
      <c r="N883" s="9" t="n">
        <v>245.99</v>
      </c>
      <c r="O883" s="9" t="n">
        <v>1199.96</v>
      </c>
      <c r="P883" s="9" t="n">
        <v>0</v>
      </c>
      <c r="Q883" s="9" t="n">
        <v>1199.96</v>
      </c>
      <c r="R883" s="9" t="n">
        <v>983.96</v>
      </c>
      <c r="S883" s="9" t="n">
        <v>216</v>
      </c>
      <c r="T883" s="10" t="n">
        <v>0.18</v>
      </c>
    </row>
    <row r="884">
      <c r="A884" s="7" t="inlineStr">
        <is>
          <t>ORD-2024-1176</t>
        </is>
      </c>
      <c r="B884" s="7" t="inlineStr">
        <is>
          <t>2024-12-02</t>
        </is>
      </c>
      <c r="C884" s="7" t="inlineStr">
        <is>
          <t>TEC-ACC-005</t>
        </is>
      </c>
      <c r="D884" s="7" t="inlineStr">
        <is>
          <t>UltraWireless Noise-Canceling Headset</t>
        </is>
      </c>
      <c r="E884" s="7" t="inlineStr">
        <is>
          <t>Technology</t>
        </is>
      </c>
      <c r="F884" s="7" t="inlineStr">
        <is>
          <t>Audio &amp; Accessories</t>
        </is>
      </c>
      <c r="G884" s="7" t="inlineStr">
        <is>
          <t>South</t>
        </is>
      </c>
      <c r="H884" s="7" t="inlineStr">
        <is>
          <t>North Carolina</t>
        </is>
      </c>
      <c r="I884" s="7" t="inlineStr">
        <is>
          <t>Retail Partner</t>
        </is>
      </c>
      <c r="J884" s="7" t="inlineStr">
        <is>
          <t>Home Office</t>
        </is>
      </c>
      <c r="K884" s="8" t="n">
        <v>4</v>
      </c>
      <c r="L884" s="9" t="n">
        <v>179.99</v>
      </c>
      <c r="M884" s="10" t="n">
        <v>0.05</v>
      </c>
      <c r="N884" s="9" t="n">
        <v>111.59</v>
      </c>
      <c r="O884" s="9" t="n">
        <v>719.96</v>
      </c>
      <c r="P884" s="9" t="n">
        <v>36</v>
      </c>
      <c r="Q884" s="9" t="n">
        <v>683.96</v>
      </c>
      <c r="R884" s="9" t="n">
        <v>446.36</v>
      </c>
      <c r="S884" s="9" t="n">
        <v>237.6</v>
      </c>
      <c r="T884" s="10" t="n">
        <v>0.3474</v>
      </c>
    </row>
    <row r="885">
      <c r="A885" s="7" t="inlineStr">
        <is>
          <t>ORD-2024-1439</t>
        </is>
      </c>
      <c r="B885" s="7" t="inlineStr">
        <is>
          <t>2024-12-02</t>
        </is>
      </c>
      <c r="C885" s="7" t="inlineStr">
        <is>
          <t>OFF-DSK-007</t>
        </is>
      </c>
      <c r="D885" s="7" t="inlineStr">
        <is>
          <t>Gel Ergo Mouse Pad &amp; Wrist Rest Combo</t>
        </is>
      </c>
      <c r="E885" s="7" t="inlineStr">
        <is>
          <t>Office Supplies</t>
        </is>
      </c>
      <c r="F885" s="7" t="inlineStr">
        <is>
          <t>Desk Supplies</t>
        </is>
      </c>
      <c r="G885" s="7" t="inlineStr">
        <is>
          <t>East</t>
        </is>
      </c>
      <c r="H885" s="7" t="inlineStr">
        <is>
          <t>Massachusetts</t>
        </is>
      </c>
      <c r="I885" s="7" t="inlineStr">
        <is>
          <t>Wholesale</t>
        </is>
      </c>
      <c r="J885" s="7" t="inlineStr">
        <is>
          <t>Corporate</t>
        </is>
      </c>
      <c r="K885" s="8" t="n">
        <v>8</v>
      </c>
      <c r="L885" s="9" t="n">
        <v>21.99</v>
      </c>
      <c r="M885" s="10" t="n">
        <v>0.15</v>
      </c>
      <c r="N885" s="9" t="n">
        <v>10.56</v>
      </c>
      <c r="O885" s="9" t="n">
        <v>175.92</v>
      </c>
      <c r="P885" s="9" t="n">
        <v>26.39</v>
      </c>
      <c r="Q885" s="9" t="n">
        <v>149.53</v>
      </c>
      <c r="R885" s="9" t="n">
        <v>84.48</v>
      </c>
      <c r="S885" s="9" t="n">
        <v>65.05</v>
      </c>
      <c r="T885" s="10" t="n">
        <v>0.435</v>
      </c>
    </row>
    <row r="886">
      <c r="A886" s="7" t="inlineStr">
        <is>
          <t>ORD-2024-1180</t>
        </is>
      </c>
      <c r="B886" s="7" t="inlineStr">
        <is>
          <t>2024-12-03</t>
        </is>
      </c>
      <c r="C886" s="7" t="inlineStr">
        <is>
          <t>OFF-STR-002</t>
        </is>
      </c>
      <c r="D886" s="7" t="inlineStr">
        <is>
          <t>Stackable Heavy-Duty Storage Bins (4-Pk)</t>
        </is>
      </c>
      <c r="E886" s="7" t="inlineStr">
        <is>
          <t>Office Supplies</t>
        </is>
      </c>
      <c r="F886" s="7" t="inlineStr">
        <is>
          <t>Storage &amp; Organizers</t>
        </is>
      </c>
      <c r="G886" s="7" t="inlineStr">
        <is>
          <t>Central</t>
        </is>
      </c>
      <c r="H886" s="7" t="inlineStr">
        <is>
          <t>Michigan</t>
        </is>
      </c>
      <c r="I886" s="7" t="inlineStr">
        <is>
          <t>Direct Sales</t>
        </is>
      </c>
      <c r="J886" s="7" t="inlineStr">
        <is>
          <t>Home Office</t>
        </is>
      </c>
      <c r="K886" s="8" t="n">
        <v>1</v>
      </c>
      <c r="L886" s="9" t="n">
        <v>44.99</v>
      </c>
      <c r="M886" s="10" t="n">
        <v>0.1</v>
      </c>
      <c r="N886" s="9" t="n">
        <v>24.74</v>
      </c>
      <c r="O886" s="9" t="n">
        <v>44.99</v>
      </c>
      <c r="P886" s="9" t="n">
        <v>4.5</v>
      </c>
      <c r="Q886" s="9" t="n">
        <v>40.49</v>
      </c>
      <c r="R886" s="9" t="n">
        <v>24.74</v>
      </c>
      <c r="S886" s="9" t="n">
        <v>15.75</v>
      </c>
      <c r="T886" s="10" t="n">
        <v>0.389</v>
      </c>
    </row>
    <row r="887">
      <c r="A887" s="7" t="inlineStr">
        <is>
          <t>ORD-2024-1180</t>
        </is>
      </c>
      <c r="B887" s="7" t="inlineStr">
        <is>
          <t>2024-12-03</t>
        </is>
      </c>
      <c r="C887" s="7" t="inlineStr">
        <is>
          <t>OFF-BIN-005</t>
        </is>
      </c>
      <c r="D887" s="7" t="inlineStr">
        <is>
          <t>Heavy-Duty D-Ring Presentation Binder (6-Pk)</t>
        </is>
      </c>
      <c r="E887" s="7" t="inlineStr">
        <is>
          <t>Office Supplies</t>
        </is>
      </c>
      <c r="F887" s="7" t="inlineStr">
        <is>
          <t>Binders &amp; Fasteners</t>
        </is>
      </c>
      <c r="G887" s="7" t="inlineStr">
        <is>
          <t>Central</t>
        </is>
      </c>
      <c r="H887" s="7" t="inlineStr">
        <is>
          <t>Michigan</t>
        </is>
      </c>
      <c r="I887" s="7" t="inlineStr">
        <is>
          <t>Direct Sales</t>
        </is>
      </c>
      <c r="J887" s="7" t="inlineStr">
        <is>
          <t>Home Office</t>
        </is>
      </c>
      <c r="K887" s="8" t="n">
        <v>1</v>
      </c>
      <c r="L887" s="9" t="n">
        <v>27.99</v>
      </c>
      <c r="M887" s="10" t="n">
        <v>0.15</v>
      </c>
      <c r="N887" s="9" t="n">
        <v>13.99</v>
      </c>
      <c r="O887" s="9" t="n">
        <v>27.99</v>
      </c>
      <c r="P887" s="9" t="n">
        <v>4.2</v>
      </c>
      <c r="Q887" s="9" t="n">
        <v>23.79</v>
      </c>
      <c r="R887" s="9" t="n">
        <v>13.99</v>
      </c>
      <c r="S887" s="9" t="n">
        <v>9.800000000000001</v>
      </c>
      <c r="T887" s="10" t="n">
        <v>0.4119</v>
      </c>
    </row>
    <row r="888">
      <c r="A888" s="7" t="inlineStr">
        <is>
          <t>ORD-2024-1182</t>
        </is>
      </c>
      <c r="B888" s="7" t="inlineStr">
        <is>
          <t>2024-12-03</t>
        </is>
      </c>
      <c r="C888" s="7" t="inlineStr">
        <is>
          <t>TEC-TAB-004</t>
        </is>
      </c>
      <c r="D888" s="7" t="inlineStr">
        <is>
          <t>VisionPad Lite 8.5"</t>
        </is>
      </c>
      <c r="E888" s="7" t="inlineStr">
        <is>
          <t>Technology</t>
        </is>
      </c>
      <c r="F888" s="7" t="inlineStr">
        <is>
          <t>Phones &amp; Tablets</t>
        </is>
      </c>
      <c r="G888" s="7" t="inlineStr">
        <is>
          <t>West</t>
        </is>
      </c>
      <c r="H888" s="7" t="inlineStr">
        <is>
          <t>Washington</t>
        </is>
      </c>
      <c r="I888" s="7" t="inlineStr">
        <is>
          <t>Retail Partner</t>
        </is>
      </c>
      <c r="J888" s="7" t="inlineStr">
        <is>
          <t>Consumer</t>
        </is>
      </c>
      <c r="K888" s="8" t="n">
        <v>4</v>
      </c>
      <c r="L888" s="9" t="n">
        <v>299.99</v>
      </c>
      <c r="M888" s="10" t="n">
        <v>0.1</v>
      </c>
      <c r="N888" s="9" t="n">
        <v>245.99</v>
      </c>
      <c r="O888" s="9" t="n">
        <v>1199.96</v>
      </c>
      <c r="P888" s="9" t="n">
        <v>120</v>
      </c>
      <c r="Q888" s="9" t="n">
        <v>1079.96</v>
      </c>
      <c r="R888" s="9" t="n">
        <v>983.96</v>
      </c>
      <c r="S888" s="9" t="n">
        <v>96</v>
      </c>
      <c r="T888" s="10" t="n">
        <v>0.08890000000000001</v>
      </c>
    </row>
    <row r="889">
      <c r="A889" s="7" t="inlineStr">
        <is>
          <t>ORD-2024-1188</t>
        </is>
      </c>
      <c r="B889" s="7" t="inlineStr">
        <is>
          <t>2024-12-03</t>
        </is>
      </c>
      <c r="C889" s="7" t="inlineStr">
        <is>
          <t>TEC-LAP-001</t>
        </is>
      </c>
      <c r="D889" s="7" t="inlineStr">
        <is>
          <t>ProBook Elite 15.6"</t>
        </is>
      </c>
      <c r="E889" s="7" t="inlineStr">
        <is>
          <t>Technology</t>
        </is>
      </c>
      <c r="F889" s="7" t="inlineStr">
        <is>
          <t>Laptops</t>
        </is>
      </c>
      <c r="G889" s="7" t="inlineStr">
        <is>
          <t>South</t>
        </is>
      </c>
      <c r="H889" s="7" t="inlineStr">
        <is>
          <t>Georgia</t>
        </is>
      </c>
      <c r="I889" s="7" t="inlineStr">
        <is>
          <t>Retail Partner</t>
        </is>
      </c>
      <c r="J889" s="7" t="inlineStr">
        <is>
          <t>Consumer</t>
        </is>
      </c>
      <c r="K889" s="8" t="n">
        <v>4</v>
      </c>
      <c r="L889" s="9" t="n">
        <v>1199.99</v>
      </c>
      <c r="M889" s="10" t="n">
        <v>0</v>
      </c>
      <c r="N889" s="9" t="n">
        <v>863.99</v>
      </c>
      <c r="O889" s="9" t="n">
        <v>4799.96</v>
      </c>
      <c r="P889" s="9" t="n">
        <v>0</v>
      </c>
      <c r="Q889" s="9" t="n">
        <v>4799.96</v>
      </c>
      <c r="R889" s="9" t="n">
        <v>3455.96</v>
      </c>
      <c r="S889" s="9" t="n">
        <v>1344</v>
      </c>
      <c r="T889" s="10" t="n">
        <v>0.28</v>
      </c>
    </row>
    <row r="890">
      <c r="A890" s="7" t="inlineStr">
        <is>
          <t>ORD-2024-1188</t>
        </is>
      </c>
      <c r="B890" s="7" t="inlineStr">
        <is>
          <t>2024-12-03</t>
        </is>
      </c>
      <c r="C890" s="7" t="inlineStr">
        <is>
          <t>OFF-STR-001</t>
        </is>
      </c>
      <c r="D890" s="7" t="inlineStr">
        <is>
          <t>SteelLock 3-Drawer File Cabinet</t>
        </is>
      </c>
      <c r="E890" s="7" t="inlineStr">
        <is>
          <t>Office Supplies</t>
        </is>
      </c>
      <c r="F890" s="7" t="inlineStr">
        <is>
          <t>Storage &amp; Organizers</t>
        </is>
      </c>
      <c r="G890" s="7" t="inlineStr">
        <is>
          <t>South</t>
        </is>
      </c>
      <c r="H890" s="7" t="inlineStr">
        <is>
          <t>Georgia</t>
        </is>
      </c>
      <c r="I890" s="7" t="inlineStr">
        <is>
          <t>Retail Partner</t>
        </is>
      </c>
      <c r="J890" s="7" t="inlineStr">
        <is>
          <t>Consumer</t>
        </is>
      </c>
      <c r="K890" s="8" t="n">
        <v>4</v>
      </c>
      <c r="L890" s="9" t="n">
        <v>169.99</v>
      </c>
      <c r="M890" s="10" t="n">
        <v>0</v>
      </c>
      <c r="N890" s="9" t="n">
        <v>115.59</v>
      </c>
      <c r="O890" s="9" t="n">
        <v>679.96</v>
      </c>
      <c r="P890" s="9" t="n">
        <v>0</v>
      </c>
      <c r="Q890" s="9" t="n">
        <v>679.96</v>
      </c>
      <c r="R890" s="9" t="n">
        <v>462.36</v>
      </c>
      <c r="S890" s="9" t="n">
        <v>217.6</v>
      </c>
      <c r="T890" s="10" t="n">
        <v>0.32</v>
      </c>
    </row>
    <row r="891">
      <c r="A891" s="7" t="inlineStr">
        <is>
          <t>ORD-2024-1278</t>
        </is>
      </c>
      <c r="B891" s="7" t="inlineStr">
        <is>
          <t>2024-12-03</t>
        </is>
      </c>
      <c r="C891" s="7" t="inlineStr">
        <is>
          <t>OFF-DSK-007</t>
        </is>
      </c>
      <c r="D891" s="7" t="inlineStr">
        <is>
          <t>Gel Ergo Mouse Pad &amp; Wrist Rest Combo</t>
        </is>
      </c>
      <c r="E891" s="7" t="inlineStr">
        <is>
          <t>Office Supplies</t>
        </is>
      </c>
      <c r="F891" s="7" t="inlineStr">
        <is>
          <t>Desk Supplies</t>
        </is>
      </c>
      <c r="G891" s="7" t="inlineStr">
        <is>
          <t>South</t>
        </is>
      </c>
      <c r="H891" s="7" t="inlineStr">
        <is>
          <t>Georgia</t>
        </is>
      </c>
      <c r="I891" s="7" t="inlineStr">
        <is>
          <t>Retail Partner</t>
        </is>
      </c>
      <c r="J891" s="7" t="inlineStr">
        <is>
          <t>Consumer</t>
        </is>
      </c>
      <c r="K891" s="8" t="n">
        <v>1</v>
      </c>
      <c r="L891" s="9" t="n">
        <v>21.99</v>
      </c>
      <c r="M891" s="10" t="n">
        <v>0.05</v>
      </c>
      <c r="N891" s="9" t="n">
        <v>10.56</v>
      </c>
      <c r="O891" s="9" t="n">
        <v>21.99</v>
      </c>
      <c r="P891" s="9" t="n">
        <v>1.1</v>
      </c>
      <c r="Q891" s="9" t="n">
        <v>20.89</v>
      </c>
      <c r="R891" s="9" t="n">
        <v>10.56</v>
      </c>
      <c r="S891" s="9" t="n">
        <v>10.33</v>
      </c>
      <c r="T891" s="10" t="n">
        <v>0.4945</v>
      </c>
    </row>
    <row r="892">
      <c r="A892" s="7" t="inlineStr">
        <is>
          <t>ORD-2024-1354</t>
        </is>
      </c>
      <c r="B892" s="7" t="inlineStr">
        <is>
          <t>2024-12-03</t>
        </is>
      </c>
      <c r="C892" s="7" t="inlineStr">
        <is>
          <t>TEC-TAB-004</t>
        </is>
      </c>
      <c r="D892" s="7" t="inlineStr">
        <is>
          <t>VisionPad Lite 8.5"</t>
        </is>
      </c>
      <c r="E892" s="7" t="inlineStr">
        <is>
          <t>Technology</t>
        </is>
      </c>
      <c r="F892" s="7" t="inlineStr">
        <is>
          <t>Phones &amp; Tablets</t>
        </is>
      </c>
      <c r="G892" s="7" t="inlineStr">
        <is>
          <t>East</t>
        </is>
      </c>
      <c r="H892" s="7" t="inlineStr">
        <is>
          <t>Massachusetts</t>
        </is>
      </c>
      <c r="I892" s="7" t="inlineStr">
        <is>
          <t>Direct Sales</t>
        </is>
      </c>
      <c r="J892" s="7" t="inlineStr">
        <is>
          <t>Consumer</t>
        </is>
      </c>
      <c r="K892" s="8" t="n">
        <v>4</v>
      </c>
      <c r="L892" s="9" t="n">
        <v>299.99</v>
      </c>
      <c r="M892" s="10" t="n">
        <v>0.05</v>
      </c>
      <c r="N892" s="9" t="n">
        <v>245.99</v>
      </c>
      <c r="O892" s="9" t="n">
        <v>1199.96</v>
      </c>
      <c r="P892" s="9" t="n">
        <v>60</v>
      </c>
      <c r="Q892" s="9" t="n">
        <v>1139.96</v>
      </c>
      <c r="R892" s="9" t="n">
        <v>983.96</v>
      </c>
      <c r="S892" s="9" t="n">
        <v>156</v>
      </c>
      <c r="T892" s="10" t="n">
        <v>0.1368</v>
      </c>
    </row>
    <row r="893">
      <c r="A893" s="7" t="inlineStr">
        <is>
          <t>ORD-2024-1414</t>
        </is>
      </c>
      <c r="B893" s="7" t="inlineStr">
        <is>
          <t>2024-12-03</t>
        </is>
      </c>
      <c r="C893" s="7" t="inlineStr">
        <is>
          <t>OFF-DSK-007</t>
        </is>
      </c>
      <c r="D893" s="7" t="inlineStr">
        <is>
          <t>Gel Ergo Mouse Pad &amp; Wrist Rest Combo</t>
        </is>
      </c>
      <c r="E893" s="7" t="inlineStr">
        <is>
          <t>Office Supplies</t>
        </is>
      </c>
      <c r="F893" s="7" t="inlineStr">
        <is>
          <t>Desk Supplies</t>
        </is>
      </c>
      <c r="G893" s="7" t="inlineStr">
        <is>
          <t>Central</t>
        </is>
      </c>
      <c r="H893" s="7" t="inlineStr">
        <is>
          <t>Texas</t>
        </is>
      </c>
      <c r="I893" s="7" t="inlineStr">
        <is>
          <t>Wholesale</t>
        </is>
      </c>
      <c r="J893" s="7" t="inlineStr">
        <is>
          <t>Corporate</t>
        </is>
      </c>
      <c r="K893" s="8" t="n">
        <v>10</v>
      </c>
      <c r="L893" s="9" t="n">
        <v>21.99</v>
      </c>
      <c r="M893" s="10" t="n">
        <v>0.1</v>
      </c>
      <c r="N893" s="9" t="n">
        <v>10.56</v>
      </c>
      <c r="O893" s="9" t="n">
        <v>219.9</v>
      </c>
      <c r="P893" s="9" t="n">
        <v>21.99</v>
      </c>
      <c r="Q893" s="9" t="n">
        <v>197.91</v>
      </c>
      <c r="R893" s="9" t="n">
        <v>105.6</v>
      </c>
      <c r="S893" s="9" t="n">
        <v>92.31</v>
      </c>
      <c r="T893" s="10" t="n">
        <v>0.4664</v>
      </c>
    </row>
    <row r="894">
      <c r="A894" s="7" t="inlineStr">
        <is>
          <t>ORD-2024-1606</t>
        </is>
      </c>
      <c r="B894" s="7" t="inlineStr">
        <is>
          <t>2024-12-03</t>
        </is>
      </c>
      <c r="C894" s="7" t="inlineStr">
        <is>
          <t>TEC-ACC-008</t>
        </is>
      </c>
      <c r="D894" s="7" t="inlineStr">
        <is>
          <t>Precision Laser Bluetooth Mouse</t>
        </is>
      </c>
      <c r="E894" s="7" t="inlineStr">
        <is>
          <t>Technology</t>
        </is>
      </c>
      <c r="F894" s="7" t="inlineStr">
        <is>
          <t>Audio &amp; Accessories</t>
        </is>
      </c>
      <c r="G894" s="7" t="inlineStr">
        <is>
          <t>Central</t>
        </is>
      </c>
      <c r="H894" s="7" t="inlineStr">
        <is>
          <t>Ohio</t>
        </is>
      </c>
      <c r="I894" s="7" t="inlineStr">
        <is>
          <t>Online</t>
        </is>
      </c>
      <c r="J894" s="7" t="inlineStr">
        <is>
          <t>Consumer</t>
        </is>
      </c>
      <c r="K894" s="8" t="n">
        <v>1</v>
      </c>
      <c r="L894" s="9" t="n">
        <v>49.99</v>
      </c>
      <c r="M894" s="10" t="n">
        <v>0.05</v>
      </c>
      <c r="N894" s="9" t="n">
        <v>27.49</v>
      </c>
      <c r="O894" s="9" t="n">
        <v>49.99</v>
      </c>
      <c r="P894" s="9" t="n">
        <v>2.5</v>
      </c>
      <c r="Q894" s="9" t="n">
        <v>47.49</v>
      </c>
      <c r="R894" s="9" t="n">
        <v>27.49</v>
      </c>
      <c r="S894" s="9" t="n">
        <v>20</v>
      </c>
      <c r="T894" s="10" t="n">
        <v>0.4211</v>
      </c>
    </row>
    <row r="895">
      <c r="A895" s="7" t="inlineStr">
        <is>
          <t>ORD-2024-1726</t>
        </is>
      </c>
      <c r="B895" s="7" t="inlineStr">
        <is>
          <t>2024-12-03</t>
        </is>
      </c>
      <c r="C895" s="7" t="inlineStr">
        <is>
          <t>FUR-CHA-001</t>
        </is>
      </c>
      <c r="D895" s="7" t="inlineStr">
        <is>
          <t>ErgoFlex Executive Mesh Chair</t>
        </is>
      </c>
      <c r="E895" s="7" t="inlineStr">
        <is>
          <t>Furniture</t>
        </is>
      </c>
      <c r="F895" s="7" t="inlineStr">
        <is>
          <t>Chairs</t>
        </is>
      </c>
      <c r="G895" s="7" t="inlineStr">
        <is>
          <t>South</t>
        </is>
      </c>
      <c r="H895" s="7" t="inlineStr">
        <is>
          <t>Georgia</t>
        </is>
      </c>
      <c r="I895" s="7" t="inlineStr">
        <is>
          <t>Retail Partner</t>
        </is>
      </c>
      <c r="J895" s="7" t="inlineStr">
        <is>
          <t>Consumer</t>
        </is>
      </c>
      <c r="K895" s="8" t="n">
        <v>1</v>
      </c>
      <c r="L895" s="9" t="n">
        <v>389.99</v>
      </c>
      <c r="M895" s="10" t="n">
        <v>0.2</v>
      </c>
      <c r="N895" s="9" t="n">
        <v>331.49</v>
      </c>
      <c r="O895" s="9" t="n">
        <v>389.99</v>
      </c>
      <c r="P895" s="9" t="n">
        <v>78</v>
      </c>
      <c r="Q895" s="9" t="n">
        <v>311.99</v>
      </c>
      <c r="R895" s="9" t="n">
        <v>331.49</v>
      </c>
      <c r="S895" s="9" t="n">
        <v>-19.5</v>
      </c>
      <c r="T895" s="10" t="n">
        <v>-0.0625</v>
      </c>
    </row>
    <row r="896">
      <c r="A896" s="7" t="inlineStr">
        <is>
          <t>ORD-2024-1170</t>
        </is>
      </c>
      <c r="B896" s="7" t="inlineStr">
        <is>
          <t>2024-12-04</t>
        </is>
      </c>
      <c r="C896" s="7" t="inlineStr">
        <is>
          <t>FUR-DSK-003</t>
        </is>
      </c>
      <c r="D896" s="7" t="inlineStr">
        <is>
          <t>ApexMotor Dual-Motor Standing Desk</t>
        </is>
      </c>
      <c r="E896" s="7" t="inlineStr">
        <is>
          <t>Furniture</t>
        </is>
      </c>
      <c r="F896" s="7" t="inlineStr">
        <is>
          <t>Desks &amp; Workstations</t>
        </is>
      </c>
      <c r="G896" s="7" t="inlineStr">
        <is>
          <t>South</t>
        </is>
      </c>
      <c r="H896" s="7" t="inlineStr">
        <is>
          <t>Georgia</t>
        </is>
      </c>
      <c r="I896" s="7" t="inlineStr">
        <is>
          <t>Direct Sales</t>
        </is>
      </c>
      <c r="J896" s="7" t="inlineStr">
        <is>
          <t>Corporate</t>
        </is>
      </c>
      <c r="K896" s="8" t="n">
        <v>2</v>
      </c>
      <c r="L896" s="9" t="n">
        <v>549.99</v>
      </c>
      <c r="M896" s="10" t="n">
        <v>0.2</v>
      </c>
      <c r="N896" s="9" t="n">
        <v>439.99</v>
      </c>
      <c r="O896" s="9" t="n">
        <v>1099.98</v>
      </c>
      <c r="P896" s="9" t="n">
        <v>220</v>
      </c>
      <c r="Q896" s="9" t="n">
        <v>879.98</v>
      </c>
      <c r="R896" s="9" t="n">
        <v>879.98</v>
      </c>
      <c r="S896" s="9" t="n">
        <v>0</v>
      </c>
      <c r="T896" s="10" t="n">
        <v>0</v>
      </c>
    </row>
    <row r="897">
      <c r="A897" s="7" t="inlineStr">
        <is>
          <t>ORD-2024-1450</t>
        </is>
      </c>
      <c r="B897" s="7" t="inlineStr">
        <is>
          <t>2024-12-04</t>
        </is>
      </c>
      <c r="C897" s="7" t="inlineStr">
        <is>
          <t>FUR-CHA-002</t>
        </is>
      </c>
      <c r="D897" s="7" t="inlineStr">
        <is>
          <t>AeroTask Operator Task Chair</t>
        </is>
      </c>
      <c r="E897" s="7" t="inlineStr">
        <is>
          <t>Furniture</t>
        </is>
      </c>
      <c r="F897" s="7" t="inlineStr">
        <is>
          <t>Chairs</t>
        </is>
      </c>
      <c r="G897" s="7" t="inlineStr">
        <is>
          <t>South</t>
        </is>
      </c>
      <c r="H897" s="7" t="inlineStr">
        <is>
          <t>Florida</t>
        </is>
      </c>
      <c r="I897" s="7" t="inlineStr">
        <is>
          <t>Online</t>
        </is>
      </c>
      <c r="J897" s="7" t="inlineStr">
        <is>
          <t>Corporate</t>
        </is>
      </c>
      <c r="K897" s="8" t="n">
        <v>5</v>
      </c>
      <c r="L897" s="9" t="n">
        <v>219.99</v>
      </c>
      <c r="M897" s="10" t="n">
        <v>0.05</v>
      </c>
      <c r="N897" s="9" t="n">
        <v>171.59</v>
      </c>
      <c r="O897" s="9" t="n">
        <v>1099.95</v>
      </c>
      <c r="P897" s="9" t="n">
        <v>55</v>
      </c>
      <c r="Q897" s="9" t="n">
        <v>1044.95</v>
      </c>
      <c r="R897" s="9" t="n">
        <v>857.95</v>
      </c>
      <c r="S897" s="9" t="n">
        <v>187</v>
      </c>
      <c r="T897" s="10" t="n">
        <v>0.179</v>
      </c>
    </row>
    <row r="898">
      <c r="A898" s="7" t="inlineStr">
        <is>
          <t>ORD-2024-1257</t>
        </is>
      </c>
      <c r="B898" s="7" t="inlineStr">
        <is>
          <t>2024-12-05</t>
        </is>
      </c>
      <c r="C898" s="7" t="inlineStr">
        <is>
          <t>OFF-PAP-003</t>
        </is>
      </c>
      <c r="D898" s="7" t="inlineStr">
        <is>
          <t>UltraWhite Premium Multipurpose Paper (Case)</t>
        </is>
      </c>
      <c r="E898" s="7" t="inlineStr">
        <is>
          <t>Office Supplies</t>
        </is>
      </c>
      <c r="F898" s="7" t="inlineStr">
        <is>
          <t>Paper Products</t>
        </is>
      </c>
      <c r="G898" s="7" t="inlineStr">
        <is>
          <t>East</t>
        </is>
      </c>
      <c r="H898" s="7" t="inlineStr">
        <is>
          <t>Massachusetts</t>
        </is>
      </c>
      <c r="I898" s="7" t="inlineStr">
        <is>
          <t>Retail Partner</t>
        </is>
      </c>
      <c r="J898" s="7" t="inlineStr">
        <is>
          <t>Corporate</t>
        </is>
      </c>
      <c r="K898" s="8" t="n">
        <v>6</v>
      </c>
      <c r="L898" s="9" t="n">
        <v>54.99</v>
      </c>
      <c r="M898" s="10" t="n">
        <v>0</v>
      </c>
      <c r="N898" s="9" t="n">
        <v>31.89</v>
      </c>
      <c r="O898" s="9" t="n">
        <v>329.94</v>
      </c>
      <c r="P898" s="9" t="n">
        <v>0</v>
      </c>
      <c r="Q898" s="9" t="n">
        <v>329.94</v>
      </c>
      <c r="R898" s="9" t="n">
        <v>191.34</v>
      </c>
      <c r="S898" s="9" t="n">
        <v>138.6</v>
      </c>
      <c r="T898" s="10" t="n">
        <v>0.4201</v>
      </c>
    </row>
    <row r="899">
      <c r="A899" s="7" t="inlineStr">
        <is>
          <t>ORD-2024-1447</t>
        </is>
      </c>
      <c r="B899" s="7" t="inlineStr">
        <is>
          <t>2024-12-05</t>
        </is>
      </c>
      <c r="C899" s="7" t="inlineStr">
        <is>
          <t>OFF-PAP-003</t>
        </is>
      </c>
      <c r="D899" s="7" t="inlineStr">
        <is>
          <t>UltraWhite Premium Multipurpose Paper (Case)</t>
        </is>
      </c>
      <c r="E899" s="7" t="inlineStr">
        <is>
          <t>Office Supplies</t>
        </is>
      </c>
      <c r="F899" s="7" t="inlineStr">
        <is>
          <t>Paper Products</t>
        </is>
      </c>
      <c r="G899" s="7" t="inlineStr">
        <is>
          <t>West</t>
        </is>
      </c>
      <c r="H899" s="7" t="inlineStr">
        <is>
          <t>Oregon</t>
        </is>
      </c>
      <c r="I899" s="7" t="inlineStr">
        <is>
          <t>Direct Sales</t>
        </is>
      </c>
      <c r="J899" s="7" t="inlineStr">
        <is>
          <t>Consumer</t>
        </is>
      </c>
      <c r="K899" s="8" t="n">
        <v>1</v>
      </c>
      <c r="L899" s="9" t="n">
        <v>54.99</v>
      </c>
      <c r="M899" s="10" t="n">
        <v>0</v>
      </c>
      <c r="N899" s="9" t="n">
        <v>31.89</v>
      </c>
      <c r="O899" s="9" t="n">
        <v>54.99</v>
      </c>
      <c r="P899" s="9" t="n">
        <v>0</v>
      </c>
      <c r="Q899" s="9" t="n">
        <v>54.99</v>
      </c>
      <c r="R899" s="9" t="n">
        <v>31.89</v>
      </c>
      <c r="S899" s="9" t="n">
        <v>23.1</v>
      </c>
      <c r="T899" s="10" t="n">
        <v>0.4201</v>
      </c>
    </row>
    <row r="900">
      <c r="A900" s="7" t="inlineStr">
        <is>
          <t>ORD-2024-1467</t>
        </is>
      </c>
      <c r="B900" s="7" t="inlineStr">
        <is>
          <t>2024-12-05</t>
        </is>
      </c>
      <c r="C900" s="7" t="inlineStr">
        <is>
          <t>FUR-DSK-003</t>
        </is>
      </c>
      <c r="D900" s="7" t="inlineStr">
        <is>
          <t>ApexMotor Dual-Motor Standing Desk</t>
        </is>
      </c>
      <c r="E900" s="7" t="inlineStr">
        <is>
          <t>Furniture</t>
        </is>
      </c>
      <c r="F900" s="7" t="inlineStr">
        <is>
          <t>Desks &amp; Workstations</t>
        </is>
      </c>
      <c r="G900" s="7" t="inlineStr">
        <is>
          <t>East</t>
        </is>
      </c>
      <c r="H900" s="7" t="inlineStr">
        <is>
          <t>Pennsylvania</t>
        </is>
      </c>
      <c r="I900" s="7" t="inlineStr">
        <is>
          <t>Online</t>
        </is>
      </c>
      <c r="J900" s="7" t="inlineStr">
        <is>
          <t>Corporate</t>
        </is>
      </c>
      <c r="K900" s="8" t="n">
        <v>6</v>
      </c>
      <c r="L900" s="9" t="n">
        <v>549.99</v>
      </c>
      <c r="M900" s="10" t="n">
        <v>0.05</v>
      </c>
      <c r="N900" s="9" t="n">
        <v>439.99</v>
      </c>
      <c r="O900" s="9" t="n">
        <v>3299.94</v>
      </c>
      <c r="P900" s="9" t="n">
        <v>165</v>
      </c>
      <c r="Q900" s="9" t="n">
        <v>3134.94</v>
      </c>
      <c r="R900" s="9" t="n">
        <v>2639.94</v>
      </c>
      <c r="S900" s="9" t="n">
        <v>495</v>
      </c>
      <c r="T900" s="10" t="n">
        <v>0.1579</v>
      </c>
    </row>
    <row r="901">
      <c r="A901" s="7" t="inlineStr">
        <is>
          <t>ORD-2024-1467</t>
        </is>
      </c>
      <c r="B901" s="7" t="inlineStr">
        <is>
          <t>2024-12-05</t>
        </is>
      </c>
      <c r="C901" s="7" t="inlineStr">
        <is>
          <t>FUR-DSK-003</t>
        </is>
      </c>
      <c r="D901" s="7" t="inlineStr">
        <is>
          <t>ApexMotor Dual-Motor Standing Desk</t>
        </is>
      </c>
      <c r="E901" s="7" t="inlineStr">
        <is>
          <t>Furniture</t>
        </is>
      </c>
      <c r="F901" s="7" t="inlineStr">
        <is>
          <t>Desks &amp; Workstations</t>
        </is>
      </c>
      <c r="G901" s="7" t="inlineStr">
        <is>
          <t>East</t>
        </is>
      </c>
      <c r="H901" s="7" t="inlineStr">
        <is>
          <t>Pennsylvania</t>
        </is>
      </c>
      <c r="I901" s="7" t="inlineStr">
        <is>
          <t>Online</t>
        </is>
      </c>
      <c r="J901" s="7" t="inlineStr">
        <is>
          <t>Corporate</t>
        </is>
      </c>
      <c r="K901" s="8" t="n">
        <v>3</v>
      </c>
      <c r="L901" s="9" t="n">
        <v>549.99</v>
      </c>
      <c r="M901" s="10" t="n">
        <v>0.2</v>
      </c>
      <c r="N901" s="9" t="n">
        <v>439.99</v>
      </c>
      <c r="O901" s="9" t="n">
        <v>1649.97</v>
      </c>
      <c r="P901" s="9" t="n">
        <v>329.99</v>
      </c>
      <c r="Q901" s="9" t="n">
        <v>1319.98</v>
      </c>
      <c r="R901" s="9" t="n">
        <v>1319.97</v>
      </c>
      <c r="S901" s="9" t="n">
        <v>0.01</v>
      </c>
      <c r="T901" s="10" t="n">
        <v>0</v>
      </c>
    </row>
    <row r="902">
      <c r="A902" s="7" t="inlineStr">
        <is>
          <t>ORD-2024-1160</t>
        </is>
      </c>
      <c r="B902" s="7" t="inlineStr">
        <is>
          <t>2024-12-06</t>
        </is>
      </c>
      <c r="C902" s="7" t="inlineStr">
        <is>
          <t>TEC-ACC-007</t>
        </is>
      </c>
      <c r="D902" s="7" t="inlineStr">
        <is>
          <t>ErgoMechanical Wireless Keyboard</t>
        </is>
      </c>
      <c r="E902" s="7" t="inlineStr">
        <is>
          <t>Technology</t>
        </is>
      </c>
      <c r="F902" s="7" t="inlineStr">
        <is>
          <t>Audio &amp; Accessories</t>
        </is>
      </c>
      <c r="G902" s="7" t="inlineStr">
        <is>
          <t>South</t>
        </is>
      </c>
      <c r="H902" s="7" t="inlineStr">
        <is>
          <t>Virginia</t>
        </is>
      </c>
      <c r="I902" s="7" t="inlineStr">
        <is>
          <t>Wholesale</t>
        </is>
      </c>
      <c r="J902" s="7" t="inlineStr">
        <is>
          <t>Corporate</t>
        </is>
      </c>
      <c r="K902" s="8" t="n">
        <v>10</v>
      </c>
      <c r="L902" s="9" t="n">
        <v>109.99</v>
      </c>
      <c r="M902" s="10" t="n">
        <v>0.2</v>
      </c>
      <c r="N902" s="9" t="n">
        <v>65.98999999999999</v>
      </c>
      <c r="O902" s="9" t="n">
        <v>1099.9</v>
      </c>
      <c r="P902" s="9" t="n">
        <v>219.98</v>
      </c>
      <c r="Q902" s="9" t="n">
        <v>879.92</v>
      </c>
      <c r="R902" s="9" t="n">
        <v>659.9</v>
      </c>
      <c r="S902" s="9" t="n">
        <v>220.02</v>
      </c>
      <c r="T902" s="10" t="n">
        <v>0.25</v>
      </c>
    </row>
    <row r="903">
      <c r="A903" s="7" t="inlineStr">
        <is>
          <t>ORD-2024-1160</t>
        </is>
      </c>
      <c r="B903" s="7" t="inlineStr">
        <is>
          <t>2024-12-06</t>
        </is>
      </c>
      <c r="C903" s="7" t="inlineStr">
        <is>
          <t>FUR-CHA-001</t>
        </is>
      </c>
      <c r="D903" s="7" t="inlineStr">
        <is>
          <t>ErgoFlex Executive Mesh Chair</t>
        </is>
      </c>
      <c r="E903" s="7" t="inlineStr">
        <is>
          <t>Furniture</t>
        </is>
      </c>
      <c r="F903" s="7" t="inlineStr">
        <is>
          <t>Chairs</t>
        </is>
      </c>
      <c r="G903" s="7" t="inlineStr">
        <is>
          <t>South</t>
        </is>
      </c>
      <c r="H903" s="7" t="inlineStr">
        <is>
          <t>Virginia</t>
        </is>
      </c>
      <c r="I903" s="7" t="inlineStr">
        <is>
          <t>Wholesale</t>
        </is>
      </c>
      <c r="J903" s="7" t="inlineStr">
        <is>
          <t>Corporate</t>
        </is>
      </c>
      <c r="K903" s="8" t="n">
        <v>10</v>
      </c>
      <c r="L903" s="9" t="n">
        <v>389.99</v>
      </c>
      <c r="M903" s="10" t="n">
        <v>0.1</v>
      </c>
      <c r="N903" s="9" t="n">
        <v>331.49</v>
      </c>
      <c r="O903" s="9" t="n">
        <v>3899.9</v>
      </c>
      <c r="P903" s="9" t="n">
        <v>389.99</v>
      </c>
      <c r="Q903" s="9" t="n">
        <v>3509.91</v>
      </c>
      <c r="R903" s="9" t="n">
        <v>3314.9</v>
      </c>
      <c r="S903" s="9" t="n">
        <v>195.01</v>
      </c>
      <c r="T903" s="10" t="n">
        <v>0.0556</v>
      </c>
    </row>
    <row r="904">
      <c r="A904" s="7" t="inlineStr">
        <is>
          <t>ORD-2024-1390</t>
        </is>
      </c>
      <c r="B904" s="7" t="inlineStr">
        <is>
          <t>2024-12-06</t>
        </is>
      </c>
      <c r="C904" s="7" t="inlineStr">
        <is>
          <t>OFF-PAP-003</t>
        </is>
      </c>
      <c r="D904" s="7" t="inlineStr">
        <is>
          <t>UltraWhite Premium Multipurpose Paper (Case)</t>
        </is>
      </c>
      <c r="E904" s="7" t="inlineStr">
        <is>
          <t>Office Supplies</t>
        </is>
      </c>
      <c r="F904" s="7" t="inlineStr">
        <is>
          <t>Paper Products</t>
        </is>
      </c>
      <c r="G904" s="7" t="inlineStr">
        <is>
          <t>West</t>
        </is>
      </c>
      <c r="H904" s="7" t="inlineStr">
        <is>
          <t>California</t>
        </is>
      </c>
      <c r="I904" s="7" t="inlineStr">
        <is>
          <t>Direct Sales</t>
        </is>
      </c>
      <c r="J904" s="7" t="inlineStr">
        <is>
          <t>Home Office</t>
        </is>
      </c>
      <c r="K904" s="8" t="n">
        <v>3</v>
      </c>
      <c r="L904" s="9" t="n">
        <v>54.99</v>
      </c>
      <c r="M904" s="10" t="n">
        <v>0.15</v>
      </c>
      <c r="N904" s="9" t="n">
        <v>31.89</v>
      </c>
      <c r="O904" s="9" t="n">
        <v>164.97</v>
      </c>
      <c r="P904" s="9" t="n">
        <v>24.75</v>
      </c>
      <c r="Q904" s="9" t="n">
        <v>140.22</v>
      </c>
      <c r="R904" s="9" t="n">
        <v>95.67</v>
      </c>
      <c r="S904" s="9" t="n">
        <v>44.55</v>
      </c>
      <c r="T904" s="10" t="n">
        <v>0.3177</v>
      </c>
    </row>
    <row r="905">
      <c r="A905" s="7" t="inlineStr">
        <is>
          <t>ORD-2024-1107</t>
        </is>
      </c>
      <c r="B905" s="7" t="inlineStr">
        <is>
          <t>2024-12-07</t>
        </is>
      </c>
      <c r="C905" s="7" t="inlineStr">
        <is>
          <t>OFF-BIN-005</t>
        </is>
      </c>
      <c r="D905" s="7" t="inlineStr">
        <is>
          <t>Heavy-Duty D-Ring Presentation Binder (6-Pk)</t>
        </is>
      </c>
      <c r="E905" s="7" t="inlineStr">
        <is>
          <t>Office Supplies</t>
        </is>
      </c>
      <c r="F905" s="7" t="inlineStr">
        <is>
          <t>Binders &amp; Fasteners</t>
        </is>
      </c>
      <c r="G905" s="7" t="inlineStr">
        <is>
          <t>East</t>
        </is>
      </c>
      <c r="H905" s="7" t="inlineStr">
        <is>
          <t>New Jersey</t>
        </is>
      </c>
      <c r="I905" s="7" t="inlineStr">
        <is>
          <t>Direct Sales</t>
        </is>
      </c>
      <c r="J905" s="7" t="inlineStr">
        <is>
          <t>Consumer</t>
        </is>
      </c>
      <c r="K905" s="8" t="n">
        <v>3</v>
      </c>
      <c r="L905" s="9" t="n">
        <v>27.99</v>
      </c>
      <c r="M905" s="10" t="n">
        <v>0</v>
      </c>
      <c r="N905" s="9" t="n">
        <v>13.99</v>
      </c>
      <c r="O905" s="9" t="n">
        <v>83.97</v>
      </c>
      <c r="P905" s="9" t="n">
        <v>0</v>
      </c>
      <c r="Q905" s="9" t="n">
        <v>83.97</v>
      </c>
      <c r="R905" s="9" t="n">
        <v>41.97</v>
      </c>
      <c r="S905" s="9" t="n">
        <v>42</v>
      </c>
      <c r="T905" s="10" t="n">
        <v>0.5002</v>
      </c>
    </row>
    <row r="906">
      <c r="A906" s="7" t="inlineStr">
        <is>
          <t>ORD-2024-1107</t>
        </is>
      </c>
      <c r="B906" s="7" t="inlineStr">
        <is>
          <t>2024-12-07</t>
        </is>
      </c>
      <c r="C906" s="7" t="inlineStr">
        <is>
          <t>OFF-STR-001</t>
        </is>
      </c>
      <c r="D906" s="7" t="inlineStr">
        <is>
          <t>SteelLock 3-Drawer File Cabinet</t>
        </is>
      </c>
      <c r="E906" s="7" t="inlineStr">
        <is>
          <t>Office Supplies</t>
        </is>
      </c>
      <c r="F906" s="7" t="inlineStr">
        <is>
          <t>Storage &amp; Organizers</t>
        </is>
      </c>
      <c r="G906" s="7" t="inlineStr">
        <is>
          <t>East</t>
        </is>
      </c>
      <c r="H906" s="7" t="inlineStr">
        <is>
          <t>New Jersey</t>
        </is>
      </c>
      <c r="I906" s="7" t="inlineStr">
        <is>
          <t>Direct Sales</t>
        </is>
      </c>
      <c r="J906" s="7" t="inlineStr">
        <is>
          <t>Consumer</t>
        </is>
      </c>
      <c r="K906" s="8" t="n">
        <v>4</v>
      </c>
      <c r="L906" s="9" t="n">
        <v>169.99</v>
      </c>
      <c r="M906" s="10" t="n">
        <v>0</v>
      </c>
      <c r="N906" s="9" t="n">
        <v>115.59</v>
      </c>
      <c r="O906" s="9" t="n">
        <v>679.96</v>
      </c>
      <c r="P906" s="9" t="n">
        <v>0</v>
      </c>
      <c r="Q906" s="9" t="n">
        <v>679.96</v>
      </c>
      <c r="R906" s="9" t="n">
        <v>462.36</v>
      </c>
      <c r="S906" s="9" t="n">
        <v>217.6</v>
      </c>
      <c r="T906" s="10" t="n">
        <v>0.32</v>
      </c>
    </row>
    <row r="907">
      <c r="A907" s="7" t="inlineStr">
        <is>
          <t>ORD-2024-1126</t>
        </is>
      </c>
      <c r="B907" s="7" t="inlineStr">
        <is>
          <t>2024-12-07</t>
        </is>
      </c>
      <c r="C907" s="7" t="inlineStr">
        <is>
          <t>FUR-LGT-006</t>
        </is>
      </c>
      <c r="D907" s="7" t="inlineStr">
        <is>
          <t>Architect LED Desk Task Lamp</t>
        </is>
      </c>
      <c r="E907" s="7" t="inlineStr">
        <is>
          <t>Furniture</t>
        </is>
      </c>
      <c r="F907" s="7" t="inlineStr">
        <is>
          <t>Lighting</t>
        </is>
      </c>
      <c r="G907" s="7" t="inlineStr">
        <is>
          <t>South</t>
        </is>
      </c>
      <c r="H907" s="7" t="inlineStr">
        <is>
          <t>Florida</t>
        </is>
      </c>
      <c r="I907" s="7" t="inlineStr">
        <is>
          <t>Direct Sales</t>
        </is>
      </c>
      <c r="J907" s="7" t="inlineStr">
        <is>
          <t>Consumer</t>
        </is>
      </c>
      <c r="K907" s="8" t="n">
        <v>4</v>
      </c>
      <c r="L907" s="9" t="n">
        <v>69.98999999999999</v>
      </c>
      <c r="M907" s="10" t="n">
        <v>0.15</v>
      </c>
      <c r="N907" s="9" t="n">
        <v>43.39</v>
      </c>
      <c r="O907" s="9" t="n">
        <v>279.96</v>
      </c>
      <c r="P907" s="9" t="n">
        <v>41.99</v>
      </c>
      <c r="Q907" s="9" t="n">
        <v>237.97</v>
      </c>
      <c r="R907" s="9" t="n">
        <v>173.56</v>
      </c>
      <c r="S907" s="9" t="n">
        <v>64.41</v>
      </c>
      <c r="T907" s="10" t="n">
        <v>0.2707</v>
      </c>
    </row>
    <row r="908">
      <c r="A908" s="7" t="inlineStr">
        <is>
          <t>ORD-2024-1126</t>
        </is>
      </c>
      <c r="B908" s="7" t="inlineStr">
        <is>
          <t>2024-12-07</t>
        </is>
      </c>
      <c r="C908" s="7" t="inlineStr">
        <is>
          <t>FUR-DSK-003</t>
        </is>
      </c>
      <c r="D908" s="7" t="inlineStr">
        <is>
          <t>ApexMotor Dual-Motor Standing Desk</t>
        </is>
      </c>
      <c r="E908" s="7" t="inlineStr">
        <is>
          <t>Furniture</t>
        </is>
      </c>
      <c r="F908" s="7" t="inlineStr">
        <is>
          <t>Desks &amp; Workstations</t>
        </is>
      </c>
      <c r="G908" s="7" t="inlineStr">
        <is>
          <t>South</t>
        </is>
      </c>
      <c r="H908" s="7" t="inlineStr">
        <is>
          <t>Florida</t>
        </is>
      </c>
      <c r="I908" s="7" t="inlineStr">
        <is>
          <t>Direct Sales</t>
        </is>
      </c>
      <c r="J908" s="7" t="inlineStr">
        <is>
          <t>Consumer</t>
        </is>
      </c>
      <c r="K908" s="8" t="n">
        <v>4</v>
      </c>
      <c r="L908" s="9" t="n">
        <v>549.99</v>
      </c>
      <c r="M908" s="10" t="n">
        <v>0</v>
      </c>
      <c r="N908" s="9" t="n">
        <v>439.99</v>
      </c>
      <c r="O908" s="9" t="n">
        <v>2199.96</v>
      </c>
      <c r="P908" s="9" t="n">
        <v>0</v>
      </c>
      <c r="Q908" s="9" t="n">
        <v>2199.96</v>
      </c>
      <c r="R908" s="9" t="n">
        <v>1759.96</v>
      </c>
      <c r="S908" s="9" t="n">
        <v>440</v>
      </c>
      <c r="T908" s="10" t="n">
        <v>0.2</v>
      </c>
    </row>
    <row r="909">
      <c r="A909" s="7" t="inlineStr">
        <is>
          <t>ORD-2024-1126</t>
        </is>
      </c>
      <c r="B909" s="7" t="inlineStr">
        <is>
          <t>2024-12-07</t>
        </is>
      </c>
      <c r="C909" s="7" t="inlineStr">
        <is>
          <t>FUR-LGT-006</t>
        </is>
      </c>
      <c r="D909" s="7" t="inlineStr">
        <is>
          <t>Architect LED Desk Task Lamp</t>
        </is>
      </c>
      <c r="E909" s="7" t="inlineStr">
        <is>
          <t>Furniture</t>
        </is>
      </c>
      <c r="F909" s="7" t="inlineStr">
        <is>
          <t>Lighting</t>
        </is>
      </c>
      <c r="G909" s="7" t="inlineStr">
        <is>
          <t>South</t>
        </is>
      </c>
      <c r="H909" s="7" t="inlineStr">
        <is>
          <t>Florida</t>
        </is>
      </c>
      <c r="I909" s="7" t="inlineStr">
        <is>
          <t>Direct Sales</t>
        </is>
      </c>
      <c r="J909" s="7" t="inlineStr">
        <is>
          <t>Consumer</t>
        </is>
      </c>
      <c r="K909" s="8" t="n">
        <v>1</v>
      </c>
      <c r="L909" s="9" t="n">
        <v>69.98999999999999</v>
      </c>
      <c r="M909" s="10" t="n">
        <v>0.2</v>
      </c>
      <c r="N909" s="9" t="n">
        <v>43.39</v>
      </c>
      <c r="O909" s="9" t="n">
        <v>69.98999999999999</v>
      </c>
      <c r="P909" s="9" t="n">
        <v>14</v>
      </c>
      <c r="Q909" s="9" t="n">
        <v>55.99</v>
      </c>
      <c r="R909" s="9" t="n">
        <v>43.39</v>
      </c>
      <c r="S909" s="9" t="n">
        <v>12.6</v>
      </c>
      <c r="T909" s="10" t="n">
        <v>0.225</v>
      </c>
    </row>
    <row r="910">
      <c r="A910" s="7" t="inlineStr">
        <is>
          <t>ORD-2024-1126</t>
        </is>
      </c>
      <c r="B910" s="7" t="inlineStr">
        <is>
          <t>2024-12-07</t>
        </is>
      </c>
      <c r="C910" s="7" t="inlineStr">
        <is>
          <t>TEC-ACC-007</t>
        </is>
      </c>
      <c r="D910" s="7" t="inlineStr">
        <is>
          <t>ErgoMechanical Wireless Keyboard</t>
        </is>
      </c>
      <c r="E910" s="7" t="inlineStr">
        <is>
          <t>Technology</t>
        </is>
      </c>
      <c r="F910" s="7" t="inlineStr">
        <is>
          <t>Audio &amp; Accessories</t>
        </is>
      </c>
      <c r="G910" s="7" t="inlineStr">
        <is>
          <t>South</t>
        </is>
      </c>
      <c r="H910" s="7" t="inlineStr">
        <is>
          <t>Florida</t>
        </is>
      </c>
      <c r="I910" s="7" t="inlineStr">
        <is>
          <t>Direct Sales</t>
        </is>
      </c>
      <c r="J910" s="7" t="inlineStr">
        <is>
          <t>Consumer</t>
        </is>
      </c>
      <c r="K910" s="8" t="n">
        <v>4</v>
      </c>
      <c r="L910" s="9" t="n">
        <v>109.99</v>
      </c>
      <c r="M910" s="10" t="n">
        <v>0.15</v>
      </c>
      <c r="N910" s="9" t="n">
        <v>65.98999999999999</v>
      </c>
      <c r="O910" s="9" t="n">
        <v>439.96</v>
      </c>
      <c r="P910" s="9" t="n">
        <v>65.98999999999999</v>
      </c>
      <c r="Q910" s="9" t="n">
        <v>373.97</v>
      </c>
      <c r="R910" s="9" t="n">
        <v>263.96</v>
      </c>
      <c r="S910" s="9" t="n">
        <v>110.01</v>
      </c>
      <c r="T910" s="10" t="n">
        <v>0.2942</v>
      </c>
    </row>
    <row r="911">
      <c r="A911" s="7" t="inlineStr">
        <is>
          <t>ORD-2024-1539</t>
        </is>
      </c>
      <c r="B911" s="7" t="inlineStr">
        <is>
          <t>2024-12-07</t>
        </is>
      </c>
      <c r="C911" s="7" t="inlineStr">
        <is>
          <t>TEC-LAP-002</t>
        </is>
      </c>
      <c r="D911" s="7" t="inlineStr">
        <is>
          <t>Apex Gaming Laptop 17"</t>
        </is>
      </c>
      <c r="E911" s="7" t="inlineStr">
        <is>
          <t>Technology</t>
        </is>
      </c>
      <c r="F911" s="7" t="inlineStr">
        <is>
          <t>Laptops</t>
        </is>
      </c>
      <c r="G911" s="7" t="inlineStr">
        <is>
          <t>Central</t>
        </is>
      </c>
      <c r="H911" s="7" t="inlineStr">
        <is>
          <t>Illinois</t>
        </is>
      </c>
      <c r="I911" s="7" t="inlineStr">
        <is>
          <t>Direct Sales</t>
        </is>
      </c>
      <c r="J911" s="7" t="inlineStr">
        <is>
          <t>Corporate</t>
        </is>
      </c>
      <c r="K911" s="8" t="n">
        <v>8</v>
      </c>
      <c r="L911" s="9" t="n">
        <v>1499.99</v>
      </c>
      <c r="M911" s="10" t="n">
        <v>0.15</v>
      </c>
      <c r="N911" s="9" t="n">
        <v>1259.99</v>
      </c>
      <c r="O911" s="9" t="n">
        <v>11999.92</v>
      </c>
      <c r="P911" s="9" t="n">
        <v>1799.99</v>
      </c>
      <c r="Q911" s="9" t="n">
        <v>10199.93</v>
      </c>
      <c r="R911" s="9" t="n">
        <v>10079.92</v>
      </c>
      <c r="S911" s="9" t="n">
        <v>120.01</v>
      </c>
      <c r="T911" s="10" t="n">
        <v>0.0118</v>
      </c>
    </row>
    <row r="912">
      <c r="A912" s="7" t="inlineStr">
        <is>
          <t>ORD-2024-1632</t>
        </is>
      </c>
      <c r="B912" s="7" t="inlineStr">
        <is>
          <t>2024-12-07</t>
        </is>
      </c>
      <c r="C912" s="7" t="inlineStr">
        <is>
          <t>FUR-CHA-002</t>
        </is>
      </c>
      <c r="D912" s="7" t="inlineStr">
        <is>
          <t>AeroTask Operator Task Chair</t>
        </is>
      </c>
      <c r="E912" s="7" t="inlineStr">
        <is>
          <t>Furniture</t>
        </is>
      </c>
      <c r="F912" s="7" t="inlineStr">
        <is>
          <t>Chairs</t>
        </is>
      </c>
      <c r="G912" s="7" t="inlineStr">
        <is>
          <t>West</t>
        </is>
      </c>
      <c r="H912" s="7" t="inlineStr">
        <is>
          <t>Colorado</t>
        </is>
      </c>
      <c r="I912" s="7" t="inlineStr">
        <is>
          <t>Online</t>
        </is>
      </c>
      <c r="J912" s="7" t="inlineStr">
        <is>
          <t>Consumer</t>
        </is>
      </c>
      <c r="K912" s="8" t="n">
        <v>1</v>
      </c>
      <c r="L912" s="9" t="n">
        <v>219.99</v>
      </c>
      <c r="M912" s="10" t="n">
        <v>0.1</v>
      </c>
      <c r="N912" s="9" t="n">
        <v>171.59</v>
      </c>
      <c r="O912" s="9" t="n">
        <v>219.99</v>
      </c>
      <c r="P912" s="9" t="n">
        <v>22</v>
      </c>
      <c r="Q912" s="9" t="n">
        <v>197.99</v>
      </c>
      <c r="R912" s="9" t="n">
        <v>171.59</v>
      </c>
      <c r="S912" s="9" t="n">
        <v>26.4</v>
      </c>
      <c r="T912" s="10" t="n">
        <v>0.1333</v>
      </c>
    </row>
    <row r="913">
      <c r="A913" s="7" t="inlineStr">
        <is>
          <t>ORD-2024-1002</t>
        </is>
      </c>
      <c r="B913" s="7" t="inlineStr">
        <is>
          <t>2024-12-08</t>
        </is>
      </c>
      <c r="C913" s="7" t="inlineStr">
        <is>
          <t>TEC-ACC-005</t>
        </is>
      </c>
      <c r="D913" s="7" t="inlineStr">
        <is>
          <t>UltraWireless Noise-Canceling Headset</t>
        </is>
      </c>
      <c r="E913" s="7" t="inlineStr">
        <is>
          <t>Technology</t>
        </is>
      </c>
      <c r="F913" s="7" t="inlineStr">
        <is>
          <t>Audio &amp; Accessories</t>
        </is>
      </c>
      <c r="G913" s="7" t="inlineStr">
        <is>
          <t>East</t>
        </is>
      </c>
      <c r="H913" s="7" t="inlineStr">
        <is>
          <t>Pennsylvania</t>
        </is>
      </c>
      <c r="I913" s="7" t="inlineStr">
        <is>
          <t>Retail Partner</t>
        </is>
      </c>
      <c r="J913" s="7" t="inlineStr">
        <is>
          <t>Consumer</t>
        </is>
      </c>
      <c r="K913" s="8" t="n">
        <v>1</v>
      </c>
      <c r="L913" s="9" t="n">
        <v>179.99</v>
      </c>
      <c r="M913" s="10" t="n">
        <v>0.15</v>
      </c>
      <c r="N913" s="9" t="n">
        <v>111.59</v>
      </c>
      <c r="O913" s="9" t="n">
        <v>179.99</v>
      </c>
      <c r="P913" s="9" t="n">
        <v>27</v>
      </c>
      <c r="Q913" s="9" t="n">
        <v>152.99</v>
      </c>
      <c r="R913" s="9" t="n">
        <v>111.59</v>
      </c>
      <c r="S913" s="9" t="n">
        <v>41.4</v>
      </c>
      <c r="T913" s="10" t="n">
        <v>0.2706</v>
      </c>
    </row>
    <row r="914">
      <c r="A914" s="7" t="inlineStr">
        <is>
          <t>ORD-2024-1002</t>
        </is>
      </c>
      <c r="B914" s="7" t="inlineStr">
        <is>
          <t>2024-12-08</t>
        </is>
      </c>
      <c r="C914" s="7" t="inlineStr">
        <is>
          <t>OFF-DSK-008</t>
        </is>
      </c>
      <c r="D914" s="7" t="inlineStr">
        <is>
          <t>Steel Desktop Mesh Organizer Caddy</t>
        </is>
      </c>
      <c r="E914" s="7" t="inlineStr">
        <is>
          <t>Office Supplies</t>
        </is>
      </c>
      <c r="F914" s="7" t="inlineStr">
        <is>
          <t>Desk Supplies</t>
        </is>
      </c>
      <c r="G914" s="7" t="inlineStr">
        <is>
          <t>East</t>
        </is>
      </c>
      <c r="H914" s="7" t="inlineStr">
        <is>
          <t>Pennsylvania</t>
        </is>
      </c>
      <c r="I914" s="7" t="inlineStr">
        <is>
          <t>Retail Partner</t>
        </is>
      </c>
      <c r="J914" s="7" t="inlineStr">
        <is>
          <t>Consumer</t>
        </is>
      </c>
      <c r="K914" s="8" t="n">
        <v>1</v>
      </c>
      <c r="L914" s="9" t="n">
        <v>18.99</v>
      </c>
      <c r="M914" s="10" t="n">
        <v>0</v>
      </c>
      <c r="N914" s="9" t="n">
        <v>8.550000000000001</v>
      </c>
      <c r="O914" s="9" t="n">
        <v>18.99</v>
      </c>
      <c r="P914" s="9" t="n">
        <v>0</v>
      </c>
      <c r="Q914" s="9" t="n">
        <v>18.99</v>
      </c>
      <c r="R914" s="9" t="n">
        <v>8.550000000000001</v>
      </c>
      <c r="S914" s="9" t="n">
        <v>10.44</v>
      </c>
      <c r="T914" s="10" t="n">
        <v>0.5498</v>
      </c>
    </row>
    <row r="915">
      <c r="A915" s="7" t="inlineStr">
        <is>
          <t>ORD-2024-1002</t>
        </is>
      </c>
      <c r="B915" s="7" t="inlineStr">
        <is>
          <t>2024-12-08</t>
        </is>
      </c>
      <c r="C915" s="7" t="inlineStr">
        <is>
          <t>OFF-BIN-005</t>
        </is>
      </c>
      <c r="D915" s="7" t="inlineStr">
        <is>
          <t>Heavy-Duty D-Ring Presentation Binder (6-Pk)</t>
        </is>
      </c>
      <c r="E915" s="7" t="inlineStr">
        <is>
          <t>Office Supplies</t>
        </is>
      </c>
      <c r="F915" s="7" t="inlineStr">
        <is>
          <t>Binders &amp; Fasteners</t>
        </is>
      </c>
      <c r="G915" s="7" t="inlineStr">
        <is>
          <t>East</t>
        </is>
      </c>
      <c r="H915" s="7" t="inlineStr">
        <is>
          <t>Pennsylvania</t>
        </is>
      </c>
      <c r="I915" s="7" t="inlineStr">
        <is>
          <t>Retail Partner</t>
        </is>
      </c>
      <c r="J915" s="7" t="inlineStr">
        <is>
          <t>Consumer</t>
        </is>
      </c>
      <c r="K915" s="8" t="n">
        <v>4</v>
      </c>
      <c r="L915" s="9" t="n">
        <v>27.99</v>
      </c>
      <c r="M915" s="10" t="n">
        <v>0</v>
      </c>
      <c r="N915" s="9" t="n">
        <v>13.99</v>
      </c>
      <c r="O915" s="9" t="n">
        <v>111.96</v>
      </c>
      <c r="P915" s="9" t="n">
        <v>0</v>
      </c>
      <c r="Q915" s="9" t="n">
        <v>111.96</v>
      </c>
      <c r="R915" s="9" t="n">
        <v>55.96</v>
      </c>
      <c r="S915" s="9" t="n">
        <v>56</v>
      </c>
      <c r="T915" s="10" t="n">
        <v>0.5002</v>
      </c>
    </row>
    <row r="916">
      <c r="A916" s="7" t="inlineStr">
        <is>
          <t>ORD-2024-1491</t>
        </is>
      </c>
      <c r="B916" s="7" t="inlineStr">
        <is>
          <t>2024-12-08</t>
        </is>
      </c>
      <c r="C916" s="7" t="inlineStr">
        <is>
          <t>OFF-DSK-008</t>
        </is>
      </c>
      <c r="D916" s="7" t="inlineStr">
        <is>
          <t>Steel Desktop Mesh Organizer Caddy</t>
        </is>
      </c>
      <c r="E916" s="7" t="inlineStr">
        <is>
          <t>Office Supplies</t>
        </is>
      </c>
      <c r="F916" s="7" t="inlineStr">
        <is>
          <t>Desk Supplies</t>
        </is>
      </c>
      <c r="G916" s="7" t="inlineStr">
        <is>
          <t>East</t>
        </is>
      </c>
      <c r="H916" s="7" t="inlineStr">
        <is>
          <t>New York</t>
        </is>
      </c>
      <c r="I916" s="7" t="inlineStr">
        <is>
          <t>Online</t>
        </is>
      </c>
      <c r="J916" s="7" t="inlineStr">
        <is>
          <t>Corporate</t>
        </is>
      </c>
      <c r="K916" s="8" t="n">
        <v>6</v>
      </c>
      <c r="L916" s="9" t="n">
        <v>18.99</v>
      </c>
      <c r="M916" s="10" t="n">
        <v>0.1</v>
      </c>
      <c r="N916" s="9" t="n">
        <v>8.550000000000001</v>
      </c>
      <c r="O916" s="9" t="n">
        <v>113.94</v>
      </c>
      <c r="P916" s="9" t="n">
        <v>11.39</v>
      </c>
      <c r="Q916" s="9" t="n">
        <v>102.55</v>
      </c>
      <c r="R916" s="9" t="n">
        <v>51.3</v>
      </c>
      <c r="S916" s="9" t="n">
        <v>51.25</v>
      </c>
      <c r="T916" s="10" t="n">
        <v>0.4998</v>
      </c>
    </row>
    <row r="917">
      <c r="A917" s="7" t="inlineStr">
        <is>
          <t>ORD-2024-1541</t>
        </is>
      </c>
      <c r="B917" s="7" t="inlineStr">
        <is>
          <t>2024-12-08</t>
        </is>
      </c>
      <c r="C917" s="7" t="inlineStr">
        <is>
          <t>TEC-TAB-003</t>
        </is>
      </c>
      <c r="D917" s="7" t="inlineStr">
        <is>
          <t>VisionPad Pro 11"</t>
        </is>
      </c>
      <c r="E917" s="7" t="inlineStr">
        <is>
          <t>Technology</t>
        </is>
      </c>
      <c r="F917" s="7" t="inlineStr">
        <is>
          <t>Phones &amp; Tablets</t>
        </is>
      </c>
      <c r="G917" s="7" t="inlineStr">
        <is>
          <t>South</t>
        </is>
      </c>
      <c r="H917" s="7" t="inlineStr">
        <is>
          <t>Georgia</t>
        </is>
      </c>
      <c r="I917" s="7" t="inlineStr">
        <is>
          <t>Direct Sales</t>
        </is>
      </c>
      <c r="J917" s="7" t="inlineStr">
        <is>
          <t>Home Office</t>
        </is>
      </c>
      <c r="K917" s="8" t="n">
        <v>1</v>
      </c>
      <c r="L917" s="9" t="n">
        <v>649.99</v>
      </c>
      <c r="M917" s="10" t="n">
        <v>0.05</v>
      </c>
      <c r="N917" s="9" t="n">
        <v>487.49</v>
      </c>
      <c r="O917" s="9" t="n">
        <v>649.99</v>
      </c>
      <c r="P917" s="9" t="n">
        <v>32.5</v>
      </c>
      <c r="Q917" s="9" t="n">
        <v>617.49</v>
      </c>
      <c r="R917" s="9" t="n">
        <v>487.49</v>
      </c>
      <c r="S917" s="9" t="n">
        <v>130</v>
      </c>
      <c r="T917" s="10" t="n">
        <v>0.2105</v>
      </c>
    </row>
    <row r="918">
      <c r="A918" s="7" t="inlineStr">
        <is>
          <t>ORD-2024-1718</t>
        </is>
      </c>
      <c r="B918" s="7" t="inlineStr">
        <is>
          <t>2024-12-08</t>
        </is>
      </c>
      <c r="C918" s="7" t="inlineStr">
        <is>
          <t>TEC-LAP-001</t>
        </is>
      </c>
      <c r="D918" s="7" t="inlineStr">
        <is>
          <t>ProBook Elite 15.6"</t>
        </is>
      </c>
      <c r="E918" s="7" t="inlineStr">
        <is>
          <t>Technology</t>
        </is>
      </c>
      <c r="F918" s="7" t="inlineStr">
        <is>
          <t>Laptops</t>
        </is>
      </c>
      <c r="G918" s="7" t="inlineStr">
        <is>
          <t>West</t>
        </is>
      </c>
      <c r="H918" s="7" t="inlineStr">
        <is>
          <t>Oregon</t>
        </is>
      </c>
      <c r="I918" s="7" t="inlineStr">
        <is>
          <t>Online</t>
        </is>
      </c>
      <c r="J918" s="7" t="inlineStr">
        <is>
          <t>Consumer</t>
        </is>
      </c>
      <c r="K918" s="8" t="n">
        <v>3</v>
      </c>
      <c r="L918" s="9" t="n">
        <v>1199.99</v>
      </c>
      <c r="M918" s="10" t="n">
        <v>0.05</v>
      </c>
      <c r="N918" s="9" t="n">
        <v>863.99</v>
      </c>
      <c r="O918" s="9" t="n">
        <v>3599.97</v>
      </c>
      <c r="P918" s="9" t="n">
        <v>180</v>
      </c>
      <c r="Q918" s="9" t="n">
        <v>3419.97</v>
      </c>
      <c r="R918" s="9" t="n">
        <v>2591.97</v>
      </c>
      <c r="S918" s="9" t="n">
        <v>828</v>
      </c>
      <c r="T918" s="10" t="n">
        <v>0.2421</v>
      </c>
    </row>
    <row r="919">
      <c r="A919" s="7" t="inlineStr">
        <is>
          <t>ORD-2024-1718</t>
        </is>
      </c>
      <c r="B919" s="7" t="inlineStr">
        <is>
          <t>2024-12-08</t>
        </is>
      </c>
      <c r="C919" s="7" t="inlineStr">
        <is>
          <t>TEC-ACC-007</t>
        </is>
      </c>
      <c r="D919" s="7" t="inlineStr">
        <is>
          <t>ErgoMechanical Wireless Keyboard</t>
        </is>
      </c>
      <c r="E919" s="7" t="inlineStr">
        <is>
          <t>Technology</t>
        </is>
      </c>
      <c r="F919" s="7" t="inlineStr">
        <is>
          <t>Audio &amp; Accessories</t>
        </is>
      </c>
      <c r="G919" s="7" t="inlineStr">
        <is>
          <t>West</t>
        </is>
      </c>
      <c r="H919" s="7" t="inlineStr">
        <is>
          <t>Oregon</t>
        </is>
      </c>
      <c r="I919" s="7" t="inlineStr">
        <is>
          <t>Online</t>
        </is>
      </c>
      <c r="J919" s="7" t="inlineStr">
        <is>
          <t>Consumer</t>
        </is>
      </c>
      <c r="K919" s="8" t="n">
        <v>2</v>
      </c>
      <c r="L919" s="9" t="n">
        <v>109.99</v>
      </c>
      <c r="M919" s="10" t="n">
        <v>0.1</v>
      </c>
      <c r="N919" s="9" t="n">
        <v>65.98999999999999</v>
      </c>
      <c r="O919" s="9" t="n">
        <v>219.98</v>
      </c>
      <c r="P919" s="9" t="n">
        <v>22</v>
      </c>
      <c r="Q919" s="9" t="n">
        <v>197.98</v>
      </c>
      <c r="R919" s="9" t="n">
        <v>131.98</v>
      </c>
      <c r="S919" s="9" t="n">
        <v>66</v>
      </c>
      <c r="T919" s="10" t="n">
        <v>0.3334</v>
      </c>
    </row>
    <row r="920">
      <c r="A920" s="7" t="inlineStr">
        <is>
          <t>ORD-2024-1157</t>
        </is>
      </c>
      <c r="B920" s="7" t="inlineStr">
        <is>
          <t>2024-12-09</t>
        </is>
      </c>
      <c r="C920" s="7" t="inlineStr">
        <is>
          <t>TEC-ACC-008</t>
        </is>
      </c>
      <c r="D920" s="7" t="inlineStr">
        <is>
          <t>Precision Laser Bluetooth Mouse</t>
        </is>
      </c>
      <c r="E920" s="7" t="inlineStr">
        <is>
          <t>Technology</t>
        </is>
      </c>
      <c r="F920" s="7" t="inlineStr">
        <is>
          <t>Audio &amp; Accessories</t>
        </is>
      </c>
      <c r="G920" s="7" t="inlineStr">
        <is>
          <t>Central</t>
        </is>
      </c>
      <c r="H920" s="7" t="inlineStr">
        <is>
          <t>Ohio</t>
        </is>
      </c>
      <c r="I920" s="7" t="inlineStr">
        <is>
          <t>Retail Partner</t>
        </is>
      </c>
      <c r="J920" s="7" t="inlineStr">
        <is>
          <t>Corporate</t>
        </is>
      </c>
      <c r="K920" s="8" t="n">
        <v>8</v>
      </c>
      <c r="L920" s="9" t="n">
        <v>49.99</v>
      </c>
      <c r="M920" s="10" t="n">
        <v>0.15</v>
      </c>
      <c r="N920" s="9" t="n">
        <v>27.49</v>
      </c>
      <c r="O920" s="9" t="n">
        <v>399.92</v>
      </c>
      <c r="P920" s="9" t="n">
        <v>59.99</v>
      </c>
      <c r="Q920" s="9" t="n">
        <v>339.93</v>
      </c>
      <c r="R920" s="9" t="n">
        <v>219.92</v>
      </c>
      <c r="S920" s="9" t="n">
        <v>120.01</v>
      </c>
      <c r="T920" s="10" t="n">
        <v>0.353</v>
      </c>
    </row>
    <row r="921">
      <c r="A921" s="7" t="inlineStr">
        <is>
          <t>ORD-2024-1503</t>
        </is>
      </c>
      <c r="B921" s="7" t="inlineStr">
        <is>
          <t>2024-12-09</t>
        </is>
      </c>
      <c r="C921" s="7" t="inlineStr">
        <is>
          <t>TEC-TAB-004</t>
        </is>
      </c>
      <c r="D921" s="7" t="inlineStr">
        <is>
          <t>VisionPad Lite 8.5"</t>
        </is>
      </c>
      <c r="E921" s="7" t="inlineStr">
        <is>
          <t>Technology</t>
        </is>
      </c>
      <c r="F921" s="7" t="inlineStr">
        <is>
          <t>Phones &amp; Tablets</t>
        </is>
      </c>
      <c r="G921" s="7" t="inlineStr">
        <is>
          <t>Central</t>
        </is>
      </c>
      <c r="H921" s="7" t="inlineStr">
        <is>
          <t>Texas</t>
        </is>
      </c>
      <c r="I921" s="7" t="inlineStr">
        <is>
          <t>Direct Sales</t>
        </is>
      </c>
      <c r="J921" s="7" t="inlineStr">
        <is>
          <t>Corporate</t>
        </is>
      </c>
      <c r="K921" s="8" t="n">
        <v>4</v>
      </c>
      <c r="L921" s="9" t="n">
        <v>299.99</v>
      </c>
      <c r="M921" s="10" t="n">
        <v>0.1</v>
      </c>
      <c r="N921" s="9" t="n">
        <v>245.99</v>
      </c>
      <c r="O921" s="9" t="n">
        <v>1199.96</v>
      </c>
      <c r="P921" s="9" t="n">
        <v>120</v>
      </c>
      <c r="Q921" s="9" t="n">
        <v>1079.96</v>
      </c>
      <c r="R921" s="9" t="n">
        <v>983.96</v>
      </c>
      <c r="S921" s="9" t="n">
        <v>96</v>
      </c>
      <c r="T921" s="10" t="n">
        <v>0.08890000000000001</v>
      </c>
    </row>
    <row r="922">
      <c r="A922" s="7" t="inlineStr">
        <is>
          <t>ORD-2024-1343</t>
        </is>
      </c>
      <c r="B922" s="7" t="inlineStr">
        <is>
          <t>2024-12-10</t>
        </is>
      </c>
      <c r="C922" s="7" t="inlineStr">
        <is>
          <t>OFF-STR-001</t>
        </is>
      </c>
      <c r="D922" s="7" t="inlineStr">
        <is>
          <t>SteelLock 3-Drawer File Cabinet</t>
        </is>
      </c>
      <c r="E922" s="7" t="inlineStr">
        <is>
          <t>Office Supplies</t>
        </is>
      </c>
      <c r="F922" s="7" t="inlineStr">
        <is>
          <t>Storage &amp; Organizers</t>
        </is>
      </c>
      <c r="G922" s="7" t="inlineStr">
        <is>
          <t>Central</t>
        </is>
      </c>
      <c r="H922" s="7" t="inlineStr">
        <is>
          <t>Michigan</t>
        </is>
      </c>
      <c r="I922" s="7" t="inlineStr">
        <is>
          <t>Retail Partner</t>
        </is>
      </c>
      <c r="J922" s="7" t="inlineStr">
        <is>
          <t>Corporate</t>
        </is>
      </c>
      <c r="K922" s="8" t="n">
        <v>2</v>
      </c>
      <c r="L922" s="9" t="n">
        <v>169.99</v>
      </c>
      <c r="M922" s="10" t="n">
        <v>0.15</v>
      </c>
      <c r="N922" s="9" t="n">
        <v>115.59</v>
      </c>
      <c r="O922" s="9" t="n">
        <v>339.98</v>
      </c>
      <c r="P922" s="9" t="n">
        <v>51</v>
      </c>
      <c r="Q922" s="9" t="n">
        <v>288.98</v>
      </c>
      <c r="R922" s="9" t="n">
        <v>231.18</v>
      </c>
      <c r="S922" s="9" t="n">
        <v>57.8</v>
      </c>
      <c r="T922" s="10" t="n">
        <v>0.2</v>
      </c>
    </row>
    <row r="923">
      <c r="A923" s="7" t="inlineStr">
        <is>
          <t>ORD-2024-1616</t>
        </is>
      </c>
      <c r="B923" s="7" t="inlineStr">
        <is>
          <t>2024-12-10</t>
        </is>
      </c>
      <c r="C923" s="7" t="inlineStr">
        <is>
          <t>FUR-BOK-005</t>
        </is>
      </c>
      <c r="D923" s="7" t="inlineStr">
        <is>
          <t>Modular 5-Tier Steel Bookcase</t>
        </is>
      </c>
      <c r="E923" s="7" t="inlineStr">
        <is>
          <t>Furniture</t>
        </is>
      </c>
      <c r="F923" s="7" t="inlineStr">
        <is>
          <t>Bookcases</t>
        </is>
      </c>
      <c r="G923" s="7" t="inlineStr">
        <is>
          <t>East</t>
        </is>
      </c>
      <c r="H923" s="7" t="inlineStr">
        <is>
          <t>New Jersey</t>
        </is>
      </c>
      <c r="I923" s="7" t="inlineStr">
        <is>
          <t>Retail Partner</t>
        </is>
      </c>
      <c r="J923" s="7" t="inlineStr">
        <is>
          <t>Consumer</t>
        </is>
      </c>
      <c r="K923" s="8" t="n">
        <v>1</v>
      </c>
      <c r="L923" s="9" t="n">
        <v>189.99</v>
      </c>
      <c r="M923" s="10" t="n">
        <v>0.15</v>
      </c>
      <c r="N923" s="9" t="n">
        <v>142.49</v>
      </c>
      <c r="O923" s="9" t="n">
        <v>189.99</v>
      </c>
      <c r="P923" s="9" t="n">
        <v>28.5</v>
      </c>
      <c r="Q923" s="9" t="n">
        <v>161.49</v>
      </c>
      <c r="R923" s="9" t="n">
        <v>142.49</v>
      </c>
      <c r="S923" s="9" t="n">
        <v>19</v>
      </c>
      <c r="T923" s="10" t="n">
        <v>0.1177</v>
      </c>
    </row>
    <row r="924">
      <c r="A924" s="7" t="inlineStr">
        <is>
          <t>ORD-2024-1620</t>
        </is>
      </c>
      <c r="B924" s="7" t="inlineStr">
        <is>
          <t>2024-12-10</t>
        </is>
      </c>
      <c r="C924" s="7" t="inlineStr">
        <is>
          <t>TEC-TAB-003</t>
        </is>
      </c>
      <c r="D924" s="7" t="inlineStr">
        <is>
          <t>VisionPad Pro 11"</t>
        </is>
      </c>
      <c r="E924" s="7" t="inlineStr">
        <is>
          <t>Technology</t>
        </is>
      </c>
      <c r="F924" s="7" t="inlineStr">
        <is>
          <t>Phones &amp; Tablets</t>
        </is>
      </c>
      <c r="G924" s="7" t="inlineStr">
        <is>
          <t>West</t>
        </is>
      </c>
      <c r="H924" s="7" t="inlineStr">
        <is>
          <t>Colorado</t>
        </is>
      </c>
      <c r="I924" s="7" t="inlineStr">
        <is>
          <t>Online</t>
        </is>
      </c>
      <c r="J924" s="7" t="inlineStr">
        <is>
          <t>Consumer</t>
        </is>
      </c>
      <c r="K924" s="8" t="n">
        <v>3</v>
      </c>
      <c r="L924" s="9" t="n">
        <v>649.99</v>
      </c>
      <c r="M924" s="10" t="n">
        <v>0.1</v>
      </c>
      <c r="N924" s="9" t="n">
        <v>487.49</v>
      </c>
      <c r="O924" s="9" t="n">
        <v>1949.97</v>
      </c>
      <c r="P924" s="9" t="n">
        <v>195</v>
      </c>
      <c r="Q924" s="9" t="n">
        <v>1754.97</v>
      </c>
      <c r="R924" s="9" t="n">
        <v>1462.47</v>
      </c>
      <c r="S924" s="9" t="n">
        <v>292.5</v>
      </c>
      <c r="T924" s="10" t="n">
        <v>0.1667</v>
      </c>
    </row>
    <row r="925">
      <c r="A925" s="7" t="inlineStr">
        <is>
          <t>ORD-2024-1647</t>
        </is>
      </c>
      <c r="B925" s="7" t="inlineStr">
        <is>
          <t>2024-12-11</t>
        </is>
      </c>
      <c r="C925" s="7" t="inlineStr">
        <is>
          <t>FUR-CHA-002</t>
        </is>
      </c>
      <c r="D925" s="7" t="inlineStr">
        <is>
          <t>AeroTask Operator Task Chair</t>
        </is>
      </c>
      <c r="E925" s="7" t="inlineStr">
        <is>
          <t>Furniture</t>
        </is>
      </c>
      <c r="F925" s="7" t="inlineStr">
        <is>
          <t>Chairs</t>
        </is>
      </c>
      <c r="G925" s="7" t="inlineStr">
        <is>
          <t>East</t>
        </is>
      </c>
      <c r="H925" s="7" t="inlineStr">
        <is>
          <t>New York</t>
        </is>
      </c>
      <c r="I925" s="7" t="inlineStr">
        <is>
          <t>Online</t>
        </is>
      </c>
      <c r="J925" s="7" t="inlineStr">
        <is>
          <t>Corporate</t>
        </is>
      </c>
      <c r="K925" s="8" t="n">
        <v>2</v>
      </c>
      <c r="L925" s="9" t="n">
        <v>219.99</v>
      </c>
      <c r="M925" s="10" t="n">
        <v>0.05</v>
      </c>
      <c r="N925" s="9" t="n">
        <v>171.59</v>
      </c>
      <c r="O925" s="9" t="n">
        <v>439.98</v>
      </c>
      <c r="P925" s="9" t="n">
        <v>22</v>
      </c>
      <c r="Q925" s="9" t="n">
        <v>417.98</v>
      </c>
      <c r="R925" s="9" t="n">
        <v>343.18</v>
      </c>
      <c r="S925" s="9" t="n">
        <v>74.8</v>
      </c>
      <c r="T925" s="10" t="n">
        <v>0.179</v>
      </c>
    </row>
    <row r="926">
      <c r="A926" s="7" t="inlineStr">
        <is>
          <t>ORD-2024-1717</t>
        </is>
      </c>
      <c r="B926" s="7" t="inlineStr">
        <is>
          <t>2024-12-11</t>
        </is>
      </c>
      <c r="C926" s="7" t="inlineStr">
        <is>
          <t>TEC-ACC-008</t>
        </is>
      </c>
      <c r="D926" s="7" t="inlineStr">
        <is>
          <t>Precision Laser Bluetooth Mouse</t>
        </is>
      </c>
      <c r="E926" s="7" t="inlineStr">
        <is>
          <t>Technology</t>
        </is>
      </c>
      <c r="F926" s="7" t="inlineStr">
        <is>
          <t>Audio &amp; Accessories</t>
        </is>
      </c>
      <c r="G926" s="7" t="inlineStr">
        <is>
          <t>South</t>
        </is>
      </c>
      <c r="H926" s="7" t="inlineStr">
        <is>
          <t>Georgia</t>
        </is>
      </c>
      <c r="I926" s="7" t="inlineStr">
        <is>
          <t>Retail Partner</t>
        </is>
      </c>
      <c r="J926" s="7" t="inlineStr">
        <is>
          <t>Consumer</t>
        </is>
      </c>
      <c r="K926" s="8" t="n">
        <v>3</v>
      </c>
      <c r="L926" s="9" t="n">
        <v>49.99</v>
      </c>
      <c r="M926" s="10" t="n">
        <v>0</v>
      </c>
      <c r="N926" s="9" t="n">
        <v>27.49</v>
      </c>
      <c r="O926" s="9" t="n">
        <v>149.97</v>
      </c>
      <c r="P926" s="9" t="n">
        <v>0</v>
      </c>
      <c r="Q926" s="9" t="n">
        <v>149.97</v>
      </c>
      <c r="R926" s="9" t="n">
        <v>82.47</v>
      </c>
      <c r="S926" s="9" t="n">
        <v>67.5</v>
      </c>
      <c r="T926" s="10" t="n">
        <v>0.4501</v>
      </c>
    </row>
    <row r="927">
      <c r="A927" s="7" t="inlineStr">
        <is>
          <t>ORD-2024-1717</t>
        </is>
      </c>
      <c r="B927" s="7" t="inlineStr">
        <is>
          <t>2024-12-11</t>
        </is>
      </c>
      <c r="C927" s="7" t="inlineStr">
        <is>
          <t>OFF-DSK-007</t>
        </is>
      </c>
      <c r="D927" s="7" t="inlineStr">
        <is>
          <t>Gel Ergo Mouse Pad &amp; Wrist Rest Combo</t>
        </is>
      </c>
      <c r="E927" s="7" t="inlineStr">
        <is>
          <t>Office Supplies</t>
        </is>
      </c>
      <c r="F927" s="7" t="inlineStr">
        <is>
          <t>Desk Supplies</t>
        </is>
      </c>
      <c r="G927" s="7" t="inlineStr">
        <is>
          <t>South</t>
        </is>
      </c>
      <c r="H927" s="7" t="inlineStr">
        <is>
          <t>Georgia</t>
        </is>
      </c>
      <c r="I927" s="7" t="inlineStr">
        <is>
          <t>Retail Partner</t>
        </is>
      </c>
      <c r="J927" s="7" t="inlineStr">
        <is>
          <t>Consumer</t>
        </is>
      </c>
      <c r="K927" s="8" t="n">
        <v>1</v>
      </c>
      <c r="L927" s="9" t="n">
        <v>21.99</v>
      </c>
      <c r="M927" s="10" t="n">
        <v>0</v>
      </c>
      <c r="N927" s="9" t="n">
        <v>10.56</v>
      </c>
      <c r="O927" s="9" t="n">
        <v>21.99</v>
      </c>
      <c r="P927" s="9" t="n">
        <v>0</v>
      </c>
      <c r="Q927" s="9" t="n">
        <v>21.99</v>
      </c>
      <c r="R927" s="9" t="n">
        <v>10.56</v>
      </c>
      <c r="S927" s="9" t="n">
        <v>11.43</v>
      </c>
      <c r="T927" s="10" t="n">
        <v>0.5198</v>
      </c>
    </row>
    <row r="928">
      <c r="A928" s="7" t="inlineStr">
        <is>
          <t>ORD-2024-1661</t>
        </is>
      </c>
      <c r="B928" s="7" t="inlineStr">
        <is>
          <t>2024-12-12</t>
        </is>
      </c>
      <c r="C928" s="7" t="inlineStr">
        <is>
          <t>OFF-STR-001</t>
        </is>
      </c>
      <c r="D928" s="7" t="inlineStr">
        <is>
          <t>SteelLock 3-Drawer File Cabinet</t>
        </is>
      </c>
      <c r="E928" s="7" t="inlineStr">
        <is>
          <t>Office Supplies</t>
        </is>
      </c>
      <c r="F928" s="7" t="inlineStr">
        <is>
          <t>Storage &amp; Organizers</t>
        </is>
      </c>
      <c r="G928" s="7" t="inlineStr">
        <is>
          <t>West</t>
        </is>
      </c>
      <c r="H928" s="7" t="inlineStr">
        <is>
          <t>Oregon</t>
        </is>
      </c>
      <c r="I928" s="7" t="inlineStr">
        <is>
          <t>Direct Sales</t>
        </is>
      </c>
      <c r="J928" s="7" t="inlineStr">
        <is>
          <t>Corporate</t>
        </is>
      </c>
      <c r="K928" s="8" t="n">
        <v>6</v>
      </c>
      <c r="L928" s="9" t="n">
        <v>169.99</v>
      </c>
      <c r="M928" s="10" t="n">
        <v>0</v>
      </c>
      <c r="N928" s="9" t="n">
        <v>115.59</v>
      </c>
      <c r="O928" s="9" t="n">
        <v>1019.94</v>
      </c>
      <c r="P928" s="9" t="n">
        <v>0</v>
      </c>
      <c r="Q928" s="9" t="n">
        <v>1019.94</v>
      </c>
      <c r="R928" s="9" t="n">
        <v>693.54</v>
      </c>
      <c r="S928" s="9" t="n">
        <v>326.4</v>
      </c>
      <c r="T928" s="10" t="n">
        <v>0.32</v>
      </c>
    </row>
    <row r="929">
      <c r="A929" s="7" t="inlineStr">
        <is>
          <t>ORD-2024-1106</t>
        </is>
      </c>
      <c r="B929" s="7" t="inlineStr">
        <is>
          <t>2024-12-13</t>
        </is>
      </c>
      <c r="C929" s="7" t="inlineStr">
        <is>
          <t>FUR-CHA-002</t>
        </is>
      </c>
      <c r="D929" s="7" t="inlineStr">
        <is>
          <t>AeroTask Operator Task Chair</t>
        </is>
      </c>
      <c r="E929" s="7" t="inlineStr">
        <is>
          <t>Furniture</t>
        </is>
      </c>
      <c r="F929" s="7" t="inlineStr">
        <is>
          <t>Chairs</t>
        </is>
      </c>
      <c r="G929" s="7" t="inlineStr">
        <is>
          <t>South</t>
        </is>
      </c>
      <c r="H929" s="7" t="inlineStr">
        <is>
          <t>Florida</t>
        </is>
      </c>
      <c r="I929" s="7" t="inlineStr">
        <is>
          <t>Retail Partner</t>
        </is>
      </c>
      <c r="J929" s="7" t="inlineStr">
        <is>
          <t>Consumer</t>
        </is>
      </c>
      <c r="K929" s="8" t="n">
        <v>3</v>
      </c>
      <c r="L929" s="9" t="n">
        <v>219.99</v>
      </c>
      <c r="M929" s="10" t="n">
        <v>0.1</v>
      </c>
      <c r="N929" s="9" t="n">
        <v>171.59</v>
      </c>
      <c r="O929" s="9" t="n">
        <v>659.97</v>
      </c>
      <c r="P929" s="9" t="n">
        <v>66</v>
      </c>
      <c r="Q929" s="9" t="n">
        <v>593.97</v>
      </c>
      <c r="R929" s="9" t="n">
        <v>514.77</v>
      </c>
      <c r="S929" s="9" t="n">
        <v>79.2</v>
      </c>
      <c r="T929" s="10" t="n">
        <v>0.1333</v>
      </c>
    </row>
    <row r="930">
      <c r="A930" s="7" t="inlineStr">
        <is>
          <t>ORD-2024-1332</t>
        </is>
      </c>
      <c r="B930" s="7" t="inlineStr">
        <is>
          <t>2024-12-13</t>
        </is>
      </c>
      <c r="C930" s="7" t="inlineStr">
        <is>
          <t>FUR-DSK-003</t>
        </is>
      </c>
      <c r="D930" s="7" t="inlineStr">
        <is>
          <t>ApexMotor Dual-Motor Standing Desk</t>
        </is>
      </c>
      <c r="E930" s="7" t="inlineStr">
        <is>
          <t>Furniture</t>
        </is>
      </c>
      <c r="F930" s="7" t="inlineStr">
        <is>
          <t>Desks &amp; Workstations</t>
        </is>
      </c>
      <c r="G930" s="7" t="inlineStr">
        <is>
          <t>Central</t>
        </is>
      </c>
      <c r="H930" s="7" t="inlineStr">
        <is>
          <t>Ohio</t>
        </is>
      </c>
      <c r="I930" s="7" t="inlineStr">
        <is>
          <t>Direct Sales</t>
        </is>
      </c>
      <c r="J930" s="7" t="inlineStr">
        <is>
          <t>Home Office</t>
        </is>
      </c>
      <c r="K930" s="8" t="n">
        <v>2</v>
      </c>
      <c r="L930" s="9" t="n">
        <v>549.99</v>
      </c>
      <c r="M930" s="10" t="n">
        <v>0.2</v>
      </c>
      <c r="N930" s="9" t="n">
        <v>439.99</v>
      </c>
      <c r="O930" s="9" t="n">
        <v>1099.98</v>
      </c>
      <c r="P930" s="9" t="n">
        <v>220</v>
      </c>
      <c r="Q930" s="9" t="n">
        <v>879.98</v>
      </c>
      <c r="R930" s="9" t="n">
        <v>879.98</v>
      </c>
      <c r="S930" s="9" t="n">
        <v>0</v>
      </c>
      <c r="T930" s="10" t="n">
        <v>0</v>
      </c>
    </row>
    <row r="931">
      <c r="A931" s="7" t="inlineStr">
        <is>
          <t>ORD-2024-1380</t>
        </is>
      </c>
      <c r="B931" s="7" t="inlineStr">
        <is>
          <t>2024-12-13</t>
        </is>
      </c>
      <c r="C931" s="7" t="inlineStr">
        <is>
          <t>TEC-ACC-008</t>
        </is>
      </c>
      <c r="D931" s="7" t="inlineStr">
        <is>
          <t>Precision Laser Bluetooth Mouse</t>
        </is>
      </c>
      <c r="E931" s="7" t="inlineStr">
        <is>
          <t>Technology</t>
        </is>
      </c>
      <c r="F931" s="7" t="inlineStr">
        <is>
          <t>Audio &amp; Accessories</t>
        </is>
      </c>
      <c r="G931" s="7" t="inlineStr">
        <is>
          <t>East</t>
        </is>
      </c>
      <c r="H931" s="7" t="inlineStr">
        <is>
          <t>Massachusetts</t>
        </is>
      </c>
      <c r="I931" s="7" t="inlineStr">
        <is>
          <t>Online</t>
        </is>
      </c>
      <c r="J931" s="7" t="inlineStr">
        <is>
          <t>Consumer</t>
        </is>
      </c>
      <c r="K931" s="8" t="n">
        <v>4</v>
      </c>
      <c r="L931" s="9" t="n">
        <v>49.99</v>
      </c>
      <c r="M931" s="10" t="n">
        <v>0</v>
      </c>
      <c r="N931" s="9" t="n">
        <v>27.49</v>
      </c>
      <c r="O931" s="9" t="n">
        <v>199.96</v>
      </c>
      <c r="P931" s="9" t="n">
        <v>0</v>
      </c>
      <c r="Q931" s="9" t="n">
        <v>199.96</v>
      </c>
      <c r="R931" s="9" t="n">
        <v>109.96</v>
      </c>
      <c r="S931" s="9" t="n">
        <v>90</v>
      </c>
      <c r="T931" s="10" t="n">
        <v>0.4501</v>
      </c>
    </row>
    <row r="932">
      <c r="A932" s="7" t="inlineStr">
        <is>
          <t>ORD-2024-1670</t>
        </is>
      </c>
      <c r="B932" s="7" t="inlineStr">
        <is>
          <t>2024-12-13</t>
        </is>
      </c>
      <c r="C932" s="7" t="inlineStr">
        <is>
          <t>FUR-LGT-006</t>
        </is>
      </c>
      <c r="D932" s="7" t="inlineStr">
        <is>
          <t>Architect LED Desk Task Lamp</t>
        </is>
      </c>
      <c r="E932" s="7" t="inlineStr">
        <is>
          <t>Furniture</t>
        </is>
      </c>
      <c r="F932" s="7" t="inlineStr">
        <is>
          <t>Lighting</t>
        </is>
      </c>
      <c r="G932" s="7" t="inlineStr">
        <is>
          <t>East</t>
        </is>
      </c>
      <c r="H932" s="7" t="inlineStr">
        <is>
          <t>New Jersey</t>
        </is>
      </c>
      <c r="I932" s="7" t="inlineStr">
        <is>
          <t>Online</t>
        </is>
      </c>
      <c r="J932" s="7" t="inlineStr">
        <is>
          <t>Corporate</t>
        </is>
      </c>
      <c r="K932" s="8" t="n">
        <v>7</v>
      </c>
      <c r="L932" s="9" t="n">
        <v>69.98999999999999</v>
      </c>
      <c r="M932" s="10" t="n">
        <v>0.1</v>
      </c>
      <c r="N932" s="9" t="n">
        <v>43.39</v>
      </c>
      <c r="O932" s="9" t="n">
        <v>489.93</v>
      </c>
      <c r="P932" s="9" t="n">
        <v>48.99</v>
      </c>
      <c r="Q932" s="9" t="n">
        <v>440.94</v>
      </c>
      <c r="R932" s="9" t="n">
        <v>303.73</v>
      </c>
      <c r="S932" s="9" t="n">
        <v>137.21</v>
      </c>
      <c r="T932" s="10" t="n">
        <v>0.3112</v>
      </c>
    </row>
    <row r="933">
      <c r="A933" s="7" t="inlineStr">
        <is>
          <t>ORD-2024-1300</t>
        </is>
      </c>
      <c r="B933" s="7" t="inlineStr">
        <is>
          <t>2024-12-14</t>
        </is>
      </c>
      <c r="C933" s="7" t="inlineStr">
        <is>
          <t>FUR-DSK-004</t>
        </is>
      </c>
      <c r="D933" s="7" t="inlineStr">
        <is>
          <t>Metro Compact Corner Workstation</t>
        </is>
      </c>
      <c r="E933" s="7" t="inlineStr">
        <is>
          <t>Furniture</t>
        </is>
      </c>
      <c r="F933" s="7" t="inlineStr">
        <is>
          <t>Desks &amp; Workstations</t>
        </is>
      </c>
      <c r="G933" s="7" t="inlineStr">
        <is>
          <t>East</t>
        </is>
      </c>
      <c r="H933" s="7" t="inlineStr">
        <is>
          <t>New York</t>
        </is>
      </c>
      <c r="I933" s="7" t="inlineStr">
        <is>
          <t>Online</t>
        </is>
      </c>
      <c r="J933" s="7" t="inlineStr">
        <is>
          <t>Consumer</t>
        </is>
      </c>
      <c r="K933" s="8" t="n">
        <v>2</v>
      </c>
      <c r="L933" s="9" t="n">
        <v>329.99</v>
      </c>
      <c r="M933" s="10" t="n">
        <v>0</v>
      </c>
      <c r="N933" s="9" t="n">
        <v>250.79</v>
      </c>
      <c r="O933" s="9" t="n">
        <v>659.98</v>
      </c>
      <c r="P933" s="9" t="n">
        <v>0</v>
      </c>
      <c r="Q933" s="9" t="n">
        <v>659.98</v>
      </c>
      <c r="R933" s="9" t="n">
        <v>501.58</v>
      </c>
      <c r="S933" s="9" t="n">
        <v>158.4</v>
      </c>
      <c r="T933" s="10" t="n">
        <v>0.24</v>
      </c>
    </row>
    <row r="934">
      <c r="A934" s="7" t="inlineStr">
        <is>
          <t>ORD-2024-1389</t>
        </is>
      </c>
      <c r="B934" s="7" t="inlineStr">
        <is>
          <t>2024-12-14</t>
        </is>
      </c>
      <c r="C934" s="7" t="inlineStr">
        <is>
          <t>OFF-ART-006</t>
        </is>
      </c>
      <c r="D934" s="7" t="inlineStr">
        <is>
          <t>Professional Presentation Dry Erase Board</t>
        </is>
      </c>
      <c r="E934" s="7" t="inlineStr">
        <is>
          <t>Office Supplies</t>
        </is>
      </c>
      <c r="F934" s="7" t="inlineStr">
        <is>
          <t>Presentation &amp; Art</t>
        </is>
      </c>
      <c r="G934" s="7" t="inlineStr">
        <is>
          <t>West</t>
        </is>
      </c>
      <c r="H934" s="7" t="inlineStr">
        <is>
          <t>California</t>
        </is>
      </c>
      <c r="I934" s="7" t="inlineStr">
        <is>
          <t>Retail Partner</t>
        </is>
      </c>
      <c r="J934" s="7" t="inlineStr">
        <is>
          <t>Consumer</t>
        </is>
      </c>
      <c r="K934" s="8" t="n">
        <v>3</v>
      </c>
      <c r="L934" s="9" t="n">
        <v>89.98999999999999</v>
      </c>
      <c r="M934" s="10" t="n">
        <v>0</v>
      </c>
      <c r="N934" s="9" t="n">
        <v>53.99</v>
      </c>
      <c r="O934" s="9" t="n">
        <v>269.97</v>
      </c>
      <c r="P934" s="9" t="n">
        <v>0</v>
      </c>
      <c r="Q934" s="9" t="n">
        <v>269.97</v>
      </c>
      <c r="R934" s="9" t="n">
        <v>161.97</v>
      </c>
      <c r="S934" s="9" t="n">
        <v>108</v>
      </c>
      <c r="T934" s="10" t="n">
        <v>0.4</v>
      </c>
    </row>
    <row r="935">
      <c r="A935" s="7" t="inlineStr">
        <is>
          <t>ORD-2024-1389</t>
        </is>
      </c>
      <c r="B935" s="7" t="inlineStr">
        <is>
          <t>2024-12-14</t>
        </is>
      </c>
      <c r="C935" s="7" t="inlineStr">
        <is>
          <t>TEC-ACC-008</t>
        </is>
      </c>
      <c r="D935" s="7" t="inlineStr">
        <is>
          <t>Precision Laser Bluetooth Mouse</t>
        </is>
      </c>
      <c r="E935" s="7" t="inlineStr">
        <is>
          <t>Technology</t>
        </is>
      </c>
      <c r="F935" s="7" t="inlineStr">
        <is>
          <t>Audio &amp; Accessories</t>
        </is>
      </c>
      <c r="G935" s="7" t="inlineStr">
        <is>
          <t>West</t>
        </is>
      </c>
      <c r="H935" s="7" t="inlineStr">
        <is>
          <t>California</t>
        </is>
      </c>
      <c r="I935" s="7" t="inlineStr">
        <is>
          <t>Retail Partner</t>
        </is>
      </c>
      <c r="J935" s="7" t="inlineStr">
        <is>
          <t>Consumer</t>
        </is>
      </c>
      <c r="K935" s="8" t="n">
        <v>4</v>
      </c>
      <c r="L935" s="9" t="n">
        <v>49.99</v>
      </c>
      <c r="M935" s="10" t="n">
        <v>0.15</v>
      </c>
      <c r="N935" s="9" t="n">
        <v>27.49</v>
      </c>
      <c r="O935" s="9" t="n">
        <v>199.96</v>
      </c>
      <c r="P935" s="9" t="n">
        <v>29.99</v>
      </c>
      <c r="Q935" s="9" t="n">
        <v>169.97</v>
      </c>
      <c r="R935" s="9" t="n">
        <v>109.96</v>
      </c>
      <c r="S935" s="9" t="n">
        <v>60.01</v>
      </c>
      <c r="T935" s="10" t="n">
        <v>0.3531</v>
      </c>
    </row>
    <row r="936">
      <c r="A936" s="7" t="inlineStr">
        <is>
          <t>ORD-2024-1549</t>
        </is>
      </c>
      <c r="B936" s="7" t="inlineStr">
        <is>
          <t>2024-12-14</t>
        </is>
      </c>
      <c r="C936" s="7" t="inlineStr">
        <is>
          <t>FUR-CHA-001</t>
        </is>
      </c>
      <c r="D936" s="7" t="inlineStr">
        <is>
          <t>ErgoFlex Executive Mesh Chair</t>
        </is>
      </c>
      <c r="E936" s="7" t="inlineStr">
        <is>
          <t>Furniture</t>
        </is>
      </c>
      <c r="F936" s="7" t="inlineStr">
        <is>
          <t>Chairs</t>
        </is>
      </c>
      <c r="G936" s="7" t="inlineStr">
        <is>
          <t>South</t>
        </is>
      </c>
      <c r="H936" s="7" t="inlineStr">
        <is>
          <t>North Carolina</t>
        </is>
      </c>
      <c r="I936" s="7" t="inlineStr">
        <is>
          <t>Direct Sales</t>
        </is>
      </c>
      <c r="J936" s="7" t="inlineStr">
        <is>
          <t>Consumer</t>
        </is>
      </c>
      <c r="K936" s="8" t="n">
        <v>1</v>
      </c>
      <c r="L936" s="9" t="n">
        <v>389.99</v>
      </c>
      <c r="M936" s="10" t="n">
        <v>0.2</v>
      </c>
      <c r="N936" s="9" t="n">
        <v>331.49</v>
      </c>
      <c r="O936" s="9" t="n">
        <v>389.99</v>
      </c>
      <c r="P936" s="9" t="n">
        <v>78</v>
      </c>
      <c r="Q936" s="9" t="n">
        <v>311.99</v>
      </c>
      <c r="R936" s="9" t="n">
        <v>331.49</v>
      </c>
      <c r="S936" s="9" t="n">
        <v>-19.5</v>
      </c>
      <c r="T936" s="10" t="n">
        <v>-0.0625</v>
      </c>
    </row>
    <row r="937">
      <c r="A937" s="7" t="inlineStr">
        <is>
          <t>ORD-2024-1549</t>
        </is>
      </c>
      <c r="B937" s="7" t="inlineStr">
        <is>
          <t>2024-12-14</t>
        </is>
      </c>
      <c r="C937" s="7" t="inlineStr">
        <is>
          <t>OFF-PAP-004</t>
        </is>
      </c>
      <c r="D937" s="7" t="inlineStr">
        <is>
          <t>EcoRecycled Copy Paper (5 Reams)</t>
        </is>
      </c>
      <c r="E937" s="7" t="inlineStr">
        <is>
          <t>Office Supplies</t>
        </is>
      </c>
      <c r="F937" s="7" t="inlineStr">
        <is>
          <t>Paper Products</t>
        </is>
      </c>
      <c r="G937" s="7" t="inlineStr">
        <is>
          <t>South</t>
        </is>
      </c>
      <c r="H937" s="7" t="inlineStr">
        <is>
          <t>North Carolina</t>
        </is>
      </c>
      <c r="I937" s="7" t="inlineStr">
        <is>
          <t>Direct Sales</t>
        </is>
      </c>
      <c r="J937" s="7" t="inlineStr">
        <is>
          <t>Consumer</t>
        </is>
      </c>
      <c r="K937" s="8" t="n">
        <v>2</v>
      </c>
      <c r="L937" s="9" t="n">
        <v>32.99</v>
      </c>
      <c r="M937" s="10" t="n">
        <v>0</v>
      </c>
      <c r="N937" s="9" t="n">
        <v>19.79</v>
      </c>
      <c r="O937" s="9" t="n">
        <v>65.98</v>
      </c>
      <c r="P937" s="9" t="n">
        <v>0</v>
      </c>
      <c r="Q937" s="9" t="n">
        <v>65.98</v>
      </c>
      <c r="R937" s="9" t="n">
        <v>39.58</v>
      </c>
      <c r="S937" s="9" t="n">
        <v>26.4</v>
      </c>
      <c r="T937" s="10" t="n">
        <v>0.4001</v>
      </c>
    </row>
    <row r="938">
      <c r="A938" s="7" t="inlineStr">
        <is>
          <t>ORD-2024-1666</t>
        </is>
      </c>
      <c r="B938" s="7" t="inlineStr">
        <is>
          <t>2024-12-14</t>
        </is>
      </c>
      <c r="C938" s="7" t="inlineStr">
        <is>
          <t>OFF-BIN-005</t>
        </is>
      </c>
      <c r="D938" s="7" t="inlineStr">
        <is>
          <t>Heavy-Duty D-Ring Presentation Binder (6-Pk)</t>
        </is>
      </c>
      <c r="E938" s="7" t="inlineStr">
        <is>
          <t>Office Supplies</t>
        </is>
      </c>
      <c r="F938" s="7" t="inlineStr">
        <is>
          <t>Binders &amp; Fasteners</t>
        </is>
      </c>
      <c r="G938" s="7" t="inlineStr">
        <is>
          <t>West</t>
        </is>
      </c>
      <c r="H938" s="7" t="inlineStr">
        <is>
          <t>Washington</t>
        </is>
      </c>
      <c r="I938" s="7" t="inlineStr">
        <is>
          <t>Online</t>
        </is>
      </c>
      <c r="J938" s="7" t="inlineStr">
        <is>
          <t>Consumer</t>
        </is>
      </c>
      <c r="K938" s="8" t="n">
        <v>4</v>
      </c>
      <c r="L938" s="9" t="n">
        <v>27.99</v>
      </c>
      <c r="M938" s="10" t="n">
        <v>0.1</v>
      </c>
      <c r="N938" s="9" t="n">
        <v>13.99</v>
      </c>
      <c r="O938" s="9" t="n">
        <v>111.96</v>
      </c>
      <c r="P938" s="9" t="n">
        <v>11.2</v>
      </c>
      <c r="Q938" s="9" t="n">
        <v>100.76</v>
      </c>
      <c r="R938" s="9" t="n">
        <v>55.96</v>
      </c>
      <c r="S938" s="9" t="n">
        <v>44.8</v>
      </c>
      <c r="T938" s="10" t="n">
        <v>0.4446</v>
      </c>
    </row>
    <row r="939">
      <c r="A939" s="7" t="inlineStr">
        <is>
          <t>ORD-2024-1666</t>
        </is>
      </c>
      <c r="B939" s="7" t="inlineStr">
        <is>
          <t>2024-12-14</t>
        </is>
      </c>
      <c r="C939" s="7" t="inlineStr">
        <is>
          <t>FUR-LGT-006</t>
        </is>
      </c>
      <c r="D939" s="7" t="inlineStr">
        <is>
          <t>Architect LED Desk Task Lamp</t>
        </is>
      </c>
      <c r="E939" s="7" t="inlineStr">
        <is>
          <t>Furniture</t>
        </is>
      </c>
      <c r="F939" s="7" t="inlineStr">
        <is>
          <t>Lighting</t>
        </is>
      </c>
      <c r="G939" s="7" t="inlineStr">
        <is>
          <t>West</t>
        </is>
      </c>
      <c r="H939" s="7" t="inlineStr">
        <is>
          <t>Washington</t>
        </is>
      </c>
      <c r="I939" s="7" t="inlineStr">
        <is>
          <t>Online</t>
        </is>
      </c>
      <c r="J939" s="7" t="inlineStr">
        <is>
          <t>Consumer</t>
        </is>
      </c>
      <c r="K939" s="8" t="n">
        <v>2</v>
      </c>
      <c r="L939" s="9" t="n">
        <v>69.98999999999999</v>
      </c>
      <c r="M939" s="10" t="n">
        <v>0</v>
      </c>
      <c r="N939" s="9" t="n">
        <v>43.39</v>
      </c>
      <c r="O939" s="9" t="n">
        <v>139.98</v>
      </c>
      <c r="P939" s="9" t="n">
        <v>0</v>
      </c>
      <c r="Q939" s="9" t="n">
        <v>139.98</v>
      </c>
      <c r="R939" s="9" t="n">
        <v>86.78</v>
      </c>
      <c r="S939" s="9" t="n">
        <v>53.2</v>
      </c>
      <c r="T939" s="10" t="n">
        <v>0.3801</v>
      </c>
    </row>
    <row r="940">
      <c r="A940" s="7" t="inlineStr">
        <is>
          <t>ORD-2024-1048</t>
        </is>
      </c>
      <c r="B940" s="7" t="inlineStr">
        <is>
          <t>2024-12-16</t>
        </is>
      </c>
      <c r="C940" s="7" t="inlineStr">
        <is>
          <t>OFF-PAP-004</t>
        </is>
      </c>
      <c r="D940" s="7" t="inlineStr">
        <is>
          <t>EcoRecycled Copy Paper (5 Reams)</t>
        </is>
      </c>
      <c r="E940" s="7" t="inlineStr">
        <is>
          <t>Office Supplies</t>
        </is>
      </c>
      <c r="F940" s="7" t="inlineStr">
        <is>
          <t>Paper Products</t>
        </is>
      </c>
      <c r="G940" s="7" t="inlineStr">
        <is>
          <t>East</t>
        </is>
      </c>
      <c r="H940" s="7" t="inlineStr">
        <is>
          <t>Pennsylvania</t>
        </is>
      </c>
      <c r="I940" s="7" t="inlineStr">
        <is>
          <t>Online</t>
        </is>
      </c>
      <c r="J940" s="7" t="inlineStr">
        <is>
          <t>Corporate</t>
        </is>
      </c>
      <c r="K940" s="8" t="n">
        <v>3</v>
      </c>
      <c r="L940" s="9" t="n">
        <v>32.99</v>
      </c>
      <c r="M940" s="10" t="n">
        <v>0.05</v>
      </c>
      <c r="N940" s="9" t="n">
        <v>19.79</v>
      </c>
      <c r="O940" s="9" t="n">
        <v>98.97</v>
      </c>
      <c r="P940" s="9" t="n">
        <v>4.95</v>
      </c>
      <c r="Q940" s="9" t="n">
        <v>94.02</v>
      </c>
      <c r="R940" s="9" t="n">
        <v>59.37</v>
      </c>
      <c r="S940" s="9" t="n">
        <v>34.65</v>
      </c>
      <c r="T940" s="10" t="n">
        <v>0.3685</v>
      </c>
    </row>
    <row r="941">
      <c r="A941" s="7" t="inlineStr">
        <is>
          <t>ORD-2024-1089</t>
        </is>
      </c>
      <c r="B941" s="7" t="inlineStr">
        <is>
          <t>2024-12-16</t>
        </is>
      </c>
      <c r="C941" s="7" t="inlineStr">
        <is>
          <t>TEC-ACC-007</t>
        </is>
      </c>
      <c r="D941" s="7" t="inlineStr">
        <is>
          <t>ErgoMechanical Wireless Keyboard</t>
        </is>
      </c>
      <c r="E941" s="7" t="inlineStr">
        <is>
          <t>Technology</t>
        </is>
      </c>
      <c r="F941" s="7" t="inlineStr">
        <is>
          <t>Audio &amp; Accessories</t>
        </is>
      </c>
      <c r="G941" s="7" t="inlineStr">
        <is>
          <t>South</t>
        </is>
      </c>
      <c r="H941" s="7" t="inlineStr">
        <is>
          <t>Georgia</t>
        </is>
      </c>
      <c r="I941" s="7" t="inlineStr">
        <is>
          <t>Online</t>
        </is>
      </c>
      <c r="J941" s="7" t="inlineStr">
        <is>
          <t>Home Office</t>
        </is>
      </c>
      <c r="K941" s="8" t="n">
        <v>4</v>
      </c>
      <c r="L941" s="9" t="n">
        <v>109.99</v>
      </c>
      <c r="M941" s="10" t="n">
        <v>0</v>
      </c>
      <c r="N941" s="9" t="n">
        <v>65.98999999999999</v>
      </c>
      <c r="O941" s="9" t="n">
        <v>439.96</v>
      </c>
      <c r="P941" s="9" t="n">
        <v>0</v>
      </c>
      <c r="Q941" s="9" t="n">
        <v>439.96</v>
      </c>
      <c r="R941" s="9" t="n">
        <v>263.96</v>
      </c>
      <c r="S941" s="9" t="n">
        <v>176</v>
      </c>
      <c r="T941" s="10" t="n">
        <v>0.4</v>
      </c>
    </row>
    <row r="942">
      <c r="A942" s="7" t="inlineStr">
        <is>
          <t>ORD-2024-1721</t>
        </is>
      </c>
      <c r="B942" s="7" t="inlineStr">
        <is>
          <t>2024-12-16</t>
        </is>
      </c>
      <c r="C942" s="7" t="inlineStr">
        <is>
          <t>OFF-PAP-003</t>
        </is>
      </c>
      <c r="D942" s="7" t="inlineStr">
        <is>
          <t>UltraWhite Premium Multipurpose Paper (Case)</t>
        </is>
      </c>
      <c r="E942" s="7" t="inlineStr">
        <is>
          <t>Office Supplies</t>
        </is>
      </c>
      <c r="F942" s="7" t="inlineStr">
        <is>
          <t>Paper Products</t>
        </is>
      </c>
      <c r="G942" s="7" t="inlineStr">
        <is>
          <t>East</t>
        </is>
      </c>
      <c r="H942" s="7" t="inlineStr">
        <is>
          <t>New York</t>
        </is>
      </c>
      <c r="I942" s="7" t="inlineStr">
        <is>
          <t>Online</t>
        </is>
      </c>
      <c r="J942" s="7" t="inlineStr">
        <is>
          <t>Corporate</t>
        </is>
      </c>
      <c r="K942" s="8" t="n">
        <v>2</v>
      </c>
      <c r="L942" s="9" t="n">
        <v>54.99</v>
      </c>
      <c r="M942" s="10" t="n">
        <v>0.05</v>
      </c>
      <c r="N942" s="9" t="n">
        <v>31.89</v>
      </c>
      <c r="O942" s="9" t="n">
        <v>109.98</v>
      </c>
      <c r="P942" s="9" t="n">
        <v>5.5</v>
      </c>
      <c r="Q942" s="9" t="n">
        <v>104.48</v>
      </c>
      <c r="R942" s="9" t="n">
        <v>63.78</v>
      </c>
      <c r="S942" s="9" t="n">
        <v>40.7</v>
      </c>
      <c r="T942" s="10" t="n">
        <v>0.3895</v>
      </c>
    </row>
    <row r="943">
      <c r="A943" s="7" t="inlineStr">
        <is>
          <t>ORD-2024-1262</t>
        </is>
      </c>
      <c r="B943" s="7" t="inlineStr">
        <is>
          <t>2024-12-18</t>
        </is>
      </c>
      <c r="C943" s="7" t="inlineStr">
        <is>
          <t>OFF-STR-001</t>
        </is>
      </c>
      <c r="D943" s="7" t="inlineStr">
        <is>
          <t>SteelLock 3-Drawer File Cabinet</t>
        </is>
      </c>
      <c r="E943" s="7" t="inlineStr">
        <is>
          <t>Office Supplies</t>
        </is>
      </c>
      <c r="F943" s="7" t="inlineStr">
        <is>
          <t>Storage &amp; Organizers</t>
        </is>
      </c>
      <c r="G943" s="7" t="inlineStr">
        <is>
          <t>Central</t>
        </is>
      </c>
      <c r="H943" s="7" t="inlineStr">
        <is>
          <t>Illinois</t>
        </is>
      </c>
      <c r="I943" s="7" t="inlineStr">
        <is>
          <t>Retail Partner</t>
        </is>
      </c>
      <c r="J943" s="7" t="inlineStr">
        <is>
          <t>Consumer</t>
        </is>
      </c>
      <c r="K943" s="8" t="n">
        <v>3</v>
      </c>
      <c r="L943" s="9" t="n">
        <v>169.99</v>
      </c>
      <c r="M943" s="10" t="n">
        <v>0.05</v>
      </c>
      <c r="N943" s="9" t="n">
        <v>115.59</v>
      </c>
      <c r="O943" s="9" t="n">
        <v>509.97</v>
      </c>
      <c r="P943" s="9" t="n">
        <v>25.5</v>
      </c>
      <c r="Q943" s="9" t="n">
        <v>484.47</v>
      </c>
      <c r="R943" s="9" t="n">
        <v>346.77</v>
      </c>
      <c r="S943" s="9" t="n">
        <v>137.7</v>
      </c>
      <c r="T943" s="10" t="n">
        <v>0.2842</v>
      </c>
    </row>
    <row r="944">
      <c r="A944" s="7" t="inlineStr">
        <is>
          <t>ORD-2024-1614</t>
        </is>
      </c>
      <c r="B944" s="7" t="inlineStr">
        <is>
          <t>2024-12-18</t>
        </is>
      </c>
      <c r="C944" s="7" t="inlineStr">
        <is>
          <t>OFF-ART-006</t>
        </is>
      </c>
      <c r="D944" s="7" t="inlineStr">
        <is>
          <t>Professional Presentation Dry Erase Board</t>
        </is>
      </c>
      <c r="E944" s="7" t="inlineStr">
        <is>
          <t>Office Supplies</t>
        </is>
      </c>
      <c r="F944" s="7" t="inlineStr">
        <is>
          <t>Presentation &amp; Art</t>
        </is>
      </c>
      <c r="G944" s="7" t="inlineStr">
        <is>
          <t>West</t>
        </is>
      </c>
      <c r="H944" s="7" t="inlineStr">
        <is>
          <t>California</t>
        </is>
      </c>
      <c r="I944" s="7" t="inlineStr">
        <is>
          <t>Retail Partner</t>
        </is>
      </c>
      <c r="J944" s="7" t="inlineStr">
        <is>
          <t>Corporate</t>
        </is>
      </c>
      <c r="K944" s="8" t="n">
        <v>6</v>
      </c>
      <c r="L944" s="9" t="n">
        <v>89.98999999999999</v>
      </c>
      <c r="M944" s="10" t="n">
        <v>0</v>
      </c>
      <c r="N944" s="9" t="n">
        <v>53.99</v>
      </c>
      <c r="O944" s="9" t="n">
        <v>539.9400000000001</v>
      </c>
      <c r="P944" s="9" t="n">
        <v>0</v>
      </c>
      <c r="Q944" s="9" t="n">
        <v>539.9400000000001</v>
      </c>
      <c r="R944" s="9" t="n">
        <v>323.94</v>
      </c>
      <c r="S944" s="9" t="n">
        <v>216</v>
      </c>
      <c r="T944" s="10" t="n">
        <v>0.4</v>
      </c>
    </row>
    <row r="945">
      <c r="A945" s="7" t="inlineStr">
        <is>
          <t>ORD-2024-1006</t>
        </is>
      </c>
      <c r="B945" s="7" t="inlineStr">
        <is>
          <t>2024-12-19</t>
        </is>
      </c>
      <c r="C945" s="7" t="inlineStr">
        <is>
          <t>TEC-LAP-001</t>
        </is>
      </c>
      <c r="D945" s="7" t="inlineStr">
        <is>
          <t>ProBook Elite 15.6"</t>
        </is>
      </c>
      <c r="E945" s="7" t="inlineStr">
        <is>
          <t>Technology</t>
        </is>
      </c>
      <c r="F945" s="7" t="inlineStr">
        <is>
          <t>Laptops</t>
        </is>
      </c>
      <c r="G945" s="7" t="inlineStr">
        <is>
          <t>Central</t>
        </is>
      </c>
      <c r="H945" s="7" t="inlineStr">
        <is>
          <t>Ohio</t>
        </is>
      </c>
      <c r="I945" s="7" t="inlineStr">
        <is>
          <t>Online</t>
        </is>
      </c>
      <c r="J945" s="7" t="inlineStr">
        <is>
          <t>Consumer</t>
        </is>
      </c>
      <c r="K945" s="8" t="n">
        <v>2</v>
      </c>
      <c r="L945" s="9" t="n">
        <v>1199.99</v>
      </c>
      <c r="M945" s="10" t="n">
        <v>0.05</v>
      </c>
      <c r="N945" s="9" t="n">
        <v>863.99</v>
      </c>
      <c r="O945" s="9" t="n">
        <v>2399.98</v>
      </c>
      <c r="P945" s="9" t="n">
        <v>120</v>
      </c>
      <c r="Q945" s="9" t="n">
        <v>2279.98</v>
      </c>
      <c r="R945" s="9" t="n">
        <v>1727.98</v>
      </c>
      <c r="S945" s="9" t="n">
        <v>552</v>
      </c>
      <c r="T945" s="10" t="n">
        <v>0.2421</v>
      </c>
    </row>
    <row r="946">
      <c r="A946" s="7" t="inlineStr">
        <is>
          <t>ORD-2024-1044</t>
        </is>
      </c>
      <c r="B946" s="7" t="inlineStr">
        <is>
          <t>2024-12-19</t>
        </is>
      </c>
      <c r="C946" s="7" t="inlineStr">
        <is>
          <t>OFF-BIN-005</t>
        </is>
      </c>
      <c r="D946" s="7" t="inlineStr">
        <is>
          <t>Heavy-Duty D-Ring Presentation Binder (6-Pk)</t>
        </is>
      </c>
      <c r="E946" s="7" t="inlineStr">
        <is>
          <t>Office Supplies</t>
        </is>
      </c>
      <c r="F946" s="7" t="inlineStr">
        <is>
          <t>Binders &amp; Fasteners</t>
        </is>
      </c>
      <c r="G946" s="7" t="inlineStr">
        <is>
          <t>East</t>
        </is>
      </c>
      <c r="H946" s="7" t="inlineStr">
        <is>
          <t>Pennsylvania</t>
        </is>
      </c>
      <c r="I946" s="7" t="inlineStr">
        <is>
          <t>Online</t>
        </is>
      </c>
      <c r="J946" s="7" t="inlineStr">
        <is>
          <t>Consumer</t>
        </is>
      </c>
      <c r="K946" s="8" t="n">
        <v>2</v>
      </c>
      <c r="L946" s="9" t="n">
        <v>27.99</v>
      </c>
      <c r="M946" s="10" t="n">
        <v>0</v>
      </c>
      <c r="N946" s="9" t="n">
        <v>13.99</v>
      </c>
      <c r="O946" s="9" t="n">
        <v>55.98</v>
      </c>
      <c r="P946" s="9" t="n">
        <v>0</v>
      </c>
      <c r="Q946" s="9" t="n">
        <v>55.98</v>
      </c>
      <c r="R946" s="9" t="n">
        <v>27.98</v>
      </c>
      <c r="S946" s="9" t="n">
        <v>28</v>
      </c>
      <c r="T946" s="10" t="n">
        <v>0.5002</v>
      </c>
    </row>
    <row r="947">
      <c r="A947" s="7" t="inlineStr">
        <is>
          <t>ORD-2024-1173</t>
        </is>
      </c>
      <c r="B947" s="7" t="inlineStr">
        <is>
          <t>2024-12-19</t>
        </is>
      </c>
      <c r="C947" s="7" t="inlineStr">
        <is>
          <t>TEC-TAB-004</t>
        </is>
      </c>
      <c r="D947" s="7" t="inlineStr">
        <is>
          <t>VisionPad Lite 8.5"</t>
        </is>
      </c>
      <c r="E947" s="7" t="inlineStr">
        <is>
          <t>Technology</t>
        </is>
      </c>
      <c r="F947" s="7" t="inlineStr">
        <is>
          <t>Phones &amp; Tablets</t>
        </is>
      </c>
      <c r="G947" s="7" t="inlineStr">
        <is>
          <t>South</t>
        </is>
      </c>
      <c r="H947" s="7" t="inlineStr">
        <is>
          <t>North Carolina</t>
        </is>
      </c>
      <c r="I947" s="7" t="inlineStr">
        <is>
          <t>Wholesale</t>
        </is>
      </c>
      <c r="J947" s="7" t="inlineStr">
        <is>
          <t>Home Office</t>
        </is>
      </c>
      <c r="K947" s="8" t="n">
        <v>8</v>
      </c>
      <c r="L947" s="9" t="n">
        <v>299.99</v>
      </c>
      <c r="M947" s="10" t="n">
        <v>0.1</v>
      </c>
      <c r="N947" s="9" t="n">
        <v>245.99</v>
      </c>
      <c r="O947" s="9" t="n">
        <v>2399.92</v>
      </c>
      <c r="P947" s="9" t="n">
        <v>239.99</v>
      </c>
      <c r="Q947" s="9" t="n">
        <v>2159.93</v>
      </c>
      <c r="R947" s="9" t="n">
        <v>1967.92</v>
      </c>
      <c r="S947" s="9" t="n">
        <v>192.01</v>
      </c>
      <c r="T947" s="10" t="n">
        <v>0.08890000000000001</v>
      </c>
    </row>
    <row r="948">
      <c r="A948" s="7" t="inlineStr">
        <is>
          <t>ORD-2024-1200</t>
        </is>
      </c>
      <c r="B948" s="7" t="inlineStr">
        <is>
          <t>2024-12-19</t>
        </is>
      </c>
      <c r="C948" s="7" t="inlineStr">
        <is>
          <t>OFF-DSK-007</t>
        </is>
      </c>
      <c r="D948" s="7" t="inlineStr">
        <is>
          <t>Gel Ergo Mouse Pad &amp; Wrist Rest Combo</t>
        </is>
      </c>
      <c r="E948" s="7" t="inlineStr">
        <is>
          <t>Office Supplies</t>
        </is>
      </c>
      <c r="F948" s="7" t="inlineStr">
        <is>
          <t>Desk Supplies</t>
        </is>
      </c>
      <c r="G948" s="7" t="inlineStr">
        <is>
          <t>West</t>
        </is>
      </c>
      <c r="H948" s="7" t="inlineStr">
        <is>
          <t>Colorado</t>
        </is>
      </c>
      <c r="I948" s="7" t="inlineStr">
        <is>
          <t>Direct Sales</t>
        </is>
      </c>
      <c r="J948" s="7" t="inlineStr">
        <is>
          <t>Corporate</t>
        </is>
      </c>
      <c r="K948" s="8" t="n">
        <v>8</v>
      </c>
      <c r="L948" s="9" t="n">
        <v>21.99</v>
      </c>
      <c r="M948" s="10" t="n">
        <v>0.05</v>
      </c>
      <c r="N948" s="9" t="n">
        <v>10.56</v>
      </c>
      <c r="O948" s="9" t="n">
        <v>175.92</v>
      </c>
      <c r="P948" s="9" t="n">
        <v>8.800000000000001</v>
      </c>
      <c r="Q948" s="9" t="n">
        <v>167.12</v>
      </c>
      <c r="R948" s="9" t="n">
        <v>84.48</v>
      </c>
      <c r="S948" s="9" t="n">
        <v>82.64</v>
      </c>
      <c r="T948" s="10" t="n">
        <v>0.4945</v>
      </c>
    </row>
    <row r="949">
      <c r="A949" s="7" t="inlineStr">
        <is>
          <t>ORD-2024-1331</t>
        </is>
      </c>
      <c r="B949" s="7" t="inlineStr">
        <is>
          <t>2024-12-19</t>
        </is>
      </c>
      <c r="C949" s="7" t="inlineStr">
        <is>
          <t>OFF-PAP-003</t>
        </is>
      </c>
      <c r="D949" s="7" t="inlineStr">
        <is>
          <t>UltraWhite Premium Multipurpose Paper (Case)</t>
        </is>
      </c>
      <c r="E949" s="7" t="inlineStr">
        <is>
          <t>Office Supplies</t>
        </is>
      </c>
      <c r="F949" s="7" t="inlineStr">
        <is>
          <t>Paper Products</t>
        </is>
      </c>
      <c r="G949" s="7" t="inlineStr">
        <is>
          <t>Central</t>
        </is>
      </c>
      <c r="H949" s="7" t="inlineStr">
        <is>
          <t>Michigan</t>
        </is>
      </c>
      <c r="I949" s="7" t="inlineStr">
        <is>
          <t>Online</t>
        </is>
      </c>
      <c r="J949" s="7" t="inlineStr">
        <is>
          <t>Consumer</t>
        </is>
      </c>
      <c r="K949" s="8" t="n">
        <v>1</v>
      </c>
      <c r="L949" s="9" t="n">
        <v>54.99</v>
      </c>
      <c r="M949" s="10" t="n">
        <v>0</v>
      </c>
      <c r="N949" s="9" t="n">
        <v>31.89</v>
      </c>
      <c r="O949" s="9" t="n">
        <v>54.99</v>
      </c>
      <c r="P949" s="9" t="n">
        <v>0</v>
      </c>
      <c r="Q949" s="9" t="n">
        <v>54.99</v>
      </c>
      <c r="R949" s="9" t="n">
        <v>31.89</v>
      </c>
      <c r="S949" s="9" t="n">
        <v>23.1</v>
      </c>
      <c r="T949" s="10" t="n">
        <v>0.4201</v>
      </c>
    </row>
    <row r="950">
      <c r="A950" s="7" t="inlineStr">
        <is>
          <t>ORD-2024-1598</t>
        </is>
      </c>
      <c r="B950" s="7" t="inlineStr">
        <is>
          <t>2024-12-19</t>
        </is>
      </c>
      <c r="C950" s="7" t="inlineStr">
        <is>
          <t>OFF-DSK-008</t>
        </is>
      </c>
      <c r="D950" s="7" t="inlineStr">
        <is>
          <t>Steel Desktop Mesh Organizer Caddy</t>
        </is>
      </c>
      <c r="E950" s="7" t="inlineStr">
        <is>
          <t>Office Supplies</t>
        </is>
      </c>
      <c r="F950" s="7" t="inlineStr">
        <is>
          <t>Desk Supplies</t>
        </is>
      </c>
      <c r="G950" s="7" t="inlineStr">
        <is>
          <t>East</t>
        </is>
      </c>
      <c r="H950" s="7" t="inlineStr">
        <is>
          <t>New Jersey</t>
        </is>
      </c>
      <c r="I950" s="7" t="inlineStr">
        <is>
          <t>Online</t>
        </is>
      </c>
      <c r="J950" s="7" t="inlineStr">
        <is>
          <t>Consumer</t>
        </is>
      </c>
      <c r="K950" s="8" t="n">
        <v>3</v>
      </c>
      <c r="L950" s="9" t="n">
        <v>18.99</v>
      </c>
      <c r="M950" s="10" t="n">
        <v>0.1</v>
      </c>
      <c r="N950" s="9" t="n">
        <v>8.550000000000001</v>
      </c>
      <c r="O950" s="9" t="n">
        <v>56.97</v>
      </c>
      <c r="P950" s="9" t="n">
        <v>5.7</v>
      </c>
      <c r="Q950" s="9" t="n">
        <v>51.27</v>
      </c>
      <c r="R950" s="9" t="n">
        <v>25.65</v>
      </c>
      <c r="S950" s="9" t="n">
        <v>25.62</v>
      </c>
      <c r="T950" s="10" t="n">
        <v>0.4997</v>
      </c>
    </row>
    <row r="951">
      <c r="A951" s="7" t="inlineStr">
        <is>
          <t>ORD-2024-1036</t>
        </is>
      </c>
      <c r="B951" s="7" t="inlineStr">
        <is>
          <t>2024-12-20</t>
        </is>
      </c>
      <c r="C951" s="7" t="inlineStr">
        <is>
          <t>OFF-STR-002</t>
        </is>
      </c>
      <c r="D951" s="7" t="inlineStr">
        <is>
          <t>Stackable Heavy-Duty Storage Bins (4-Pk)</t>
        </is>
      </c>
      <c r="E951" s="7" t="inlineStr">
        <is>
          <t>Office Supplies</t>
        </is>
      </c>
      <c r="F951" s="7" t="inlineStr">
        <is>
          <t>Storage &amp; Organizers</t>
        </is>
      </c>
      <c r="G951" s="7" t="inlineStr">
        <is>
          <t>East</t>
        </is>
      </c>
      <c r="H951" s="7" t="inlineStr">
        <is>
          <t>Massachusetts</t>
        </is>
      </c>
      <c r="I951" s="7" t="inlineStr">
        <is>
          <t>Wholesale</t>
        </is>
      </c>
      <c r="J951" s="7" t="inlineStr">
        <is>
          <t>Corporate</t>
        </is>
      </c>
      <c r="K951" s="8" t="n">
        <v>5</v>
      </c>
      <c r="L951" s="9" t="n">
        <v>44.99</v>
      </c>
      <c r="M951" s="10" t="n">
        <v>0.15</v>
      </c>
      <c r="N951" s="9" t="n">
        <v>24.74</v>
      </c>
      <c r="O951" s="9" t="n">
        <v>224.95</v>
      </c>
      <c r="P951" s="9" t="n">
        <v>33.74</v>
      </c>
      <c r="Q951" s="9" t="n">
        <v>191.21</v>
      </c>
      <c r="R951" s="9" t="n">
        <v>123.7</v>
      </c>
      <c r="S951" s="9" t="n">
        <v>67.51000000000001</v>
      </c>
      <c r="T951" s="10" t="n">
        <v>0.3531</v>
      </c>
    </row>
    <row r="952">
      <c r="A952" s="7" t="inlineStr">
        <is>
          <t>ORD-2024-1036</t>
        </is>
      </c>
      <c r="B952" s="7" t="inlineStr">
        <is>
          <t>2024-12-20</t>
        </is>
      </c>
      <c r="C952" s="7" t="inlineStr">
        <is>
          <t>TEC-TAB-004</t>
        </is>
      </c>
      <c r="D952" s="7" t="inlineStr">
        <is>
          <t>VisionPad Lite 8.5"</t>
        </is>
      </c>
      <c r="E952" s="7" t="inlineStr">
        <is>
          <t>Technology</t>
        </is>
      </c>
      <c r="F952" s="7" t="inlineStr">
        <is>
          <t>Phones &amp; Tablets</t>
        </is>
      </c>
      <c r="G952" s="7" t="inlineStr">
        <is>
          <t>East</t>
        </is>
      </c>
      <c r="H952" s="7" t="inlineStr">
        <is>
          <t>Massachusetts</t>
        </is>
      </c>
      <c r="I952" s="7" t="inlineStr">
        <is>
          <t>Wholesale</t>
        </is>
      </c>
      <c r="J952" s="7" t="inlineStr">
        <is>
          <t>Corporate</t>
        </is>
      </c>
      <c r="K952" s="8" t="n">
        <v>10</v>
      </c>
      <c r="L952" s="9" t="n">
        <v>299.99</v>
      </c>
      <c r="M952" s="10" t="n">
        <v>0.15</v>
      </c>
      <c r="N952" s="9" t="n">
        <v>245.99</v>
      </c>
      <c r="O952" s="9" t="n">
        <v>2999.9</v>
      </c>
      <c r="P952" s="9" t="n">
        <v>449.98</v>
      </c>
      <c r="Q952" s="9" t="n">
        <v>2549.92</v>
      </c>
      <c r="R952" s="9" t="n">
        <v>2459.9</v>
      </c>
      <c r="S952" s="9" t="n">
        <v>90.02</v>
      </c>
      <c r="T952" s="10" t="n">
        <v>0.0353</v>
      </c>
    </row>
    <row r="953">
      <c r="A953" s="7" t="inlineStr">
        <is>
          <t>ORD-2024-1209</t>
        </is>
      </c>
      <c r="B953" s="7" t="inlineStr">
        <is>
          <t>2024-12-20</t>
        </is>
      </c>
      <c r="C953" s="7" t="inlineStr">
        <is>
          <t>OFF-DSK-007</t>
        </is>
      </c>
      <c r="D953" s="7" t="inlineStr">
        <is>
          <t>Gel Ergo Mouse Pad &amp; Wrist Rest Combo</t>
        </is>
      </c>
      <c r="E953" s="7" t="inlineStr">
        <is>
          <t>Office Supplies</t>
        </is>
      </c>
      <c r="F953" s="7" t="inlineStr">
        <is>
          <t>Desk Supplies</t>
        </is>
      </c>
      <c r="G953" s="7" t="inlineStr">
        <is>
          <t>Central</t>
        </is>
      </c>
      <c r="H953" s="7" t="inlineStr">
        <is>
          <t>Michigan</t>
        </is>
      </c>
      <c r="I953" s="7" t="inlineStr">
        <is>
          <t>Online</t>
        </is>
      </c>
      <c r="J953" s="7" t="inlineStr">
        <is>
          <t>Corporate</t>
        </is>
      </c>
      <c r="K953" s="8" t="n">
        <v>5</v>
      </c>
      <c r="L953" s="9" t="n">
        <v>21.99</v>
      </c>
      <c r="M953" s="10" t="n">
        <v>0</v>
      </c>
      <c r="N953" s="9" t="n">
        <v>10.56</v>
      </c>
      <c r="O953" s="9" t="n">
        <v>109.95</v>
      </c>
      <c r="P953" s="9" t="n">
        <v>0</v>
      </c>
      <c r="Q953" s="9" t="n">
        <v>109.95</v>
      </c>
      <c r="R953" s="9" t="n">
        <v>52.8</v>
      </c>
      <c r="S953" s="9" t="n">
        <v>57.15</v>
      </c>
      <c r="T953" s="10" t="n">
        <v>0.5198</v>
      </c>
    </row>
    <row r="954">
      <c r="A954" s="7" t="inlineStr">
        <is>
          <t>ORD-2024-1712</t>
        </is>
      </c>
      <c r="B954" s="7" t="inlineStr">
        <is>
          <t>2024-12-20</t>
        </is>
      </c>
      <c r="C954" s="7" t="inlineStr">
        <is>
          <t>OFF-STR-001</t>
        </is>
      </c>
      <c r="D954" s="7" t="inlineStr">
        <is>
          <t>SteelLock 3-Drawer File Cabinet</t>
        </is>
      </c>
      <c r="E954" s="7" t="inlineStr">
        <is>
          <t>Office Supplies</t>
        </is>
      </c>
      <c r="F954" s="7" t="inlineStr">
        <is>
          <t>Storage &amp; Organizers</t>
        </is>
      </c>
      <c r="G954" s="7" t="inlineStr">
        <is>
          <t>East</t>
        </is>
      </c>
      <c r="H954" s="7" t="inlineStr">
        <is>
          <t>Pennsylvania</t>
        </is>
      </c>
      <c r="I954" s="7" t="inlineStr">
        <is>
          <t>Online</t>
        </is>
      </c>
      <c r="J954" s="7" t="inlineStr">
        <is>
          <t>Consumer</t>
        </is>
      </c>
      <c r="K954" s="8" t="n">
        <v>3</v>
      </c>
      <c r="L954" s="9" t="n">
        <v>169.99</v>
      </c>
      <c r="M954" s="10" t="n">
        <v>0</v>
      </c>
      <c r="N954" s="9" t="n">
        <v>115.59</v>
      </c>
      <c r="O954" s="9" t="n">
        <v>509.97</v>
      </c>
      <c r="P954" s="9" t="n">
        <v>0</v>
      </c>
      <c r="Q954" s="9" t="n">
        <v>509.97</v>
      </c>
      <c r="R954" s="9" t="n">
        <v>346.77</v>
      </c>
      <c r="S954" s="9" t="n">
        <v>163.2</v>
      </c>
      <c r="T954" s="10" t="n">
        <v>0.32</v>
      </c>
    </row>
    <row r="955">
      <c r="A955" s="7" t="inlineStr">
        <is>
          <t>ORD-2024-1001</t>
        </is>
      </c>
      <c r="B955" s="7" t="inlineStr">
        <is>
          <t>2024-12-21</t>
        </is>
      </c>
      <c r="C955" s="7" t="inlineStr">
        <is>
          <t>TEC-LAP-001</t>
        </is>
      </c>
      <c r="D955" s="7" t="inlineStr">
        <is>
          <t>ProBook Elite 15.6"</t>
        </is>
      </c>
      <c r="E955" s="7" t="inlineStr">
        <is>
          <t>Technology</t>
        </is>
      </c>
      <c r="F955" s="7" t="inlineStr">
        <is>
          <t>Laptops</t>
        </is>
      </c>
      <c r="G955" s="7" t="inlineStr">
        <is>
          <t>Central</t>
        </is>
      </c>
      <c r="H955" s="7" t="inlineStr">
        <is>
          <t>Illinois</t>
        </is>
      </c>
      <c r="I955" s="7" t="inlineStr">
        <is>
          <t>Direct Sales</t>
        </is>
      </c>
      <c r="J955" s="7" t="inlineStr">
        <is>
          <t>Consumer</t>
        </is>
      </c>
      <c r="K955" s="8" t="n">
        <v>3</v>
      </c>
      <c r="L955" s="9" t="n">
        <v>1199.99</v>
      </c>
      <c r="M955" s="10" t="n">
        <v>0</v>
      </c>
      <c r="N955" s="9" t="n">
        <v>863.99</v>
      </c>
      <c r="O955" s="9" t="n">
        <v>3599.97</v>
      </c>
      <c r="P955" s="9" t="n">
        <v>0</v>
      </c>
      <c r="Q955" s="9" t="n">
        <v>3599.97</v>
      </c>
      <c r="R955" s="9" t="n">
        <v>2591.97</v>
      </c>
      <c r="S955" s="9" t="n">
        <v>1008</v>
      </c>
      <c r="T955" s="10" t="n">
        <v>0.28</v>
      </c>
    </row>
    <row r="956">
      <c r="A956" s="7" t="inlineStr">
        <is>
          <t>ORD-2024-1199</t>
        </is>
      </c>
      <c r="B956" s="7" t="inlineStr">
        <is>
          <t>2024-12-21</t>
        </is>
      </c>
      <c r="C956" s="7" t="inlineStr">
        <is>
          <t>FUR-CHA-001</t>
        </is>
      </c>
      <c r="D956" s="7" t="inlineStr">
        <is>
          <t>ErgoFlex Executive Mesh Chair</t>
        </is>
      </c>
      <c r="E956" s="7" t="inlineStr">
        <is>
          <t>Furniture</t>
        </is>
      </c>
      <c r="F956" s="7" t="inlineStr">
        <is>
          <t>Chairs</t>
        </is>
      </c>
      <c r="G956" s="7" t="inlineStr">
        <is>
          <t>Central</t>
        </is>
      </c>
      <c r="H956" s="7" t="inlineStr">
        <is>
          <t>Michigan</t>
        </is>
      </c>
      <c r="I956" s="7" t="inlineStr">
        <is>
          <t>Online</t>
        </is>
      </c>
      <c r="J956" s="7" t="inlineStr">
        <is>
          <t>Corporate</t>
        </is>
      </c>
      <c r="K956" s="8" t="n">
        <v>3</v>
      </c>
      <c r="L956" s="9" t="n">
        <v>389.99</v>
      </c>
      <c r="M956" s="10" t="n">
        <v>0.05</v>
      </c>
      <c r="N956" s="9" t="n">
        <v>331.49</v>
      </c>
      <c r="O956" s="9" t="n">
        <v>1169.97</v>
      </c>
      <c r="P956" s="9" t="n">
        <v>58.5</v>
      </c>
      <c r="Q956" s="9" t="n">
        <v>1111.47</v>
      </c>
      <c r="R956" s="9" t="n">
        <v>994.47</v>
      </c>
      <c r="S956" s="9" t="n">
        <v>117</v>
      </c>
      <c r="T956" s="10" t="n">
        <v>0.1053</v>
      </c>
    </row>
    <row r="957">
      <c r="A957" s="7" t="inlineStr">
        <is>
          <t>ORD-2024-1387</t>
        </is>
      </c>
      <c r="B957" s="7" t="inlineStr">
        <is>
          <t>2024-12-21</t>
        </is>
      </c>
      <c r="C957" s="7" t="inlineStr">
        <is>
          <t>TEC-TAB-003</t>
        </is>
      </c>
      <c r="D957" s="7" t="inlineStr">
        <is>
          <t>VisionPad Pro 11"</t>
        </is>
      </c>
      <c r="E957" s="7" t="inlineStr">
        <is>
          <t>Technology</t>
        </is>
      </c>
      <c r="F957" s="7" t="inlineStr">
        <is>
          <t>Phones &amp; Tablets</t>
        </is>
      </c>
      <c r="G957" s="7" t="inlineStr">
        <is>
          <t>East</t>
        </is>
      </c>
      <c r="H957" s="7" t="inlineStr">
        <is>
          <t>New Jersey</t>
        </is>
      </c>
      <c r="I957" s="7" t="inlineStr">
        <is>
          <t>Direct Sales</t>
        </is>
      </c>
      <c r="J957" s="7" t="inlineStr">
        <is>
          <t>Corporate</t>
        </is>
      </c>
      <c r="K957" s="8" t="n">
        <v>2</v>
      </c>
      <c r="L957" s="9" t="n">
        <v>649.99</v>
      </c>
      <c r="M957" s="10" t="n">
        <v>0.05</v>
      </c>
      <c r="N957" s="9" t="n">
        <v>487.49</v>
      </c>
      <c r="O957" s="9" t="n">
        <v>1299.98</v>
      </c>
      <c r="P957" s="9" t="n">
        <v>65</v>
      </c>
      <c r="Q957" s="9" t="n">
        <v>1234.98</v>
      </c>
      <c r="R957" s="9" t="n">
        <v>974.98</v>
      </c>
      <c r="S957" s="9" t="n">
        <v>260</v>
      </c>
      <c r="T957" s="10" t="n">
        <v>0.2105</v>
      </c>
    </row>
    <row r="958">
      <c r="A958" s="7" t="inlineStr">
        <is>
          <t>ORD-2024-1703</t>
        </is>
      </c>
      <c r="B958" s="7" t="inlineStr">
        <is>
          <t>2024-12-21</t>
        </is>
      </c>
      <c r="C958" s="7" t="inlineStr">
        <is>
          <t>TEC-ACC-008</t>
        </is>
      </c>
      <c r="D958" s="7" t="inlineStr">
        <is>
          <t>Precision Laser Bluetooth Mouse</t>
        </is>
      </c>
      <c r="E958" s="7" t="inlineStr">
        <is>
          <t>Technology</t>
        </is>
      </c>
      <c r="F958" s="7" t="inlineStr">
        <is>
          <t>Audio &amp; Accessories</t>
        </is>
      </c>
      <c r="G958" s="7" t="inlineStr">
        <is>
          <t>South</t>
        </is>
      </c>
      <c r="H958" s="7" t="inlineStr">
        <is>
          <t>North Carolina</t>
        </is>
      </c>
      <c r="I958" s="7" t="inlineStr">
        <is>
          <t>Wholesale</t>
        </is>
      </c>
      <c r="J958" s="7" t="inlineStr">
        <is>
          <t>Consumer</t>
        </is>
      </c>
      <c r="K958" s="8" t="n">
        <v>11</v>
      </c>
      <c r="L958" s="9" t="n">
        <v>49.99</v>
      </c>
      <c r="M958" s="10" t="n">
        <v>0.15</v>
      </c>
      <c r="N958" s="9" t="n">
        <v>27.49</v>
      </c>
      <c r="O958" s="9" t="n">
        <v>549.89</v>
      </c>
      <c r="P958" s="9" t="n">
        <v>82.48</v>
      </c>
      <c r="Q958" s="9" t="n">
        <v>467.41</v>
      </c>
      <c r="R958" s="9" t="n">
        <v>302.39</v>
      </c>
      <c r="S958" s="9" t="n">
        <v>165.02</v>
      </c>
      <c r="T958" s="10" t="n">
        <v>0.3531</v>
      </c>
    </row>
    <row r="959">
      <c r="A959" s="7" t="inlineStr">
        <is>
          <t>ORD-2024-1029</t>
        </is>
      </c>
      <c r="B959" s="7" t="inlineStr">
        <is>
          <t>2024-12-22</t>
        </is>
      </c>
      <c r="C959" s="7" t="inlineStr">
        <is>
          <t>OFF-DSK-008</t>
        </is>
      </c>
      <c r="D959" s="7" t="inlineStr">
        <is>
          <t>Steel Desktop Mesh Organizer Caddy</t>
        </is>
      </c>
      <c r="E959" s="7" t="inlineStr">
        <is>
          <t>Office Supplies</t>
        </is>
      </c>
      <c r="F959" s="7" t="inlineStr">
        <is>
          <t>Desk Supplies</t>
        </is>
      </c>
      <c r="G959" s="7" t="inlineStr">
        <is>
          <t>West</t>
        </is>
      </c>
      <c r="H959" s="7" t="inlineStr">
        <is>
          <t>California</t>
        </is>
      </c>
      <c r="I959" s="7" t="inlineStr">
        <is>
          <t>Direct Sales</t>
        </is>
      </c>
      <c r="J959" s="7" t="inlineStr">
        <is>
          <t>Home Office</t>
        </is>
      </c>
      <c r="K959" s="8" t="n">
        <v>3</v>
      </c>
      <c r="L959" s="9" t="n">
        <v>18.99</v>
      </c>
      <c r="M959" s="10" t="n">
        <v>0.05</v>
      </c>
      <c r="N959" s="9" t="n">
        <v>8.550000000000001</v>
      </c>
      <c r="O959" s="9" t="n">
        <v>56.97</v>
      </c>
      <c r="P959" s="9" t="n">
        <v>2.85</v>
      </c>
      <c r="Q959" s="9" t="n">
        <v>54.12</v>
      </c>
      <c r="R959" s="9" t="n">
        <v>25.65</v>
      </c>
      <c r="S959" s="9" t="n">
        <v>28.47</v>
      </c>
      <c r="T959" s="10" t="n">
        <v>0.5261</v>
      </c>
    </row>
    <row r="960">
      <c r="A960" s="7" t="inlineStr">
        <is>
          <t>ORD-2024-1226</t>
        </is>
      </c>
      <c r="B960" s="7" t="inlineStr">
        <is>
          <t>2024-12-22</t>
        </is>
      </c>
      <c r="C960" s="7" t="inlineStr">
        <is>
          <t>OFF-STR-002</t>
        </is>
      </c>
      <c r="D960" s="7" t="inlineStr">
        <is>
          <t>Stackable Heavy-Duty Storage Bins (4-Pk)</t>
        </is>
      </c>
      <c r="E960" s="7" t="inlineStr">
        <is>
          <t>Office Supplies</t>
        </is>
      </c>
      <c r="F960" s="7" t="inlineStr">
        <is>
          <t>Storage &amp; Organizers</t>
        </is>
      </c>
      <c r="G960" s="7" t="inlineStr">
        <is>
          <t>West</t>
        </is>
      </c>
      <c r="H960" s="7" t="inlineStr">
        <is>
          <t>Washington</t>
        </is>
      </c>
      <c r="I960" s="7" t="inlineStr">
        <is>
          <t>Retail Partner</t>
        </is>
      </c>
      <c r="J960" s="7" t="inlineStr">
        <is>
          <t>Consumer</t>
        </is>
      </c>
      <c r="K960" s="8" t="n">
        <v>1</v>
      </c>
      <c r="L960" s="9" t="n">
        <v>44.99</v>
      </c>
      <c r="M960" s="10" t="n">
        <v>0</v>
      </c>
      <c r="N960" s="9" t="n">
        <v>24.74</v>
      </c>
      <c r="O960" s="9" t="n">
        <v>44.99</v>
      </c>
      <c r="P960" s="9" t="n">
        <v>0</v>
      </c>
      <c r="Q960" s="9" t="n">
        <v>44.99</v>
      </c>
      <c r="R960" s="9" t="n">
        <v>24.74</v>
      </c>
      <c r="S960" s="9" t="n">
        <v>20.25</v>
      </c>
      <c r="T960" s="10" t="n">
        <v>0.4501</v>
      </c>
    </row>
    <row r="961">
      <c r="A961" s="7" t="inlineStr">
        <is>
          <t>ORD-2024-1226</t>
        </is>
      </c>
      <c r="B961" s="7" t="inlineStr">
        <is>
          <t>2024-12-22</t>
        </is>
      </c>
      <c r="C961" s="7" t="inlineStr">
        <is>
          <t>TEC-ACC-005</t>
        </is>
      </c>
      <c r="D961" s="7" t="inlineStr">
        <is>
          <t>UltraWireless Noise-Canceling Headset</t>
        </is>
      </c>
      <c r="E961" s="7" t="inlineStr">
        <is>
          <t>Technology</t>
        </is>
      </c>
      <c r="F961" s="7" t="inlineStr">
        <is>
          <t>Audio &amp; Accessories</t>
        </is>
      </c>
      <c r="G961" s="7" t="inlineStr">
        <is>
          <t>West</t>
        </is>
      </c>
      <c r="H961" s="7" t="inlineStr">
        <is>
          <t>Washington</t>
        </is>
      </c>
      <c r="I961" s="7" t="inlineStr">
        <is>
          <t>Retail Partner</t>
        </is>
      </c>
      <c r="J961" s="7" t="inlineStr">
        <is>
          <t>Consumer</t>
        </is>
      </c>
      <c r="K961" s="8" t="n">
        <v>3</v>
      </c>
      <c r="L961" s="9" t="n">
        <v>179.99</v>
      </c>
      <c r="M961" s="10" t="n">
        <v>0.1</v>
      </c>
      <c r="N961" s="9" t="n">
        <v>111.59</v>
      </c>
      <c r="O961" s="9" t="n">
        <v>539.97</v>
      </c>
      <c r="P961" s="9" t="n">
        <v>54</v>
      </c>
      <c r="Q961" s="9" t="n">
        <v>485.97</v>
      </c>
      <c r="R961" s="9" t="n">
        <v>334.77</v>
      </c>
      <c r="S961" s="9" t="n">
        <v>151.2</v>
      </c>
      <c r="T961" s="10" t="n">
        <v>0.3111</v>
      </c>
    </row>
    <row r="962">
      <c r="A962" s="7" t="inlineStr">
        <is>
          <t>ORD-2024-1711</t>
        </is>
      </c>
      <c r="B962" s="7" t="inlineStr">
        <is>
          <t>2024-12-22</t>
        </is>
      </c>
      <c r="C962" s="7" t="inlineStr">
        <is>
          <t>TEC-TAB-003</t>
        </is>
      </c>
      <c r="D962" s="7" t="inlineStr">
        <is>
          <t>VisionPad Pro 11"</t>
        </is>
      </c>
      <c r="E962" s="7" t="inlineStr">
        <is>
          <t>Technology</t>
        </is>
      </c>
      <c r="F962" s="7" t="inlineStr">
        <is>
          <t>Phones &amp; Tablets</t>
        </is>
      </c>
      <c r="G962" s="7" t="inlineStr">
        <is>
          <t>East</t>
        </is>
      </c>
      <c r="H962" s="7" t="inlineStr">
        <is>
          <t>Pennsylvania</t>
        </is>
      </c>
      <c r="I962" s="7" t="inlineStr">
        <is>
          <t>Wholesale</t>
        </is>
      </c>
      <c r="J962" s="7" t="inlineStr">
        <is>
          <t>Corporate</t>
        </is>
      </c>
      <c r="K962" s="8" t="n">
        <v>13</v>
      </c>
      <c r="L962" s="9" t="n">
        <v>649.99</v>
      </c>
      <c r="M962" s="10" t="n">
        <v>0.15</v>
      </c>
      <c r="N962" s="9" t="n">
        <v>487.49</v>
      </c>
      <c r="O962" s="9" t="n">
        <v>8449.870000000001</v>
      </c>
      <c r="P962" s="9" t="n">
        <v>1267.48</v>
      </c>
      <c r="Q962" s="9" t="n">
        <v>7182.39</v>
      </c>
      <c r="R962" s="9" t="n">
        <v>6337.37</v>
      </c>
      <c r="S962" s="9" t="n">
        <v>845.02</v>
      </c>
      <c r="T962" s="10" t="n">
        <v>0.1177</v>
      </c>
    </row>
    <row r="963">
      <c r="A963" s="7" t="inlineStr">
        <is>
          <t>ORD-2024-1711</t>
        </is>
      </c>
      <c r="B963" s="7" t="inlineStr">
        <is>
          <t>2024-12-22</t>
        </is>
      </c>
      <c r="C963" s="7" t="inlineStr">
        <is>
          <t>OFF-BIN-005</t>
        </is>
      </c>
      <c r="D963" s="7" t="inlineStr">
        <is>
          <t>Heavy-Duty D-Ring Presentation Binder (6-Pk)</t>
        </is>
      </c>
      <c r="E963" s="7" t="inlineStr">
        <is>
          <t>Office Supplies</t>
        </is>
      </c>
      <c r="F963" s="7" t="inlineStr">
        <is>
          <t>Binders &amp; Fasteners</t>
        </is>
      </c>
      <c r="G963" s="7" t="inlineStr">
        <is>
          <t>East</t>
        </is>
      </c>
      <c r="H963" s="7" t="inlineStr">
        <is>
          <t>Pennsylvania</t>
        </is>
      </c>
      <c r="I963" s="7" t="inlineStr">
        <is>
          <t>Wholesale</t>
        </is>
      </c>
      <c r="J963" s="7" t="inlineStr">
        <is>
          <t>Corporate</t>
        </is>
      </c>
      <c r="K963" s="8" t="n">
        <v>5</v>
      </c>
      <c r="L963" s="9" t="n">
        <v>27.99</v>
      </c>
      <c r="M963" s="10" t="n">
        <v>0.15</v>
      </c>
      <c r="N963" s="9" t="n">
        <v>13.99</v>
      </c>
      <c r="O963" s="9" t="n">
        <v>139.95</v>
      </c>
      <c r="P963" s="9" t="n">
        <v>20.99</v>
      </c>
      <c r="Q963" s="9" t="n">
        <v>118.96</v>
      </c>
      <c r="R963" s="9" t="n">
        <v>69.95</v>
      </c>
      <c r="S963" s="9" t="n">
        <v>49.01</v>
      </c>
      <c r="T963" s="10" t="n">
        <v>0.412</v>
      </c>
    </row>
    <row r="964">
      <c r="A964" s="7" t="inlineStr">
        <is>
          <t>ORD-2024-1076</t>
        </is>
      </c>
      <c r="B964" s="7" t="inlineStr">
        <is>
          <t>2024-12-23</t>
        </is>
      </c>
      <c r="C964" s="7" t="inlineStr">
        <is>
          <t>TEC-ACC-007</t>
        </is>
      </c>
      <c r="D964" s="7" t="inlineStr">
        <is>
          <t>ErgoMechanical Wireless Keyboard</t>
        </is>
      </c>
      <c r="E964" s="7" t="inlineStr">
        <is>
          <t>Technology</t>
        </is>
      </c>
      <c r="F964" s="7" t="inlineStr">
        <is>
          <t>Audio &amp; Accessories</t>
        </is>
      </c>
      <c r="G964" s="7" t="inlineStr">
        <is>
          <t>South</t>
        </is>
      </c>
      <c r="H964" s="7" t="inlineStr">
        <is>
          <t>North Carolina</t>
        </is>
      </c>
      <c r="I964" s="7" t="inlineStr">
        <is>
          <t>Direct Sales</t>
        </is>
      </c>
      <c r="J964" s="7" t="inlineStr">
        <is>
          <t>Corporate</t>
        </is>
      </c>
      <c r="K964" s="8" t="n">
        <v>7</v>
      </c>
      <c r="L964" s="9" t="n">
        <v>109.99</v>
      </c>
      <c r="M964" s="10" t="n">
        <v>0</v>
      </c>
      <c r="N964" s="9" t="n">
        <v>65.98999999999999</v>
      </c>
      <c r="O964" s="9" t="n">
        <v>769.9299999999999</v>
      </c>
      <c r="P964" s="9" t="n">
        <v>0</v>
      </c>
      <c r="Q964" s="9" t="n">
        <v>769.9299999999999</v>
      </c>
      <c r="R964" s="9" t="n">
        <v>461.93</v>
      </c>
      <c r="S964" s="9" t="n">
        <v>308</v>
      </c>
      <c r="T964" s="10" t="n">
        <v>0.4</v>
      </c>
    </row>
    <row r="965">
      <c r="A965" s="7" t="inlineStr">
        <is>
          <t>ORD-2024-1190</t>
        </is>
      </c>
      <c r="B965" s="7" t="inlineStr">
        <is>
          <t>2024-12-23</t>
        </is>
      </c>
      <c r="C965" s="7" t="inlineStr">
        <is>
          <t>OFF-STR-001</t>
        </is>
      </c>
      <c r="D965" s="7" t="inlineStr">
        <is>
          <t>SteelLock 3-Drawer File Cabinet</t>
        </is>
      </c>
      <c r="E965" s="7" t="inlineStr">
        <is>
          <t>Office Supplies</t>
        </is>
      </c>
      <c r="F965" s="7" t="inlineStr">
        <is>
          <t>Storage &amp; Organizers</t>
        </is>
      </c>
      <c r="G965" s="7" t="inlineStr">
        <is>
          <t>East</t>
        </is>
      </c>
      <c r="H965" s="7" t="inlineStr">
        <is>
          <t>Massachusetts</t>
        </is>
      </c>
      <c r="I965" s="7" t="inlineStr">
        <is>
          <t>Direct Sales</t>
        </is>
      </c>
      <c r="J965" s="7" t="inlineStr">
        <is>
          <t>Consumer</t>
        </is>
      </c>
      <c r="K965" s="8" t="n">
        <v>1</v>
      </c>
      <c r="L965" s="9" t="n">
        <v>169.99</v>
      </c>
      <c r="M965" s="10" t="n">
        <v>0.1</v>
      </c>
      <c r="N965" s="9" t="n">
        <v>115.59</v>
      </c>
      <c r="O965" s="9" t="n">
        <v>169.99</v>
      </c>
      <c r="P965" s="9" t="n">
        <v>17</v>
      </c>
      <c r="Q965" s="9" t="n">
        <v>152.99</v>
      </c>
      <c r="R965" s="9" t="n">
        <v>115.59</v>
      </c>
      <c r="S965" s="9" t="n">
        <v>37.4</v>
      </c>
      <c r="T965" s="10" t="n">
        <v>0.2445</v>
      </c>
    </row>
    <row r="966">
      <c r="A966" s="7" t="inlineStr">
        <is>
          <t>ORD-2024-1190</t>
        </is>
      </c>
      <c r="B966" s="7" t="inlineStr">
        <is>
          <t>2024-12-23</t>
        </is>
      </c>
      <c r="C966" s="7" t="inlineStr">
        <is>
          <t>OFF-DSK-008</t>
        </is>
      </c>
      <c r="D966" s="7" t="inlineStr">
        <is>
          <t>Steel Desktop Mesh Organizer Caddy</t>
        </is>
      </c>
      <c r="E966" s="7" t="inlineStr">
        <is>
          <t>Office Supplies</t>
        </is>
      </c>
      <c r="F966" s="7" t="inlineStr">
        <is>
          <t>Desk Supplies</t>
        </is>
      </c>
      <c r="G966" s="7" t="inlineStr">
        <is>
          <t>East</t>
        </is>
      </c>
      <c r="H966" s="7" t="inlineStr">
        <is>
          <t>Massachusetts</t>
        </is>
      </c>
      <c r="I966" s="7" t="inlineStr">
        <is>
          <t>Direct Sales</t>
        </is>
      </c>
      <c r="J966" s="7" t="inlineStr">
        <is>
          <t>Consumer</t>
        </is>
      </c>
      <c r="K966" s="8" t="n">
        <v>2</v>
      </c>
      <c r="L966" s="9" t="n">
        <v>18.99</v>
      </c>
      <c r="M966" s="10" t="n">
        <v>0</v>
      </c>
      <c r="N966" s="9" t="n">
        <v>8.550000000000001</v>
      </c>
      <c r="O966" s="9" t="n">
        <v>37.98</v>
      </c>
      <c r="P966" s="9" t="n">
        <v>0</v>
      </c>
      <c r="Q966" s="9" t="n">
        <v>37.98</v>
      </c>
      <c r="R966" s="9" t="n">
        <v>17.1</v>
      </c>
      <c r="S966" s="9" t="n">
        <v>20.88</v>
      </c>
      <c r="T966" s="10" t="n">
        <v>0.5498</v>
      </c>
    </row>
    <row r="967">
      <c r="A967" s="7" t="inlineStr">
        <is>
          <t>ORD-2024-1204</t>
        </is>
      </c>
      <c r="B967" s="7" t="inlineStr">
        <is>
          <t>2024-12-23</t>
        </is>
      </c>
      <c r="C967" s="7" t="inlineStr">
        <is>
          <t>FUR-CHA-002</t>
        </is>
      </c>
      <c r="D967" s="7" t="inlineStr">
        <is>
          <t>AeroTask Operator Task Chair</t>
        </is>
      </c>
      <c r="E967" s="7" t="inlineStr">
        <is>
          <t>Furniture</t>
        </is>
      </c>
      <c r="F967" s="7" t="inlineStr">
        <is>
          <t>Chairs</t>
        </is>
      </c>
      <c r="G967" s="7" t="inlineStr">
        <is>
          <t>West</t>
        </is>
      </c>
      <c r="H967" s="7" t="inlineStr">
        <is>
          <t>Colorado</t>
        </is>
      </c>
      <c r="I967" s="7" t="inlineStr">
        <is>
          <t>Direct Sales</t>
        </is>
      </c>
      <c r="J967" s="7" t="inlineStr">
        <is>
          <t>Corporate</t>
        </is>
      </c>
      <c r="K967" s="8" t="n">
        <v>7</v>
      </c>
      <c r="L967" s="9" t="n">
        <v>219.99</v>
      </c>
      <c r="M967" s="10" t="n">
        <v>0.1</v>
      </c>
      <c r="N967" s="9" t="n">
        <v>171.59</v>
      </c>
      <c r="O967" s="9" t="n">
        <v>1539.93</v>
      </c>
      <c r="P967" s="9" t="n">
        <v>153.99</v>
      </c>
      <c r="Q967" s="9" t="n">
        <v>1385.94</v>
      </c>
      <c r="R967" s="9" t="n">
        <v>1201.13</v>
      </c>
      <c r="S967" s="9" t="n">
        <v>184.81</v>
      </c>
      <c r="T967" s="10" t="n">
        <v>0.1333</v>
      </c>
    </row>
    <row r="968">
      <c r="A968" s="7" t="inlineStr">
        <is>
          <t>ORD-2024-1204</t>
        </is>
      </c>
      <c r="B968" s="7" t="inlineStr">
        <is>
          <t>2024-12-23</t>
        </is>
      </c>
      <c r="C968" s="7" t="inlineStr">
        <is>
          <t>FUR-BOK-005</t>
        </is>
      </c>
      <c r="D968" s="7" t="inlineStr">
        <is>
          <t>Modular 5-Tier Steel Bookcase</t>
        </is>
      </c>
      <c r="E968" s="7" t="inlineStr">
        <is>
          <t>Furniture</t>
        </is>
      </c>
      <c r="F968" s="7" t="inlineStr">
        <is>
          <t>Bookcases</t>
        </is>
      </c>
      <c r="G968" s="7" t="inlineStr">
        <is>
          <t>West</t>
        </is>
      </c>
      <c r="H968" s="7" t="inlineStr">
        <is>
          <t>Colorado</t>
        </is>
      </c>
      <c r="I968" s="7" t="inlineStr">
        <is>
          <t>Direct Sales</t>
        </is>
      </c>
      <c r="J968" s="7" t="inlineStr">
        <is>
          <t>Corporate</t>
        </is>
      </c>
      <c r="K968" s="8" t="n">
        <v>8</v>
      </c>
      <c r="L968" s="9" t="n">
        <v>189.99</v>
      </c>
      <c r="M968" s="10" t="n">
        <v>0.15</v>
      </c>
      <c r="N968" s="9" t="n">
        <v>142.49</v>
      </c>
      <c r="O968" s="9" t="n">
        <v>1519.92</v>
      </c>
      <c r="P968" s="9" t="n">
        <v>227.99</v>
      </c>
      <c r="Q968" s="9" t="n">
        <v>1291.93</v>
      </c>
      <c r="R968" s="9" t="n">
        <v>1139.92</v>
      </c>
      <c r="S968" s="9" t="n">
        <v>152.01</v>
      </c>
      <c r="T968" s="10" t="n">
        <v>0.1177</v>
      </c>
    </row>
    <row r="969">
      <c r="A969" s="7" t="inlineStr">
        <is>
          <t>ORD-2024-1397</t>
        </is>
      </c>
      <c r="B969" s="7" t="inlineStr">
        <is>
          <t>2024-12-23</t>
        </is>
      </c>
      <c r="C969" s="7" t="inlineStr">
        <is>
          <t>TEC-LAP-002</t>
        </is>
      </c>
      <c r="D969" s="7" t="inlineStr">
        <is>
          <t>Apex Gaming Laptop 17"</t>
        </is>
      </c>
      <c r="E969" s="7" t="inlineStr">
        <is>
          <t>Technology</t>
        </is>
      </c>
      <c r="F969" s="7" t="inlineStr">
        <is>
          <t>Laptops</t>
        </is>
      </c>
      <c r="G969" s="7" t="inlineStr">
        <is>
          <t>West</t>
        </is>
      </c>
      <c r="H969" s="7" t="inlineStr">
        <is>
          <t>Colorado</t>
        </is>
      </c>
      <c r="I969" s="7" t="inlineStr">
        <is>
          <t>Wholesale</t>
        </is>
      </c>
      <c r="J969" s="7" t="inlineStr">
        <is>
          <t>Corporate</t>
        </is>
      </c>
      <c r="K969" s="8" t="n">
        <v>9</v>
      </c>
      <c r="L969" s="9" t="n">
        <v>1499.99</v>
      </c>
      <c r="M969" s="10" t="n">
        <v>0.15</v>
      </c>
      <c r="N969" s="9" t="n">
        <v>1259.99</v>
      </c>
      <c r="O969" s="9" t="n">
        <v>13499.91</v>
      </c>
      <c r="P969" s="9" t="n">
        <v>2024.99</v>
      </c>
      <c r="Q969" s="9" t="n">
        <v>11474.92</v>
      </c>
      <c r="R969" s="9" t="n">
        <v>11339.91</v>
      </c>
      <c r="S969" s="9" t="n">
        <v>135.01</v>
      </c>
      <c r="T969" s="10" t="n">
        <v>0.0118</v>
      </c>
    </row>
    <row r="970">
      <c r="A970" s="7" t="inlineStr">
        <is>
          <t>ORD-2024-1397</t>
        </is>
      </c>
      <c r="B970" s="7" t="inlineStr">
        <is>
          <t>2024-12-23</t>
        </is>
      </c>
      <c r="C970" s="7" t="inlineStr">
        <is>
          <t>TEC-ACC-007</t>
        </is>
      </c>
      <c r="D970" s="7" t="inlineStr">
        <is>
          <t>ErgoMechanical Wireless Keyboard</t>
        </is>
      </c>
      <c r="E970" s="7" t="inlineStr">
        <is>
          <t>Technology</t>
        </is>
      </c>
      <c r="F970" s="7" t="inlineStr">
        <is>
          <t>Audio &amp; Accessories</t>
        </is>
      </c>
      <c r="G970" s="7" t="inlineStr">
        <is>
          <t>West</t>
        </is>
      </c>
      <c r="H970" s="7" t="inlineStr">
        <is>
          <t>Colorado</t>
        </is>
      </c>
      <c r="I970" s="7" t="inlineStr">
        <is>
          <t>Wholesale</t>
        </is>
      </c>
      <c r="J970" s="7" t="inlineStr">
        <is>
          <t>Corporate</t>
        </is>
      </c>
      <c r="K970" s="8" t="n">
        <v>5</v>
      </c>
      <c r="L970" s="9" t="n">
        <v>109.99</v>
      </c>
      <c r="M970" s="10" t="n">
        <v>0.1</v>
      </c>
      <c r="N970" s="9" t="n">
        <v>65.98999999999999</v>
      </c>
      <c r="O970" s="9" t="n">
        <v>549.95</v>
      </c>
      <c r="P970" s="9" t="n">
        <v>55</v>
      </c>
      <c r="Q970" s="9" t="n">
        <v>494.95</v>
      </c>
      <c r="R970" s="9" t="n">
        <v>329.95</v>
      </c>
      <c r="S970" s="9" t="n">
        <v>165</v>
      </c>
      <c r="T970" s="10" t="n">
        <v>0.3334</v>
      </c>
    </row>
    <row r="971">
      <c r="A971" s="7" t="inlineStr">
        <is>
          <t>ORD-2024-1617</t>
        </is>
      </c>
      <c r="B971" s="7" t="inlineStr">
        <is>
          <t>2024-12-24</t>
        </is>
      </c>
      <c r="C971" s="7" t="inlineStr">
        <is>
          <t>OFF-BIN-005</t>
        </is>
      </c>
      <c r="D971" s="7" t="inlineStr">
        <is>
          <t>Heavy-Duty D-Ring Presentation Binder (6-Pk)</t>
        </is>
      </c>
      <c r="E971" s="7" t="inlineStr">
        <is>
          <t>Office Supplies</t>
        </is>
      </c>
      <c r="F971" s="7" t="inlineStr">
        <is>
          <t>Binders &amp; Fasteners</t>
        </is>
      </c>
      <c r="G971" s="7" t="inlineStr">
        <is>
          <t>East</t>
        </is>
      </c>
      <c r="H971" s="7" t="inlineStr">
        <is>
          <t>Pennsylvania</t>
        </is>
      </c>
      <c r="I971" s="7" t="inlineStr">
        <is>
          <t>Retail Partner</t>
        </is>
      </c>
      <c r="J971" s="7" t="inlineStr">
        <is>
          <t>Consumer</t>
        </is>
      </c>
      <c r="K971" s="8" t="n">
        <v>2</v>
      </c>
      <c r="L971" s="9" t="n">
        <v>27.99</v>
      </c>
      <c r="M971" s="10" t="n">
        <v>0</v>
      </c>
      <c r="N971" s="9" t="n">
        <v>13.99</v>
      </c>
      <c r="O971" s="9" t="n">
        <v>55.98</v>
      </c>
      <c r="P971" s="9" t="n">
        <v>0</v>
      </c>
      <c r="Q971" s="9" t="n">
        <v>55.98</v>
      </c>
      <c r="R971" s="9" t="n">
        <v>27.98</v>
      </c>
      <c r="S971" s="9" t="n">
        <v>28</v>
      </c>
      <c r="T971" s="10" t="n">
        <v>0.5002</v>
      </c>
    </row>
    <row r="972">
      <c r="A972" s="7" t="inlineStr">
        <is>
          <t>ORD-2024-1617</t>
        </is>
      </c>
      <c r="B972" s="7" t="inlineStr">
        <is>
          <t>2024-12-24</t>
        </is>
      </c>
      <c r="C972" s="7" t="inlineStr">
        <is>
          <t>OFF-DSK-008</t>
        </is>
      </c>
      <c r="D972" s="7" t="inlineStr">
        <is>
          <t>Steel Desktop Mesh Organizer Caddy</t>
        </is>
      </c>
      <c r="E972" s="7" t="inlineStr">
        <is>
          <t>Office Supplies</t>
        </is>
      </c>
      <c r="F972" s="7" t="inlineStr">
        <is>
          <t>Desk Supplies</t>
        </is>
      </c>
      <c r="G972" s="7" t="inlineStr">
        <is>
          <t>East</t>
        </is>
      </c>
      <c r="H972" s="7" t="inlineStr">
        <is>
          <t>Pennsylvania</t>
        </is>
      </c>
      <c r="I972" s="7" t="inlineStr">
        <is>
          <t>Retail Partner</t>
        </is>
      </c>
      <c r="J972" s="7" t="inlineStr">
        <is>
          <t>Consumer</t>
        </is>
      </c>
      <c r="K972" s="8" t="n">
        <v>4</v>
      </c>
      <c r="L972" s="9" t="n">
        <v>18.99</v>
      </c>
      <c r="M972" s="10" t="n">
        <v>0.1</v>
      </c>
      <c r="N972" s="9" t="n">
        <v>8.550000000000001</v>
      </c>
      <c r="O972" s="9" t="n">
        <v>75.95999999999999</v>
      </c>
      <c r="P972" s="9" t="n">
        <v>7.6</v>
      </c>
      <c r="Q972" s="9" t="n">
        <v>68.36</v>
      </c>
      <c r="R972" s="9" t="n">
        <v>34.2</v>
      </c>
      <c r="S972" s="9" t="n">
        <v>34.16</v>
      </c>
      <c r="T972" s="10" t="n">
        <v>0.4997</v>
      </c>
    </row>
    <row r="973">
      <c r="A973" s="7" t="inlineStr">
        <is>
          <t>ORD-2024-1617</t>
        </is>
      </c>
      <c r="B973" s="7" t="inlineStr">
        <is>
          <t>2024-12-24</t>
        </is>
      </c>
      <c r="C973" s="7" t="inlineStr">
        <is>
          <t>TEC-ACC-006</t>
        </is>
      </c>
      <c r="D973" s="7" t="inlineStr">
        <is>
          <t>MultiPort Thunderbolt 4 Dock</t>
        </is>
      </c>
      <c r="E973" s="7" t="inlineStr">
        <is>
          <t>Technology</t>
        </is>
      </c>
      <c r="F973" s="7" t="inlineStr">
        <is>
          <t>Audio &amp; Accessories</t>
        </is>
      </c>
      <c r="G973" s="7" t="inlineStr">
        <is>
          <t>East</t>
        </is>
      </c>
      <c r="H973" s="7" t="inlineStr">
        <is>
          <t>Pennsylvania</t>
        </is>
      </c>
      <c r="I973" s="7" t="inlineStr">
        <is>
          <t>Retail Partner</t>
        </is>
      </c>
      <c r="J973" s="7" t="inlineStr">
        <is>
          <t>Consumer</t>
        </is>
      </c>
      <c r="K973" s="8" t="n">
        <v>2</v>
      </c>
      <c r="L973" s="9" t="n">
        <v>149.99</v>
      </c>
      <c r="M973" s="10" t="n">
        <v>0.1</v>
      </c>
      <c r="N973" s="9" t="n">
        <v>98.98999999999999</v>
      </c>
      <c r="O973" s="9" t="n">
        <v>299.98</v>
      </c>
      <c r="P973" s="9" t="n">
        <v>30</v>
      </c>
      <c r="Q973" s="9" t="n">
        <v>269.98</v>
      </c>
      <c r="R973" s="9" t="n">
        <v>197.98</v>
      </c>
      <c r="S973" s="9" t="n">
        <v>72</v>
      </c>
      <c r="T973" s="10" t="n">
        <v>0.2667</v>
      </c>
    </row>
    <row r="974">
      <c r="A974" s="7" t="inlineStr">
        <is>
          <t>ORD-2024-1617</t>
        </is>
      </c>
      <c r="B974" s="7" t="inlineStr">
        <is>
          <t>2024-12-24</t>
        </is>
      </c>
      <c r="C974" s="7" t="inlineStr">
        <is>
          <t>FUR-CHA-001</t>
        </is>
      </c>
      <c r="D974" s="7" t="inlineStr">
        <is>
          <t>ErgoFlex Executive Mesh Chair</t>
        </is>
      </c>
      <c r="E974" s="7" t="inlineStr">
        <is>
          <t>Furniture</t>
        </is>
      </c>
      <c r="F974" s="7" t="inlineStr">
        <is>
          <t>Chairs</t>
        </is>
      </c>
      <c r="G974" s="7" t="inlineStr">
        <is>
          <t>East</t>
        </is>
      </c>
      <c r="H974" s="7" t="inlineStr">
        <is>
          <t>Pennsylvania</t>
        </is>
      </c>
      <c r="I974" s="7" t="inlineStr">
        <is>
          <t>Retail Partner</t>
        </is>
      </c>
      <c r="J974" s="7" t="inlineStr">
        <is>
          <t>Consumer</t>
        </is>
      </c>
      <c r="K974" s="8" t="n">
        <v>3</v>
      </c>
      <c r="L974" s="9" t="n">
        <v>389.99</v>
      </c>
      <c r="M974" s="10" t="n">
        <v>0.15</v>
      </c>
      <c r="N974" s="9" t="n">
        <v>331.49</v>
      </c>
      <c r="O974" s="9" t="n">
        <v>1169.97</v>
      </c>
      <c r="P974" s="9" t="n">
        <v>175.5</v>
      </c>
      <c r="Q974" s="9" t="n">
        <v>994.47</v>
      </c>
      <c r="R974" s="9" t="n">
        <v>994.47</v>
      </c>
      <c r="S974" s="9" t="n">
        <v>0</v>
      </c>
      <c r="T974" s="10" t="n">
        <v>0</v>
      </c>
    </row>
    <row r="975">
      <c r="A975" s="7" t="inlineStr">
        <is>
          <t>ORD-2024-1675</t>
        </is>
      </c>
      <c r="B975" s="7" t="inlineStr">
        <is>
          <t>2024-12-25</t>
        </is>
      </c>
      <c r="C975" s="7" t="inlineStr">
        <is>
          <t>OFF-PAP-004</t>
        </is>
      </c>
      <c r="D975" s="7" t="inlineStr">
        <is>
          <t>EcoRecycled Copy Paper (5 Reams)</t>
        </is>
      </c>
      <c r="E975" s="7" t="inlineStr">
        <is>
          <t>Office Supplies</t>
        </is>
      </c>
      <c r="F975" s="7" t="inlineStr">
        <is>
          <t>Paper Products</t>
        </is>
      </c>
      <c r="G975" s="7" t="inlineStr">
        <is>
          <t>East</t>
        </is>
      </c>
      <c r="H975" s="7" t="inlineStr">
        <is>
          <t>New Jersey</t>
        </is>
      </c>
      <c r="I975" s="7" t="inlineStr">
        <is>
          <t>Online</t>
        </is>
      </c>
      <c r="J975" s="7" t="inlineStr">
        <is>
          <t>Consumer</t>
        </is>
      </c>
      <c r="K975" s="8" t="n">
        <v>1</v>
      </c>
      <c r="L975" s="9" t="n">
        <v>32.99</v>
      </c>
      <c r="M975" s="10" t="n">
        <v>0.05</v>
      </c>
      <c r="N975" s="9" t="n">
        <v>19.79</v>
      </c>
      <c r="O975" s="9" t="n">
        <v>32.99</v>
      </c>
      <c r="P975" s="9" t="n">
        <v>1.65</v>
      </c>
      <c r="Q975" s="9" t="n">
        <v>31.34</v>
      </c>
      <c r="R975" s="9" t="n">
        <v>19.79</v>
      </c>
      <c r="S975" s="9" t="n">
        <v>11.55</v>
      </c>
      <c r="T975" s="10" t="n">
        <v>0.3685</v>
      </c>
    </row>
    <row r="976">
      <c r="A976" s="7" t="inlineStr">
        <is>
          <t>ORD-2024-1720</t>
        </is>
      </c>
      <c r="B976" s="7" t="inlineStr">
        <is>
          <t>2024-12-26</t>
        </is>
      </c>
      <c r="C976" s="7" t="inlineStr">
        <is>
          <t>OFF-STR-002</t>
        </is>
      </c>
      <c r="D976" s="7" t="inlineStr">
        <is>
          <t>Stackable Heavy-Duty Storage Bins (4-Pk)</t>
        </is>
      </c>
      <c r="E976" s="7" t="inlineStr">
        <is>
          <t>Office Supplies</t>
        </is>
      </c>
      <c r="F976" s="7" t="inlineStr">
        <is>
          <t>Storage &amp; Organizers</t>
        </is>
      </c>
      <c r="G976" s="7" t="inlineStr">
        <is>
          <t>Central</t>
        </is>
      </c>
      <c r="H976" s="7" t="inlineStr">
        <is>
          <t>Texas</t>
        </is>
      </c>
      <c r="I976" s="7" t="inlineStr">
        <is>
          <t>Wholesale</t>
        </is>
      </c>
      <c r="J976" s="7" t="inlineStr">
        <is>
          <t>Consumer</t>
        </is>
      </c>
      <c r="K976" s="8" t="n">
        <v>11</v>
      </c>
      <c r="L976" s="9" t="n">
        <v>44.99</v>
      </c>
      <c r="M976" s="10" t="n">
        <v>0.15</v>
      </c>
      <c r="N976" s="9" t="n">
        <v>24.74</v>
      </c>
      <c r="O976" s="9" t="n">
        <v>494.89</v>
      </c>
      <c r="P976" s="9" t="n">
        <v>74.23</v>
      </c>
      <c r="Q976" s="9" t="n">
        <v>420.66</v>
      </c>
      <c r="R976" s="9" t="n">
        <v>272.14</v>
      </c>
      <c r="S976" s="9" t="n">
        <v>148.52</v>
      </c>
      <c r="T976" s="10" t="n">
        <v>0.3531</v>
      </c>
    </row>
    <row r="977">
      <c r="A977" s="7" t="inlineStr">
        <is>
          <t>ORD-2024-1720</t>
        </is>
      </c>
      <c r="B977" s="7" t="inlineStr">
        <is>
          <t>2024-12-26</t>
        </is>
      </c>
      <c r="C977" s="7" t="inlineStr">
        <is>
          <t>TEC-TAB-004</t>
        </is>
      </c>
      <c r="D977" s="7" t="inlineStr">
        <is>
          <t>VisionPad Lite 8.5"</t>
        </is>
      </c>
      <c r="E977" s="7" t="inlineStr">
        <is>
          <t>Technology</t>
        </is>
      </c>
      <c r="F977" s="7" t="inlineStr">
        <is>
          <t>Phones &amp; Tablets</t>
        </is>
      </c>
      <c r="G977" s="7" t="inlineStr">
        <is>
          <t>Central</t>
        </is>
      </c>
      <c r="H977" s="7" t="inlineStr">
        <is>
          <t>Texas</t>
        </is>
      </c>
      <c r="I977" s="7" t="inlineStr">
        <is>
          <t>Wholesale</t>
        </is>
      </c>
      <c r="J977" s="7" t="inlineStr">
        <is>
          <t>Consumer</t>
        </is>
      </c>
      <c r="K977" s="8" t="n">
        <v>8</v>
      </c>
      <c r="L977" s="9" t="n">
        <v>299.99</v>
      </c>
      <c r="M977" s="10" t="n">
        <v>0.15</v>
      </c>
      <c r="N977" s="9" t="n">
        <v>245.99</v>
      </c>
      <c r="O977" s="9" t="n">
        <v>2399.92</v>
      </c>
      <c r="P977" s="9" t="n">
        <v>359.99</v>
      </c>
      <c r="Q977" s="9" t="n">
        <v>2039.93</v>
      </c>
      <c r="R977" s="9" t="n">
        <v>1967.92</v>
      </c>
      <c r="S977" s="9" t="n">
        <v>72.01000000000001</v>
      </c>
      <c r="T977" s="10" t="n">
        <v>0.0353</v>
      </c>
    </row>
    <row r="978">
      <c r="A978" s="7" t="inlineStr">
        <is>
          <t>ORD-2024-1039</t>
        </is>
      </c>
      <c r="B978" s="7" t="inlineStr">
        <is>
          <t>2024-12-27</t>
        </is>
      </c>
      <c r="C978" s="7" t="inlineStr">
        <is>
          <t>OFF-PAP-004</t>
        </is>
      </c>
      <c r="D978" s="7" t="inlineStr">
        <is>
          <t>EcoRecycled Copy Paper (5 Reams)</t>
        </is>
      </c>
      <c r="E978" s="7" t="inlineStr">
        <is>
          <t>Office Supplies</t>
        </is>
      </c>
      <c r="F978" s="7" t="inlineStr">
        <is>
          <t>Paper Products</t>
        </is>
      </c>
      <c r="G978" s="7" t="inlineStr">
        <is>
          <t>East</t>
        </is>
      </c>
      <c r="H978" s="7" t="inlineStr">
        <is>
          <t>New York</t>
        </is>
      </c>
      <c r="I978" s="7" t="inlineStr">
        <is>
          <t>Wholesale</t>
        </is>
      </c>
      <c r="J978" s="7" t="inlineStr">
        <is>
          <t>Home Office</t>
        </is>
      </c>
      <c r="K978" s="8" t="n">
        <v>7</v>
      </c>
      <c r="L978" s="9" t="n">
        <v>32.99</v>
      </c>
      <c r="M978" s="10" t="n">
        <v>0.1</v>
      </c>
      <c r="N978" s="9" t="n">
        <v>19.79</v>
      </c>
      <c r="O978" s="9" t="n">
        <v>230.93</v>
      </c>
      <c r="P978" s="9" t="n">
        <v>23.09</v>
      </c>
      <c r="Q978" s="9" t="n">
        <v>207.84</v>
      </c>
      <c r="R978" s="9" t="n">
        <v>138.53</v>
      </c>
      <c r="S978" s="9" t="n">
        <v>69.31</v>
      </c>
      <c r="T978" s="10" t="n">
        <v>0.3335</v>
      </c>
    </row>
    <row r="979">
      <c r="A979" s="7" t="inlineStr">
        <is>
          <t>ORD-2024-1039</t>
        </is>
      </c>
      <c r="B979" s="7" t="inlineStr">
        <is>
          <t>2024-12-27</t>
        </is>
      </c>
      <c r="C979" s="7" t="inlineStr">
        <is>
          <t>TEC-ACC-005</t>
        </is>
      </c>
      <c r="D979" s="7" t="inlineStr">
        <is>
          <t>UltraWireless Noise-Canceling Headset</t>
        </is>
      </c>
      <c r="E979" s="7" t="inlineStr">
        <is>
          <t>Technology</t>
        </is>
      </c>
      <c r="F979" s="7" t="inlineStr">
        <is>
          <t>Audio &amp; Accessories</t>
        </is>
      </c>
      <c r="G979" s="7" t="inlineStr">
        <is>
          <t>East</t>
        </is>
      </c>
      <c r="H979" s="7" t="inlineStr">
        <is>
          <t>New York</t>
        </is>
      </c>
      <c r="I979" s="7" t="inlineStr">
        <is>
          <t>Wholesale</t>
        </is>
      </c>
      <c r="J979" s="7" t="inlineStr">
        <is>
          <t>Home Office</t>
        </is>
      </c>
      <c r="K979" s="8" t="n">
        <v>15</v>
      </c>
      <c r="L979" s="9" t="n">
        <v>179.99</v>
      </c>
      <c r="M979" s="10" t="n">
        <v>0.1</v>
      </c>
      <c r="N979" s="9" t="n">
        <v>111.59</v>
      </c>
      <c r="O979" s="9" t="n">
        <v>2699.85</v>
      </c>
      <c r="P979" s="9" t="n">
        <v>269.98</v>
      </c>
      <c r="Q979" s="9" t="n">
        <v>2429.87</v>
      </c>
      <c r="R979" s="9" t="n">
        <v>1673.85</v>
      </c>
      <c r="S979" s="9" t="n">
        <v>756.02</v>
      </c>
      <c r="T979" s="10" t="n">
        <v>0.3111</v>
      </c>
    </row>
    <row r="980">
      <c r="A980" s="7" t="inlineStr">
        <is>
          <t>ORD-2024-1120</t>
        </is>
      </c>
      <c r="B980" s="7" t="inlineStr">
        <is>
          <t>2024-12-27</t>
        </is>
      </c>
      <c r="C980" s="7" t="inlineStr">
        <is>
          <t>TEC-ACC-006</t>
        </is>
      </c>
      <c r="D980" s="7" t="inlineStr">
        <is>
          <t>MultiPort Thunderbolt 4 Dock</t>
        </is>
      </c>
      <c r="E980" s="7" t="inlineStr">
        <is>
          <t>Technology</t>
        </is>
      </c>
      <c r="F980" s="7" t="inlineStr">
        <is>
          <t>Audio &amp; Accessories</t>
        </is>
      </c>
      <c r="G980" s="7" t="inlineStr">
        <is>
          <t>East</t>
        </is>
      </c>
      <c r="H980" s="7" t="inlineStr">
        <is>
          <t>New Jersey</t>
        </is>
      </c>
      <c r="I980" s="7" t="inlineStr">
        <is>
          <t>Retail Partner</t>
        </is>
      </c>
      <c r="J980" s="7" t="inlineStr">
        <is>
          <t>Consumer</t>
        </is>
      </c>
      <c r="K980" s="8" t="n">
        <v>4</v>
      </c>
      <c r="L980" s="9" t="n">
        <v>149.99</v>
      </c>
      <c r="M980" s="10" t="n">
        <v>0</v>
      </c>
      <c r="N980" s="9" t="n">
        <v>98.98999999999999</v>
      </c>
      <c r="O980" s="9" t="n">
        <v>599.96</v>
      </c>
      <c r="P980" s="9" t="n">
        <v>0</v>
      </c>
      <c r="Q980" s="9" t="n">
        <v>599.96</v>
      </c>
      <c r="R980" s="9" t="n">
        <v>395.96</v>
      </c>
      <c r="S980" s="9" t="n">
        <v>204</v>
      </c>
      <c r="T980" s="10" t="n">
        <v>0.34</v>
      </c>
    </row>
    <row r="981">
      <c r="A981" s="7" t="inlineStr">
        <is>
          <t>ORD-2024-1120</t>
        </is>
      </c>
      <c r="B981" s="7" t="inlineStr">
        <is>
          <t>2024-12-27</t>
        </is>
      </c>
      <c r="C981" s="7" t="inlineStr">
        <is>
          <t>OFF-STR-001</t>
        </is>
      </c>
      <c r="D981" s="7" t="inlineStr">
        <is>
          <t>SteelLock 3-Drawer File Cabinet</t>
        </is>
      </c>
      <c r="E981" s="7" t="inlineStr">
        <is>
          <t>Office Supplies</t>
        </is>
      </c>
      <c r="F981" s="7" t="inlineStr">
        <is>
          <t>Storage &amp; Organizers</t>
        </is>
      </c>
      <c r="G981" s="7" t="inlineStr">
        <is>
          <t>East</t>
        </is>
      </c>
      <c r="H981" s="7" t="inlineStr">
        <is>
          <t>New Jersey</t>
        </is>
      </c>
      <c r="I981" s="7" t="inlineStr">
        <is>
          <t>Retail Partner</t>
        </is>
      </c>
      <c r="J981" s="7" t="inlineStr">
        <is>
          <t>Consumer</t>
        </is>
      </c>
      <c r="K981" s="8" t="n">
        <v>3</v>
      </c>
      <c r="L981" s="9" t="n">
        <v>169.99</v>
      </c>
      <c r="M981" s="10" t="n">
        <v>0.05</v>
      </c>
      <c r="N981" s="9" t="n">
        <v>115.59</v>
      </c>
      <c r="O981" s="9" t="n">
        <v>509.97</v>
      </c>
      <c r="P981" s="9" t="n">
        <v>25.5</v>
      </c>
      <c r="Q981" s="9" t="n">
        <v>484.47</v>
      </c>
      <c r="R981" s="9" t="n">
        <v>346.77</v>
      </c>
      <c r="S981" s="9" t="n">
        <v>137.7</v>
      </c>
      <c r="T981" s="10" t="n">
        <v>0.2842</v>
      </c>
    </row>
    <row r="982">
      <c r="A982" s="7" t="inlineStr">
        <is>
          <t>ORD-2024-1583</t>
        </is>
      </c>
      <c r="B982" s="7" t="inlineStr">
        <is>
          <t>2024-12-27</t>
        </is>
      </c>
      <c r="C982" s="7" t="inlineStr">
        <is>
          <t>TEC-ACC-006</t>
        </is>
      </c>
      <c r="D982" s="7" t="inlineStr">
        <is>
          <t>MultiPort Thunderbolt 4 Dock</t>
        </is>
      </c>
      <c r="E982" s="7" t="inlineStr">
        <is>
          <t>Technology</t>
        </is>
      </c>
      <c r="F982" s="7" t="inlineStr">
        <is>
          <t>Audio &amp; Accessories</t>
        </is>
      </c>
      <c r="G982" s="7" t="inlineStr">
        <is>
          <t>West</t>
        </is>
      </c>
      <c r="H982" s="7" t="inlineStr">
        <is>
          <t>Colorado</t>
        </is>
      </c>
      <c r="I982" s="7" t="inlineStr">
        <is>
          <t>Retail Partner</t>
        </is>
      </c>
      <c r="J982" s="7" t="inlineStr">
        <is>
          <t>Corporate</t>
        </is>
      </c>
      <c r="K982" s="8" t="n">
        <v>2</v>
      </c>
      <c r="L982" s="9" t="n">
        <v>149.99</v>
      </c>
      <c r="M982" s="10" t="n">
        <v>0.2</v>
      </c>
      <c r="N982" s="9" t="n">
        <v>98.98999999999999</v>
      </c>
      <c r="O982" s="9" t="n">
        <v>299.98</v>
      </c>
      <c r="P982" s="9" t="n">
        <v>60</v>
      </c>
      <c r="Q982" s="9" t="n">
        <v>239.98</v>
      </c>
      <c r="R982" s="9" t="n">
        <v>197.98</v>
      </c>
      <c r="S982" s="9" t="n">
        <v>42</v>
      </c>
      <c r="T982" s="10" t="n">
        <v>0.175</v>
      </c>
    </row>
    <row r="983">
      <c r="A983" s="7" t="inlineStr">
        <is>
          <t>ORD-2024-1064</t>
        </is>
      </c>
      <c r="B983" s="7" t="inlineStr">
        <is>
          <t>2024-12-28</t>
        </is>
      </c>
      <c r="C983" s="7" t="inlineStr">
        <is>
          <t>TEC-TAB-003</t>
        </is>
      </c>
      <c r="D983" s="7" t="inlineStr">
        <is>
          <t>VisionPad Pro 11"</t>
        </is>
      </c>
      <c r="E983" s="7" t="inlineStr">
        <is>
          <t>Technology</t>
        </is>
      </c>
      <c r="F983" s="7" t="inlineStr">
        <is>
          <t>Phones &amp; Tablets</t>
        </is>
      </c>
      <c r="G983" s="7" t="inlineStr">
        <is>
          <t>West</t>
        </is>
      </c>
      <c r="H983" s="7" t="inlineStr">
        <is>
          <t>Washington</t>
        </is>
      </c>
      <c r="I983" s="7" t="inlineStr">
        <is>
          <t>Online</t>
        </is>
      </c>
      <c r="J983" s="7" t="inlineStr">
        <is>
          <t>Home Office</t>
        </is>
      </c>
      <c r="K983" s="8" t="n">
        <v>1</v>
      </c>
      <c r="L983" s="9" t="n">
        <v>649.99</v>
      </c>
      <c r="M983" s="10" t="n">
        <v>0.05</v>
      </c>
      <c r="N983" s="9" t="n">
        <v>487.49</v>
      </c>
      <c r="O983" s="9" t="n">
        <v>649.99</v>
      </c>
      <c r="P983" s="9" t="n">
        <v>32.5</v>
      </c>
      <c r="Q983" s="9" t="n">
        <v>617.49</v>
      </c>
      <c r="R983" s="9" t="n">
        <v>487.49</v>
      </c>
      <c r="S983" s="9" t="n">
        <v>130</v>
      </c>
      <c r="T983" s="10" t="n">
        <v>0.2105</v>
      </c>
    </row>
    <row r="984">
      <c r="A984" s="7" t="inlineStr">
        <is>
          <t>ORD-2024-1064</t>
        </is>
      </c>
      <c r="B984" s="7" t="inlineStr">
        <is>
          <t>2024-12-28</t>
        </is>
      </c>
      <c r="C984" s="7" t="inlineStr">
        <is>
          <t>OFF-DSK-008</t>
        </is>
      </c>
      <c r="D984" s="7" t="inlineStr">
        <is>
          <t>Steel Desktop Mesh Organizer Caddy</t>
        </is>
      </c>
      <c r="E984" s="7" t="inlineStr">
        <is>
          <t>Office Supplies</t>
        </is>
      </c>
      <c r="F984" s="7" t="inlineStr">
        <is>
          <t>Desk Supplies</t>
        </is>
      </c>
      <c r="G984" s="7" t="inlineStr">
        <is>
          <t>West</t>
        </is>
      </c>
      <c r="H984" s="7" t="inlineStr">
        <is>
          <t>Washington</t>
        </is>
      </c>
      <c r="I984" s="7" t="inlineStr">
        <is>
          <t>Online</t>
        </is>
      </c>
      <c r="J984" s="7" t="inlineStr">
        <is>
          <t>Home Office</t>
        </is>
      </c>
      <c r="K984" s="8" t="n">
        <v>2</v>
      </c>
      <c r="L984" s="9" t="n">
        <v>18.99</v>
      </c>
      <c r="M984" s="10" t="n">
        <v>0.1</v>
      </c>
      <c r="N984" s="9" t="n">
        <v>8.550000000000001</v>
      </c>
      <c r="O984" s="9" t="n">
        <v>37.98</v>
      </c>
      <c r="P984" s="9" t="n">
        <v>3.8</v>
      </c>
      <c r="Q984" s="9" t="n">
        <v>34.18</v>
      </c>
      <c r="R984" s="9" t="n">
        <v>17.1</v>
      </c>
      <c r="S984" s="9" t="n">
        <v>17.08</v>
      </c>
      <c r="T984" s="10" t="n">
        <v>0.4997</v>
      </c>
    </row>
    <row r="985">
      <c r="A985" s="7" t="inlineStr">
        <is>
          <t>ORD-2024-1064</t>
        </is>
      </c>
      <c r="B985" s="7" t="inlineStr">
        <is>
          <t>2024-12-28</t>
        </is>
      </c>
      <c r="C985" s="7" t="inlineStr">
        <is>
          <t>FUR-BOK-005</t>
        </is>
      </c>
      <c r="D985" s="7" t="inlineStr">
        <is>
          <t>Modular 5-Tier Steel Bookcase</t>
        </is>
      </c>
      <c r="E985" s="7" t="inlineStr">
        <is>
          <t>Furniture</t>
        </is>
      </c>
      <c r="F985" s="7" t="inlineStr">
        <is>
          <t>Bookcases</t>
        </is>
      </c>
      <c r="G985" s="7" t="inlineStr">
        <is>
          <t>West</t>
        </is>
      </c>
      <c r="H985" s="7" t="inlineStr">
        <is>
          <t>Washington</t>
        </is>
      </c>
      <c r="I985" s="7" t="inlineStr">
        <is>
          <t>Online</t>
        </is>
      </c>
      <c r="J985" s="7" t="inlineStr">
        <is>
          <t>Home Office</t>
        </is>
      </c>
      <c r="K985" s="8" t="n">
        <v>1</v>
      </c>
      <c r="L985" s="9" t="n">
        <v>189.99</v>
      </c>
      <c r="M985" s="10" t="n">
        <v>0.05</v>
      </c>
      <c r="N985" s="9" t="n">
        <v>142.49</v>
      </c>
      <c r="O985" s="9" t="n">
        <v>189.99</v>
      </c>
      <c r="P985" s="9" t="n">
        <v>9.5</v>
      </c>
      <c r="Q985" s="9" t="n">
        <v>180.49</v>
      </c>
      <c r="R985" s="9" t="n">
        <v>142.49</v>
      </c>
      <c r="S985" s="9" t="n">
        <v>38</v>
      </c>
      <c r="T985" s="10" t="n">
        <v>0.2105</v>
      </c>
    </row>
    <row r="986">
      <c r="A986" s="7" t="inlineStr">
        <is>
          <t>ORD-2024-1231</t>
        </is>
      </c>
      <c r="B986" s="7" t="inlineStr">
        <is>
          <t>2024-12-28</t>
        </is>
      </c>
      <c r="C986" s="7" t="inlineStr">
        <is>
          <t>OFF-DSK-008</t>
        </is>
      </c>
      <c r="D986" s="7" t="inlineStr">
        <is>
          <t>Steel Desktop Mesh Organizer Caddy</t>
        </is>
      </c>
      <c r="E986" s="7" t="inlineStr">
        <is>
          <t>Office Supplies</t>
        </is>
      </c>
      <c r="F986" s="7" t="inlineStr">
        <is>
          <t>Desk Supplies</t>
        </is>
      </c>
      <c r="G986" s="7" t="inlineStr">
        <is>
          <t>East</t>
        </is>
      </c>
      <c r="H986" s="7" t="inlineStr">
        <is>
          <t>Massachusetts</t>
        </is>
      </c>
      <c r="I986" s="7" t="inlineStr">
        <is>
          <t>Online</t>
        </is>
      </c>
      <c r="J986" s="7" t="inlineStr">
        <is>
          <t>Corporate</t>
        </is>
      </c>
      <c r="K986" s="8" t="n">
        <v>8</v>
      </c>
      <c r="L986" s="9" t="n">
        <v>18.99</v>
      </c>
      <c r="M986" s="10" t="n">
        <v>0.1</v>
      </c>
      <c r="N986" s="9" t="n">
        <v>8.550000000000001</v>
      </c>
      <c r="O986" s="9" t="n">
        <v>151.92</v>
      </c>
      <c r="P986" s="9" t="n">
        <v>15.19</v>
      </c>
      <c r="Q986" s="9" t="n">
        <v>136.73</v>
      </c>
      <c r="R986" s="9" t="n">
        <v>68.40000000000001</v>
      </c>
      <c r="S986" s="9" t="n">
        <v>68.33</v>
      </c>
      <c r="T986" s="10" t="n">
        <v>0.4997</v>
      </c>
    </row>
    <row r="987">
      <c r="A987" s="7" t="inlineStr">
        <is>
          <t>ORD-2024-1231</t>
        </is>
      </c>
      <c r="B987" s="7" t="inlineStr">
        <is>
          <t>2024-12-28</t>
        </is>
      </c>
      <c r="C987" s="7" t="inlineStr">
        <is>
          <t>OFF-PAP-004</t>
        </is>
      </c>
      <c r="D987" s="7" t="inlineStr">
        <is>
          <t>EcoRecycled Copy Paper (5 Reams)</t>
        </is>
      </c>
      <c r="E987" s="7" t="inlineStr">
        <is>
          <t>Office Supplies</t>
        </is>
      </c>
      <c r="F987" s="7" t="inlineStr">
        <is>
          <t>Paper Products</t>
        </is>
      </c>
      <c r="G987" s="7" t="inlineStr">
        <is>
          <t>East</t>
        </is>
      </c>
      <c r="H987" s="7" t="inlineStr">
        <is>
          <t>Massachusetts</t>
        </is>
      </c>
      <c r="I987" s="7" t="inlineStr">
        <is>
          <t>Online</t>
        </is>
      </c>
      <c r="J987" s="7" t="inlineStr">
        <is>
          <t>Corporate</t>
        </is>
      </c>
      <c r="K987" s="8" t="n">
        <v>5</v>
      </c>
      <c r="L987" s="9" t="n">
        <v>32.99</v>
      </c>
      <c r="M987" s="10" t="n">
        <v>0.1</v>
      </c>
      <c r="N987" s="9" t="n">
        <v>19.79</v>
      </c>
      <c r="O987" s="9" t="n">
        <v>164.95</v>
      </c>
      <c r="P987" s="9" t="n">
        <v>16.5</v>
      </c>
      <c r="Q987" s="9" t="n">
        <v>148.45</v>
      </c>
      <c r="R987" s="9" t="n">
        <v>98.95</v>
      </c>
      <c r="S987" s="9" t="n">
        <v>49.5</v>
      </c>
      <c r="T987" s="10" t="n">
        <v>0.3334</v>
      </c>
    </row>
    <row r="988">
      <c r="A988" s="7" t="inlineStr">
        <is>
          <t>ORD-2024-1291</t>
        </is>
      </c>
      <c r="B988" s="7" t="inlineStr">
        <is>
          <t>2024-12-28</t>
        </is>
      </c>
      <c r="C988" s="7" t="inlineStr">
        <is>
          <t>FUR-LGT-006</t>
        </is>
      </c>
      <c r="D988" s="7" t="inlineStr">
        <is>
          <t>Architect LED Desk Task Lamp</t>
        </is>
      </c>
      <c r="E988" s="7" t="inlineStr">
        <is>
          <t>Furniture</t>
        </is>
      </c>
      <c r="F988" s="7" t="inlineStr">
        <is>
          <t>Lighting</t>
        </is>
      </c>
      <c r="G988" s="7" t="inlineStr">
        <is>
          <t>West</t>
        </is>
      </c>
      <c r="H988" s="7" t="inlineStr">
        <is>
          <t>Colorado</t>
        </is>
      </c>
      <c r="I988" s="7" t="inlineStr">
        <is>
          <t>Retail Partner</t>
        </is>
      </c>
      <c r="J988" s="7" t="inlineStr">
        <is>
          <t>Corporate</t>
        </is>
      </c>
      <c r="K988" s="8" t="n">
        <v>7</v>
      </c>
      <c r="L988" s="9" t="n">
        <v>69.98999999999999</v>
      </c>
      <c r="M988" s="10" t="n">
        <v>0.1</v>
      </c>
      <c r="N988" s="9" t="n">
        <v>43.39</v>
      </c>
      <c r="O988" s="9" t="n">
        <v>489.93</v>
      </c>
      <c r="P988" s="9" t="n">
        <v>48.99</v>
      </c>
      <c r="Q988" s="9" t="n">
        <v>440.94</v>
      </c>
      <c r="R988" s="9" t="n">
        <v>303.73</v>
      </c>
      <c r="S988" s="9" t="n">
        <v>137.21</v>
      </c>
      <c r="T988" s="10" t="n">
        <v>0.3112</v>
      </c>
    </row>
    <row r="989">
      <c r="A989" s="7" t="inlineStr">
        <is>
          <t>ORD-2024-1291</t>
        </is>
      </c>
      <c r="B989" s="7" t="inlineStr">
        <is>
          <t>2024-12-28</t>
        </is>
      </c>
      <c r="C989" s="7" t="inlineStr">
        <is>
          <t>TEC-TAB-004</t>
        </is>
      </c>
      <c r="D989" s="7" t="inlineStr">
        <is>
          <t>VisionPad Lite 8.5"</t>
        </is>
      </c>
      <c r="E989" s="7" t="inlineStr">
        <is>
          <t>Technology</t>
        </is>
      </c>
      <c r="F989" s="7" t="inlineStr">
        <is>
          <t>Phones &amp; Tablets</t>
        </is>
      </c>
      <c r="G989" s="7" t="inlineStr">
        <is>
          <t>West</t>
        </is>
      </c>
      <c r="H989" s="7" t="inlineStr">
        <is>
          <t>Colorado</t>
        </is>
      </c>
      <c r="I989" s="7" t="inlineStr">
        <is>
          <t>Retail Partner</t>
        </is>
      </c>
      <c r="J989" s="7" t="inlineStr">
        <is>
          <t>Corporate</t>
        </is>
      </c>
      <c r="K989" s="8" t="n">
        <v>5</v>
      </c>
      <c r="L989" s="9" t="n">
        <v>299.99</v>
      </c>
      <c r="M989" s="10" t="n">
        <v>0.1</v>
      </c>
      <c r="N989" s="9" t="n">
        <v>245.99</v>
      </c>
      <c r="O989" s="9" t="n">
        <v>1499.95</v>
      </c>
      <c r="P989" s="9" t="n">
        <v>150</v>
      </c>
      <c r="Q989" s="9" t="n">
        <v>1349.95</v>
      </c>
      <c r="R989" s="9" t="n">
        <v>1229.95</v>
      </c>
      <c r="S989" s="9" t="n">
        <v>120</v>
      </c>
      <c r="T989" s="10" t="n">
        <v>0.08890000000000001</v>
      </c>
    </row>
    <row r="990">
      <c r="A990" s="7" t="inlineStr">
        <is>
          <t>ORD-2024-1330</t>
        </is>
      </c>
      <c r="B990" s="7" t="inlineStr">
        <is>
          <t>2024-12-28</t>
        </is>
      </c>
      <c r="C990" s="7" t="inlineStr">
        <is>
          <t>TEC-ACC-008</t>
        </is>
      </c>
      <c r="D990" s="7" t="inlineStr">
        <is>
          <t>Precision Laser Bluetooth Mouse</t>
        </is>
      </c>
      <c r="E990" s="7" t="inlineStr">
        <is>
          <t>Technology</t>
        </is>
      </c>
      <c r="F990" s="7" t="inlineStr">
        <is>
          <t>Audio &amp; Accessories</t>
        </is>
      </c>
      <c r="G990" s="7" t="inlineStr">
        <is>
          <t>West</t>
        </is>
      </c>
      <c r="H990" s="7" t="inlineStr">
        <is>
          <t>California</t>
        </is>
      </c>
      <c r="I990" s="7" t="inlineStr">
        <is>
          <t>Wholesale</t>
        </is>
      </c>
      <c r="J990" s="7" t="inlineStr">
        <is>
          <t>Consumer</t>
        </is>
      </c>
      <c r="K990" s="8" t="n">
        <v>11</v>
      </c>
      <c r="L990" s="9" t="n">
        <v>49.99</v>
      </c>
      <c r="M990" s="10" t="n">
        <v>0.1</v>
      </c>
      <c r="N990" s="9" t="n">
        <v>27.49</v>
      </c>
      <c r="O990" s="9" t="n">
        <v>549.89</v>
      </c>
      <c r="P990" s="9" t="n">
        <v>54.99</v>
      </c>
      <c r="Q990" s="9" t="n">
        <v>494.9</v>
      </c>
      <c r="R990" s="9" t="n">
        <v>302.39</v>
      </c>
      <c r="S990" s="9" t="n">
        <v>192.51</v>
      </c>
      <c r="T990" s="10" t="n">
        <v>0.389</v>
      </c>
    </row>
    <row r="991">
      <c r="A991" s="7" t="inlineStr">
        <is>
          <t>ORD-2024-1401</t>
        </is>
      </c>
      <c r="B991" s="7" t="inlineStr">
        <is>
          <t>2024-12-28</t>
        </is>
      </c>
      <c r="C991" s="7" t="inlineStr">
        <is>
          <t>OFF-DSK-007</t>
        </is>
      </c>
      <c r="D991" s="7" t="inlineStr">
        <is>
          <t>Gel Ergo Mouse Pad &amp; Wrist Rest Combo</t>
        </is>
      </c>
      <c r="E991" s="7" t="inlineStr">
        <is>
          <t>Office Supplies</t>
        </is>
      </c>
      <c r="F991" s="7" t="inlineStr">
        <is>
          <t>Desk Supplies</t>
        </is>
      </c>
      <c r="G991" s="7" t="inlineStr">
        <is>
          <t>West</t>
        </is>
      </c>
      <c r="H991" s="7" t="inlineStr">
        <is>
          <t>California</t>
        </is>
      </c>
      <c r="I991" s="7" t="inlineStr">
        <is>
          <t>Wholesale</t>
        </is>
      </c>
      <c r="J991" s="7" t="inlineStr">
        <is>
          <t>Corporate</t>
        </is>
      </c>
      <c r="K991" s="8" t="n">
        <v>10</v>
      </c>
      <c r="L991" s="9" t="n">
        <v>21.99</v>
      </c>
      <c r="M991" s="10" t="n">
        <v>0.1</v>
      </c>
      <c r="N991" s="9" t="n">
        <v>10.56</v>
      </c>
      <c r="O991" s="9" t="n">
        <v>219.9</v>
      </c>
      <c r="P991" s="9" t="n">
        <v>21.99</v>
      </c>
      <c r="Q991" s="9" t="n">
        <v>197.91</v>
      </c>
      <c r="R991" s="9" t="n">
        <v>105.6</v>
      </c>
      <c r="S991" s="9" t="n">
        <v>92.31</v>
      </c>
      <c r="T991" s="10" t="n">
        <v>0.4664</v>
      </c>
    </row>
    <row r="992">
      <c r="A992" s="7" t="inlineStr">
        <is>
          <t>ORD-2024-1024</t>
        </is>
      </c>
      <c r="B992" s="7" t="inlineStr">
        <is>
          <t>2024-12-29</t>
        </is>
      </c>
      <c r="C992" s="7" t="inlineStr">
        <is>
          <t>FUR-DSK-004</t>
        </is>
      </c>
      <c r="D992" s="7" t="inlineStr">
        <is>
          <t>Metro Compact Corner Workstation</t>
        </is>
      </c>
      <c r="E992" s="7" t="inlineStr">
        <is>
          <t>Furniture</t>
        </is>
      </c>
      <c r="F992" s="7" t="inlineStr">
        <is>
          <t>Desks &amp; Workstations</t>
        </is>
      </c>
      <c r="G992" s="7" t="inlineStr">
        <is>
          <t>West</t>
        </is>
      </c>
      <c r="H992" s="7" t="inlineStr">
        <is>
          <t>Colorado</t>
        </is>
      </c>
      <c r="I992" s="7" t="inlineStr">
        <is>
          <t>Online</t>
        </is>
      </c>
      <c r="J992" s="7" t="inlineStr">
        <is>
          <t>Corporate</t>
        </is>
      </c>
      <c r="K992" s="8" t="n">
        <v>3</v>
      </c>
      <c r="L992" s="9" t="n">
        <v>329.99</v>
      </c>
      <c r="M992" s="10" t="n">
        <v>0</v>
      </c>
      <c r="N992" s="9" t="n">
        <v>250.79</v>
      </c>
      <c r="O992" s="9" t="n">
        <v>989.97</v>
      </c>
      <c r="P992" s="9" t="n">
        <v>0</v>
      </c>
      <c r="Q992" s="9" t="n">
        <v>989.97</v>
      </c>
      <c r="R992" s="9" t="n">
        <v>752.37</v>
      </c>
      <c r="S992" s="9" t="n">
        <v>237.6</v>
      </c>
      <c r="T992" s="10" t="n">
        <v>0.24</v>
      </c>
    </row>
    <row r="993">
      <c r="A993" s="7" t="inlineStr">
        <is>
          <t>ORD-2024-1024</t>
        </is>
      </c>
      <c r="B993" s="7" t="inlineStr">
        <is>
          <t>2024-12-29</t>
        </is>
      </c>
      <c r="C993" s="7" t="inlineStr">
        <is>
          <t>TEC-ACC-005</t>
        </is>
      </c>
      <c r="D993" s="7" t="inlineStr">
        <is>
          <t>UltraWireless Noise-Canceling Headset</t>
        </is>
      </c>
      <c r="E993" s="7" t="inlineStr">
        <is>
          <t>Technology</t>
        </is>
      </c>
      <c r="F993" s="7" t="inlineStr">
        <is>
          <t>Audio &amp; Accessories</t>
        </is>
      </c>
      <c r="G993" s="7" t="inlineStr">
        <is>
          <t>West</t>
        </is>
      </c>
      <c r="H993" s="7" t="inlineStr">
        <is>
          <t>Colorado</t>
        </is>
      </c>
      <c r="I993" s="7" t="inlineStr">
        <is>
          <t>Online</t>
        </is>
      </c>
      <c r="J993" s="7" t="inlineStr">
        <is>
          <t>Corporate</t>
        </is>
      </c>
      <c r="K993" s="8" t="n">
        <v>6</v>
      </c>
      <c r="L993" s="9" t="n">
        <v>179.99</v>
      </c>
      <c r="M993" s="10" t="n">
        <v>0.1</v>
      </c>
      <c r="N993" s="9" t="n">
        <v>111.59</v>
      </c>
      <c r="O993" s="9" t="n">
        <v>1079.94</v>
      </c>
      <c r="P993" s="9" t="n">
        <v>107.99</v>
      </c>
      <c r="Q993" s="9" t="n">
        <v>971.95</v>
      </c>
      <c r="R993" s="9" t="n">
        <v>669.54</v>
      </c>
      <c r="S993" s="9" t="n">
        <v>302.41</v>
      </c>
      <c r="T993" s="10" t="n">
        <v>0.3111</v>
      </c>
    </row>
    <row r="994">
      <c r="A994" s="7" t="inlineStr">
        <is>
          <t>ORD-2024-1024</t>
        </is>
      </c>
      <c r="B994" s="7" t="inlineStr">
        <is>
          <t>2024-12-29</t>
        </is>
      </c>
      <c r="C994" s="7" t="inlineStr">
        <is>
          <t>OFF-STR-002</t>
        </is>
      </c>
      <c r="D994" s="7" t="inlineStr">
        <is>
          <t>Stackable Heavy-Duty Storage Bins (4-Pk)</t>
        </is>
      </c>
      <c r="E994" s="7" t="inlineStr">
        <is>
          <t>Office Supplies</t>
        </is>
      </c>
      <c r="F994" s="7" t="inlineStr">
        <is>
          <t>Storage &amp; Organizers</t>
        </is>
      </c>
      <c r="G994" s="7" t="inlineStr">
        <is>
          <t>West</t>
        </is>
      </c>
      <c r="H994" s="7" t="inlineStr">
        <is>
          <t>Colorado</t>
        </is>
      </c>
      <c r="I994" s="7" t="inlineStr">
        <is>
          <t>Online</t>
        </is>
      </c>
      <c r="J994" s="7" t="inlineStr">
        <is>
          <t>Corporate</t>
        </is>
      </c>
      <c r="K994" s="8" t="n">
        <v>2</v>
      </c>
      <c r="L994" s="9" t="n">
        <v>44.99</v>
      </c>
      <c r="M994" s="10" t="n">
        <v>0.1</v>
      </c>
      <c r="N994" s="9" t="n">
        <v>24.74</v>
      </c>
      <c r="O994" s="9" t="n">
        <v>89.98</v>
      </c>
      <c r="P994" s="9" t="n">
        <v>9</v>
      </c>
      <c r="Q994" s="9" t="n">
        <v>80.98</v>
      </c>
      <c r="R994" s="9" t="n">
        <v>49.48</v>
      </c>
      <c r="S994" s="9" t="n">
        <v>31.5</v>
      </c>
      <c r="T994" s="10" t="n">
        <v>0.389</v>
      </c>
    </row>
    <row r="995">
      <c r="A995" s="7" t="inlineStr">
        <is>
          <t>ORD-2024-1024</t>
        </is>
      </c>
      <c r="B995" s="7" t="inlineStr">
        <is>
          <t>2024-12-29</t>
        </is>
      </c>
      <c r="C995" s="7" t="inlineStr">
        <is>
          <t>TEC-LAP-002</t>
        </is>
      </c>
      <c r="D995" s="7" t="inlineStr">
        <is>
          <t>Apex Gaming Laptop 17"</t>
        </is>
      </c>
      <c r="E995" s="7" t="inlineStr">
        <is>
          <t>Technology</t>
        </is>
      </c>
      <c r="F995" s="7" t="inlineStr">
        <is>
          <t>Laptops</t>
        </is>
      </c>
      <c r="G995" s="7" t="inlineStr">
        <is>
          <t>West</t>
        </is>
      </c>
      <c r="H995" s="7" t="inlineStr">
        <is>
          <t>Colorado</t>
        </is>
      </c>
      <c r="I995" s="7" t="inlineStr">
        <is>
          <t>Online</t>
        </is>
      </c>
      <c r="J995" s="7" t="inlineStr">
        <is>
          <t>Corporate</t>
        </is>
      </c>
      <c r="K995" s="8" t="n">
        <v>8</v>
      </c>
      <c r="L995" s="9" t="n">
        <v>1499.99</v>
      </c>
      <c r="M995" s="10" t="n">
        <v>0.15</v>
      </c>
      <c r="N995" s="9" t="n">
        <v>1259.99</v>
      </c>
      <c r="O995" s="9" t="n">
        <v>11999.92</v>
      </c>
      <c r="P995" s="9" t="n">
        <v>1799.99</v>
      </c>
      <c r="Q995" s="9" t="n">
        <v>10199.93</v>
      </c>
      <c r="R995" s="9" t="n">
        <v>10079.92</v>
      </c>
      <c r="S995" s="9" t="n">
        <v>120.01</v>
      </c>
      <c r="T995" s="10" t="n">
        <v>0.0118</v>
      </c>
    </row>
    <row r="996">
      <c r="A996" s="7" t="inlineStr">
        <is>
          <t>ORD-2024-1594</t>
        </is>
      </c>
      <c r="B996" s="7" t="inlineStr">
        <is>
          <t>2024-12-29</t>
        </is>
      </c>
      <c r="C996" s="7" t="inlineStr">
        <is>
          <t>FUR-CHA-001</t>
        </is>
      </c>
      <c r="D996" s="7" t="inlineStr">
        <is>
          <t>ErgoFlex Executive Mesh Chair</t>
        </is>
      </c>
      <c r="E996" s="7" t="inlineStr">
        <is>
          <t>Furniture</t>
        </is>
      </c>
      <c r="F996" s="7" t="inlineStr">
        <is>
          <t>Chairs</t>
        </is>
      </c>
      <c r="G996" s="7" t="inlineStr">
        <is>
          <t>East</t>
        </is>
      </c>
      <c r="H996" s="7" t="inlineStr">
        <is>
          <t>New Jersey</t>
        </is>
      </c>
      <c r="I996" s="7" t="inlineStr">
        <is>
          <t>Online</t>
        </is>
      </c>
      <c r="J996" s="7" t="inlineStr">
        <is>
          <t>Consumer</t>
        </is>
      </c>
      <c r="K996" s="8" t="n">
        <v>1</v>
      </c>
      <c r="L996" s="9" t="n">
        <v>389.99</v>
      </c>
      <c r="M996" s="10" t="n">
        <v>0.15</v>
      </c>
      <c r="N996" s="9" t="n">
        <v>331.49</v>
      </c>
      <c r="O996" s="9" t="n">
        <v>389.99</v>
      </c>
      <c r="P996" s="9" t="n">
        <v>58.5</v>
      </c>
      <c r="Q996" s="9" t="n">
        <v>331.49</v>
      </c>
      <c r="R996" s="9" t="n">
        <v>331.49</v>
      </c>
      <c r="S996" s="9" t="n">
        <v>0</v>
      </c>
      <c r="T996" s="10" t="n">
        <v>0</v>
      </c>
    </row>
    <row r="997">
      <c r="A997" s="7" t="inlineStr">
        <is>
          <t>ORD-2024-1594</t>
        </is>
      </c>
      <c r="B997" s="7" t="inlineStr">
        <is>
          <t>2024-12-29</t>
        </is>
      </c>
      <c r="C997" s="7" t="inlineStr">
        <is>
          <t>TEC-TAB-003</t>
        </is>
      </c>
      <c r="D997" s="7" t="inlineStr">
        <is>
          <t>VisionPad Pro 11"</t>
        </is>
      </c>
      <c r="E997" s="7" t="inlineStr">
        <is>
          <t>Technology</t>
        </is>
      </c>
      <c r="F997" s="7" t="inlineStr">
        <is>
          <t>Phones &amp; Tablets</t>
        </is>
      </c>
      <c r="G997" s="7" t="inlineStr">
        <is>
          <t>East</t>
        </is>
      </c>
      <c r="H997" s="7" t="inlineStr">
        <is>
          <t>New Jersey</t>
        </is>
      </c>
      <c r="I997" s="7" t="inlineStr">
        <is>
          <t>Online</t>
        </is>
      </c>
      <c r="J997" s="7" t="inlineStr">
        <is>
          <t>Consumer</t>
        </is>
      </c>
      <c r="K997" s="8" t="n">
        <v>3</v>
      </c>
      <c r="L997" s="9" t="n">
        <v>649.99</v>
      </c>
      <c r="M997" s="10" t="n">
        <v>0</v>
      </c>
      <c r="N997" s="9" t="n">
        <v>487.49</v>
      </c>
      <c r="O997" s="9" t="n">
        <v>1949.97</v>
      </c>
      <c r="P997" s="9" t="n">
        <v>0</v>
      </c>
      <c r="Q997" s="9" t="n">
        <v>1949.97</v>
      </c>
      <c r="R997" s="9" t="n">
        <v>1462.47</v>
      </c>
      <c r="S997" s="9" t="n">
        <v>487.5</v>
      </c>
      <c r="T997" s="10" t="n">
        <v>0.25</v>
      </c>
    </row>
    <row r="998">
      <c r="A998" s="7" t="inlineStr">
        <is>
          <t>ORD-2024-1510</t>
        </is>
      </c>
      <c r="B998" s="7" t="inlineStr">
        <is>
          <t>2024-12-30</t>
        </is>
      </c>
      <c r="C998" s="7" t="inlineStr">
        <is>
          <t>TEC-LAP-001</t>
        </is>
      </c>
      <c r="D998" s="7" t="inlineStr">
        <is>
          <t>ProBook Elite 15.6"</t>
        </is>
      </c>
      <c r="E998" s="7" t="inlineStr">
        <is>
          <t>Technology</t>
        </is>
      </c>
      <c r="F998" s="7" t="inlineStr">
        <is>
          <t>Laptops</t>
        </is>
      </c>
      <c r="G998" s="7" t="inlineStr">
        <is>
          <t>Central</t>
        </is>
      </c>
      <c r="H998" s="7" t="inlineStr">
        <is>
          <t>Texas</t>
        </is>
      </c>
      <c r="I998" s="7" t="inlineStr">
        <is>
          <t>Direct Sales</t>
        </is>
      </c>
      <c r="J998" s="7" t="inlineStr">
        <is>
          <t>Consumer</t>
        </is>
      </c>
      <c r="K998" s="8" t="n">
        <v>3</v>
      </c>
      <c r="L998" s="9" t="n">
        <v>1199.99</v>
      </c>
      <c r="M998" s="10" t="n">
        <v>0</v>
      </c>
      <c r="N998" s="9" t="n">
        <v>863.99</v>
      </c>
      <c r="O998" s="9" t="n">
        <v>3599.97</v>
      </c>
      <c r="P998" s="9" t="n">
        <v>0</v>
      </c>
      <c r="Q998" s="9" t="n">
        <v>3599.97</v>
      </c>
      <c r="R998" s="9" t="n">
        <v>2591.97</v>
      </c>
      <c r="S998" s="9" t="n">
        <v>1008</v>
      </c>
      <c r="T998" s="10" t="n">
        <v>0.28</v>
      </c>
    </row>
    <row r="999">
      <c r="A999" s="7" t="inlineStr">
        <is>
          <t>ORD-2024-1557</t>
        </is>
      </c>
      <c r="B999" s="7" t="inlineStr">
        <is>
          <t>2024-12-30</t>
        </is>
      </c>
      <c r="C999" s="7" t="inlineStr">
        <is>
          <t>FUR-DSK-004</t>
        </is>
      </c>
      <c r="D999" s="7" t="inlineStr">
        <is>
          <t>Metro Compact Corner Workstation</t>
        </is>
      </c>
      <c r="E999" s="7" t="inlineStr">
        <is>
          <t>Furniture</t>
        </is>
      </c>
      <c r="F999" s="7" t="inlineStr">
        <is>
          <t>Desks &amp; Workstations</t>
        </is>
      </c>
      <c r="G999" s="7" t="inlineStr">
        <is>
          <t>West</t>
        </is>
      </c>
      <c r="H999" s="7" t="inlineStr">
        <is>
          <t>Colorado</t>
        </is>
      </c>
      <c r="I999" s="7" t="inlineStr">
        <is>
          <t>Online</t>
        </is>
      </c>
      <c r="J999" s="7" t="inlineStr">
        <is>
          <t>Corporate</t>
        </is>
      </c>
      <c r="K999" s="8" t="n">
        <v>2</v>
      </c>
      <c r="L999" s="9" t="n">
        <v>329.99</v>
      </c>
      <c r="M999" s="10" t="n">
        <v>0.05</v>
      </c>
      <c r="N999" s="9" t="n">
        <v>250.79</v>
      </c>
      <c r="O999" s="9" t="n">
        <v>659.98</v>
      </c>
      <c r="P999" s="9" t="n">
        <v>33</v>
      </c>
      <c r="Q999" s="9" t="n">
        <v>626.98</v>
      </c>
      <c r="R999" s="9" t="n">
        <v>501.58</v>
      </c>
      <c r="S999" s="9" t="n">
        <v>125.4</v>
      </c>
      <c r="T999" s="10" t="n">
        <v>0.2</v>
      </c>
    </row>
    <row r="1000">
      <c r="A1000" s="7" t="inlineStr">
        <is>
          <t>ORD-2024-1081</t>
        </is>
      </c>
      <c r="B1000" s="7" t="inlineStr">
        <is>
          <t>2024-12-31</t>
        </is>
      </c>
      <c r="C1000" s="7" t="inlineStr">
        <is>
          <t>OFF-PAP-004</t>
        </is>
      </c>
      <c r="D1000" s="7" t="inlineStr">
        <is>
          <t>EcoRecycled Copy Paper (5 Reams)</t>
        </is>
      </c>
      <c r="E1000" s="7" t="inlineStr">
        <is>
          <t>Office Supplies</t>
        </is>
      </c>
      <c r="F1000" s="7" t="inlineStr">
        <is>
          <t>Paper Products</t>
        </is>
      </c>
      <c r="G1000" s="7" t="inlineStr">
        <is>
          <t>Central</t>
        </is>
      </c>
      <c r="H1000" s="7" t="inlineStr">
        <is>
          <t>Texas</t>
        </is>
      </c>
      <c r="I1000" s="7" t="inlineStr">
        <is>
          <t>Retail Partner</t>
        </is>
      </c>
      <c r="J1000" s="7" t="inlineStr">
        <is>
          <t>Corporate</t>
        </is>
      </c>
      <c r="K1000" s="8" t="n">
        <v>2</v>
      </c>
      <c r="L1000" s="9" t="n">
        <v>32.99</v>
      </c>
      <c r="M1000" s="10" t="n">
        <v>0</v>
      </c>
      <c r="N1000" s="9" t="n">
        <v>19.79</v>
      </c>
      <c r="O1000" s="9" t="n">
        <v>65.98</v>
      </c>
      <c r="P1000" s="9" t="n">
        <v>0</v>
      </c>
      <c r="Q1000" s="9" t="n">
        <v>65.98</v>
      </c>
      <c r="R1000" s="9" t="n">
        <v>39.58</v>
      </c>
      <c r="S1000" s="9" t="n">
        <v>26.4</v>
      </c>
      <c r="T1000" s="10" t="n">
        <v>0.4001</v>
      </c>
    </row>
    <row r="1001">
      <c r="A1001" s="7" t="inlineStr">
        <is>
          <t>ORD-2024-1610</t>
        </is>
      </c>
      <c r="B1001" s="7" t="inlineStr">
        <is>
          <t>2024-12-31</t>
        </is>
      </c>
      <c r="C1001" s="7" t="inlineStr">
        <is>
          <t>OFF-STR-001</t>
        </is>
      </c>
      <c r="D1001" s="7" t="inlineStr">
        <is>
          <t>SteelLock 3-Drawer File Cabinet</t>
        </is>
      </c>
      <c r="E1001" s="7" t="inlineStr">
        <is>
          <t>Office Supplies</t>
        </is>
      </c>
      <c r="F1001" s="7" t="inlineStr">
        <is>
          <t>Storage &amp; Organizers</t>
        </is>
      </c>
      <c r="G1001" s="7" t="inlineStr">
        <is>
          <t>East</t>
        </is>
      </c>
      <c r="H1001" s="7" t="inlineStr">
        <is>
          <t>Massachusetts</t>
        </is>
      </c>
      <c r="I1001" s="7" t="inlineStr">
        <is>
          <t>Online</t>
        </is>
      </c>
      <c r="J1001" s="7" t="inlineStr">
        <is>
          <t>Corporate</t>
        </is>
      </c>
      <c r="K1001" s="8" t="n">
        <v>4</v>
      </c>
      <c r="L1001" s="9" t="n">
        <v>169.99</v>
      </c>
      <c r="M1001" s="10" t="n">
        <v>0.2</v>
      </c>
      <c r="N1001" s="9" t="n">
        <v>115.59</v>
      </c>
      <c r="O1001" s="9" t="n">
        <v>679.96</v>
      </c>
      <c r="P1001" s="9" t="n">
        <v>135.99</v>
      </c>
      <c r="Q1001" s="9" t="n">
        <v>543.97</v>
      </c>
      <c r="R1001" s="9" t="n">
        <v>462.36</v>
      </c>
      <c r="S1001" s="9" t="n">
        <v>81.61</v>
      </c>
      <c r="T1001" s="10" t="n">
        <v>0.15</v>
      </c>
    </row>
    <row r="1002">
      <c r="A1002" s="7" t="inlineStr">
        <is>
          <t>ORD-2024-1570</t>
        </is>
      </c>
      <c r="B1002" s="7" t="inlineStr">
        <is>
          <t>2024-01-07</t>
        </is>
      </c>
      <c r="C1002" s="7" t="inlineStr">
        <is>
          <t>OFF-BIN-005</t>
        </is>
      </c>
      <c r="D1002" s="7" t="inlineStr">
        <is>
          <t>Heavy-Duty D-Ring Presentation Binder (6-Pk)</t>
        </is>
      </c>
      <c r="E1002" s="7" t="inlineStr">
        <is>
          <t>Office Supplies</t>
        </is>
      </c>
      <c r="F1002" s="7" t="inlineStr">
        <is>
          <t>Binders &amp; Fasteners</t>
        </is>
      </c>
      <c r="G1002" s="7" t="inlineStr">
        <is>
          <t>South</t>
        </is>
      </c>
      <c r="H1002" s="7" t="inlineStr">
        <is>
          <t>North Carolina</t>
        </is>
      </c>
      <c r="I1002" s="7" t="inlineStr">
        <is>
          <t>Retail Partner</t>
        </is>
      </c>
      <c r="J1002" s="7" t="inlineStr">
        <is>
          <t>Corporate</t>
        </is>
      </c>
      <c r="K1002" s="8" t="n">
        <v>8</v>
      </c>
      <c r="L1002" s="9" t="n">
        <v>27.99</v>
      </c>
      <c r="M1002" s="10" t="n">
        <v>0</v>
      </c>
      <c r="N1002" s="9" t="n">
        <v>13.99</v>
      </c>
      <c r="O1002" s="9" t="n">
        <v>223.92</v>
      </c>
      <c r="P1002" s="9" t="n">
        <v>0</v>
      </c>
      <c r="Q1002" s="9" t="n">
        <v>223.92</v>
      </c>
      <c r="R1002" s="9" t="n">
        <v>111.92</v>
      </c>
      <c r="S1002" s="9" t="n">
        <v>112</v>
      </c>
      <c r="T1002" s="10" t="n">
        <v>0.5002</v>
      </c>
    </row>
    <row r="1003">
      <c r="A1003" s="7" t="inlineStr">
        <is>
          <t>ORD-2024-1004</t>
        </is>
      </c>
      <c r="B1003" s="7" t="inlineStr">
        <is>
          <t>2024-03-08</t>
        </is>
      </c>
      <c r="C1003" s="7" t="inlineStr">
        <is>
          <t>OFF-PAP-004</t>
        </is>
      </c>
      <c r="D1003" s="7" t="inlineStr">
        <is>
          <t>EcoRecycled Copy Paper (5 Reams)</t>
        </is>
      </c>
      <c r="E1003" s="7" t="inlineStr">
        <is>
          <t>Office Supplies</t>
        </is>
      </c>
      <c r="F1003" s="7" t="inlineStr">
        <is>
          <t>Paper Products</t>
        </is>
      </c>
      <c r="G1003" s="7" t="inlineStr">
        <is>
          <t>West</t>
        </is>
      </c>
      <c r="H1003" s="7" t="inlineStr">
        <is>
          <t>California</t>
        </is>
      </c>
      <c r="I1003" s="7" t="inlineStr">
        <is>
          <t>Online</t>
        </is>
      </c>
      <c r="J1003" s="7" t="inlineStr">
        <is>
          <t>Corporate</t>
        </is>
      </c>
      <c r="K1003" s="8" t="n">
        <v>3</v>
      </c>
      <c r="L1003" s="9" t="n">
        <v>32.99</v>
      </c>
      <c r="M1003" s="10" t="n">
        <v>0</v>
      </c>
      <c r="N1003" s="9" t="n">
        <v>19.79</v>
      </c>
      <c r="O1003" s="9" t="n">
        <v>98.97</v>
      </c>
      <c r="P1003" s="9" t="n">
        <v>0</v>
      </c>
      <c r="Q1003" s="9" t="n">
        <v>98.97</v>
      </c>
      <c r="R1003" s="9" t="n">
        <v>59.37</v>
      </c>
      <c r="S1003" s="9" t="n">
        <v>39.6</v>
      </c>
      <c r="T1003" s="10" t="n">
        <v>0.4001</v>
      </c>
    </row>
    <row r="1004">
      <c r="A1004" s="7" t="inlineStr">
        <is>
          <t>ORD-2024-1404</t>
        </is>
      </c>
      <c r="B1004" s="7" t="inlineStr">
        <is>
          <t>2024-06-16</t>
        </is>
      </c>
      <c r="C1004" s="7" t="inlineStr">
        <is>
          <t>OFF-PAP-003</t>
        </is>
      </c>
      <c r="D1004" s="7" t="inlineStr">
        <is>
          <t>UltraWhite Premium Multipurpose Paper (Case)</t>
        </is>
      </c>
      <c r="E1004" s="7" t="inlineStr">
        <is>
          <t>Office Supplies</t>
        </is>
      </c>
      <c r="F1004" s="7" t="inlineStr">
        <is>
          <t>Paper Products</t>
        </is>
      </c>
      <c r="G1004" s="7" t="inlineStr">
        <is>
          <t>East</t>
        </is>
      </c>
      <c r="H1004" s="7" t="inlineStr">
        <is>
          <t>New Jersey</t>
        </is>
      </c>
      <c r="I1004" s="7" t="inlineStr">
        <is>
          <t>Online</t>
        </is>
      </c>
      <c r="J1004" s="7" t="inlineStr">
        <is>
          <t>Corporate</t>
        </is>
      </c>
      <c r="K1004" s="8" t="n">
        <v>4</v>
      </c>
      <c r="L1004" s="9" t="n">
        <v>54.99</v>
      </c>
      <c r="M1004" s="10" t="n">
        <v>0</v>
      </c>
      <c r="N1004" s="9" t="n">
        <v>31.89</v>
      </c>
      <c r="O1004" s="9" t="n">
        <v>219.96</v>
      </c>
      <c r="P1004" s="9" t="n">
        <v>0</v>
      </c>
      <c r="Q1004" s="9" t="n">
        <v>219.96</v>
      </c>
      <c r="R1004" s="9" t="n">
        <v>127.56</v>
      </c>
      <c r="S1004" s="9" t="n">
        <v>92.40000000000001</v>
      </c>
      <c r="T1004" s="10" t="n">
        <v>0.4201</v>
      </c>
    </row>
    <row r="1005">
      <c r="A1005" s="7" t="inlineStr">
        <is>
          <t>ORD-2024-1354</t>
        </is>
      </c>
      <c r="B1005" s="7" t="inlineStr">
        <is>
          <t>2024-12-03</t>
        </is>
      </c>
      <c r="C1005" s="7" t="inlineStr">
        <is>
          <t>TEC-TAB-004</t>
        </is>
      </c>
      <c r="D1005" s="7" t="inlineStr">
        <is>
          <t>VisionPad Lite 8.5"</t>
        </is>
      </c>
      <c r="E1005" s="7" t="inlineStr">
        <is>
          <t>Technology</t>
        </is>
      </c>
      <c r="F1005" s="7" t="inlineStr">
        <is>
          <t>Phones &amp; Tablets</t>
        </is>
      </c>
      <c r="G1005" s="7" t="inlineStr">
        <is>
          <t>East</t>
        </is>
      </c>
      <c r="H1005" s="7" t="inlineStr">
        <is>
          <t>Massachusetts</t>
        </is>
      </c>
      <c r="I1005" s="7" t="inlineStr">
        <is>
          <t>Direct Sales</t>
        </is>
      </c>
      <c r="J1005" s="7" t="inlineStr">
        <is>
          <t>Consumer</t>
        </is>
      </c>
      <c r="K1005" s="8" t="n">
        <v>4</v>
      </c>
      <c r="L1005" s="9" t="n">
        <v>299.99</v>
      </c>
      <c r="M1005" s="10" t="n">
        <v>0.05</v>
      </c>
      <c r="N1005" s="9" t="n">
        <v>245.99</v>
      </c>
      <c r="O1005" s="9" t="n">
        <v>1199.96</v>
      </c>
      <c r="P1005" s="9" t="n">
        <v>60</v>
      </c>
      <c r="Q1005" s="9" t="n">
        <v>1139.96</v>
      </c>
      <c r="R1005" s="9" t="n">
        <v>983.96</v>
      </c>
      <c r="S1005" s="9" t="n">
        <v>156</v>
      </c>
      <c r="T1005" s="10" t="n">
        <v>0.1368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47" customWidth="1" min="4" max="4"/>
    <col width="18" customWidth="1" min="5" max="5"/>
    <col width="23" customWidth="1" min="6" max="6"/>
    <col width="13" customWidth="1" min="7" max="7"/>
    <col width="17" customWidth="1" min="8" max="8"/>
    <col width="17" customWidth="1" min="9" max="9"/>
    <col width="19" customWidth="1" min="10" max="10"/>
    <col width="13" customWidth="1" min="11" max="11"/>
    <col width="13" customWidth="1" min="12" max="12"/>
    <col width="22" customWidth="1" min="13" max="13"/>
    <col width="13" customWidth="1" min="14" max="14"/>
    <col width="14" customWidth="1" min="15" max="15"/>
    <col width="18" customWidth="1" min="16" max="16"/>
    <col width="13" customWidth="1" min="17" max="17"/>
    <col width="13" customWidth="1" min="18" max="18"/>
    <col width="13" customWidth="1" min="19" max="19"/>
    <col width="23" customWidth="1" min="20" max="20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Product ID</t>
        </is>
      </c>
      <c r="D1" s="6" t="inlineStr">
        <is>
          <t>Product Name</t>
        </is>
      </c>
      <c r="E1" s="6" t="inlineStr">
        <is>
          <t>Category</t>
        </is>
      </c>
      <c r="F1" s="6" t="inlineStr">
        <is>
          <t>Subcategory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Sales Channel</t>
        </is>
      </c>
      <c r="J1" s="6" t="inlineStr">
        <is>
          <t>Customer Segment</t>
        </is>
      </c>
      <c r="K1" s="6" t="inlineStr">
        <is>
          <t>Quantity</t>
        </is>
      </c>
      <c r="L1" s="6" t="inlineStr">
        <is>
          <t>Unit Price</t>
        </is>
      </c>
      <c r="M1" s="6" t="inlineStr">
        <is>
          <t>Discount Percentage</t>
        </is>
      </c>
      <c r="N1" s="6" t="inlineStr">
        <is>
          <t>Unit Cost</t>
        </is>
      </c>
      <c r="O1" s="6" t="inlineStr">
        <is>
          <t>Gross Sales</t>
        </is>
      </c>
      <c r="P1" s="6" t="inlineStr">
        <is>
          <t>Discount Amount</t>
        </is>
      </c>
      <c r="Q1" s="6" t="inlineStr">
        <is>
          <t>Net Sales</t>
        </is>
      </c>
      <c r="R1" s="6" t="inlineStr">
        <is>
          <t>Total Cost</t>
        </is>
      </c>
      <c r="S1" s="6" t="inlineStr">
        <is>
          <t>Profit</t>
        </is>
      </c>
      <c r="T1" s="6" t="inlineStr">
        <is>
          <t>Profit Margin</t>
        </is>
      </c>
    </row>
    <row r="2">
      <c r="A2" s="11" t="inlineStr">
        <is>
          <t>ORD-2024-1053</t>
        </is>
      </c>
      <c r="B2" s="11" t="inlineStr">
        <is>
          <t>2024-01-02</t>
        </is>
      </c>
      <c r="C2" s="11" t="inlineStr">
        <is>
          <t>FUR-DSK-003</t>
        </is>
      </c>
      <c r="D2" s="7" t="inlineStr">
        <is>
          <t>ApexMotor Dual-Motor Standing Desk</t>
        </is>
      </c>
      <c r="E2" s="7" t="inlineStr">
        <is>
          <t>Furniture</t>
        </is>
      </c>
      <c r="F2" s="7" t="inlineStr">
        <is>
          <t>Desks &amp; Workstations</t>
        </is>
      </c>
      <c r="G2" s="7" t="inlineStr">
        <is>
          <t>South</t>
        </is>
      </c>
      <c r="H2" s="7" t="inlineStr">
        <is>
          <t>Virginia</t>
        </is>
      </c>
      <c r="I2" s="7" t="inlineStr">
        <is>
          <t>Retail Partner</t>
        </is>
      </c>
      <c r="J2" s="7" t="inlineStr">
        <is>
          <t>Corporate</t>
        </is>
      </c>
      <c r="K2" s="12" t="n">
        <v>8</v>
      </c>
      <c r="L2" s="9" t="n">
        <v>549.99</v>
      </c>
      <c r="M2" s="10" t="n">
        <v>0</v>
      </c>
      <c r="N2" s="9" t="n">
        <v>439.99</v>
      </c>
      <c r="O2" s="9">
        <f>K2*L2</f>
        <v/>
      </c>
      <c r="P2" s="9">
        <f>O2*M2</f>
        <v/>
      </c>
      <c r="Q2" s="9">
        <f>O2-P2</f>
        <v/>
      </c>
      <c r="R2" s="9">
        <f>K2*N2</f>
        <v/>
      </c>
      <c r="S2" s="9">
        <f>Q2-R2</f>
        <v/>
      </c>
      <c r="T2" s="10">
        <f>IFERROR(S2/Q2, 0)</f>
        <v/>
      </c>
    </row>
    <row r="3">
      <c r="A3" s="11" t="inlineStr">
        <is>
          <t>ORD-2024-1381</t>
        </is>
      </c>
      <c r="B3" s="11" t="inlineStr">
        <is>
          <t>2024-01-03</t>
        </is>
      </c>
      <c r="C3" s="11" t="inlineStr">
        <is>
          <t>TEC-ACC-008</t>
        </is>
      </c>
      <c r="D3" s="7" t="inlineStr">
        <is>
          <t>Precision Laser Bluetooth Mouse</t>
        </is>
      </c>
      <c r="E3" s="7" t="inlineStr">
        <is>
          <t>Technology</t>
        </is>
      </c>
      <c r="F3" s="7" t="inlineStr">
        <is>
          <t>Audio &amp; Accessories</t>
        </is>
      </c>
      <c r="G3" s="7" t="inlineStr">
        <is>
          <t>Central</t>
        </is>
      </c>
      <c r="H3" s="7" t="inlineStr">
        <is>
          <t>Ohio</t>
        </is>
      </c>
      <c r="I3" s="7" t="inlineStr">
        <is>
          <t>Direct Sales</t>
        </is>
      </c>
      <c r="J3" s="7" t="inlineStr">
        <is>
          <t>Consumer</t>
        </is>
      </c>
      <c r="K3" s="12" t="n">
        <v>1</v>
      </c>
      <c r="L3" s="9" t="n">
        <v>49.99</v>
      </c>
      <c r="M3" s="10" t="n">
        <v>0</v>
      </c>
      <c r="N3" s="9" t="n">
        <v>27.49</v>
      </c>
      <c r="O3" s="9">
        <f>K3*L3</f>
        <v/>
      </c>
      <c r="P3" s="9">
        <f>O3*M3</f>
        <v/>
      </c>
      <c r="Q3" s="9">
        <f>O3-P3</f>
        <v/>
      </c>
      <c r="R3" s="9">
        <f>K3*N3</f>
        <v/>
      </c>
      <c r="S3" s="9">
        <f>Q3-R3</f>
        <v/>
      </c>
      <c r="T3" s="10">
        <f>IFERROR(S3/Q3, 0)</f>
        <v/>
      </c>
    </row>
    <row r="4">
      <c r="A4" s="11" t="inlineStr">
        <is>
          <t>ORD-2024-1381</t>
        </is>
      </c>
      <c r="B4" s="11" t="inlineStr">
        <is>
          <t>2024-01-03</t>
        </is>
      </c>
      <c r="C4" s="11" t="inlineStr">
        <is>
          <t>FUR-DSK-003</t>
        </is>
      </c>
      <c r="D4" s="7" t="inlineStr">
        <is>
          <t>ApexMotor Dual-Motor Standing Desk</t>
        </is>
      </c>
      <c r="E4" s="7" t="inlineStr">
        <is>
          <t>Furniture</t>
        </is>
      </c>
      <c r="F4" s="7" t="inlineStr">
        <is>
          <t>Desks &amp; Workstations</t>
        </is>
      </c>
      <c r="G4" s="7" t="inlineStr">
        <is>
          <t>Central</t>
        </is>
      </c>
      <c r="H4" s="7" t="inlineStr">
        <is>
          <t>Ohio</t>
        </is>
      </c>
      <c r="I4" s="7" t="inlineStr">
        <is>
          <t>Direct Sales</t>
        </is>
      </c>
      <c r="J4" s="7" t="inlineStr">
        <is>
          <t>Consumer</t>
        </is>
      </c>
      <c r="K4" s="12" t="n">
        <v>1</v>
      </c>
      <c r="L4" s="9" t="n">
        <v>549.99</v>
      </c>
      <c r="M4" s="10" t="n">
        <v>0.15</v>
      </c>
      <c r="N4" s="9" t="n">
        <v>439.99</v>
      </c>
      <c r="O4" s="9">
        <f>K4*L4</f>
        <v/>
      </c>
      <c r="P4" s="9">
        <f>O4*M4</f>
        <v/>
      </c>
      <c r="Q4" s="9">
        <f>O4-P4</f>
        <v/>
      </c>
      <c r="R4" s="9">
        <f>K4*N4</f>
        <v/>
      </c>
      <c r="S4" s="9">
        <f>Q4-R4</f>
        <v/>
      </c>
      <c r="T4" s="10">
        <f>IFERROR(S4/Q4, 0)</f>
        <v/>
      </c>
    </row>
    <row r="5">
      <c r="A5" s="11" t="inlineStr">
        <is>
          <t>ORD-2024-1691</t>
        </is>
      </c>
      <c r="B5" s="11" t="inlineStr">
        <is>
          <t>2024-01-03</t>
        </is>
      </c>
      <c r="C5" s="11" t="inlineStr">
        <is>
          <t>FUR-BOK-005</t>
        </is>
      </c>
      <c r="D5" s="7" t="inlineStr">
        <is>
          <t>Modular 5-Tier Steel Bookcase</t>
        </is>
      </c>
      <c r="E5" s="7" t="inlineStr">
        <is>
          <t>Furniture</t>
        </is>
      </c>
      <c r="F5" s="7" t="inlineStr">
        <is>
          <t>Bookcases</t>
        </is>
      </c>
      <c r="G5" s="7" t="inlineStr">
        <is>
          <t>South</t>
        </is>
      </c>
      <c r="H5" s="7" t="inlineStr">
        <is>
          <t>Florida</t>
        </is>
      </c>
      <c r="I5" s="7" t="inlineStr">
        <is>
          <t>Retail Partner</t>
        </is>
      </c>
      <c r="J5" s="7" t="inlineStr">
        <is>
          <t>Consumer</t>
        </is>
      </c>
      <c r="K5" s="12" t="n">
        <v>3</v>
      </c>
      <c r="L5" s="9" t="n">
        <v>189.99</v>
      </c>
      <c r="M5" s="10" t="n">
        <v>0</v>
      </c>
      <c r="N5" s="9" t="n">
        <v>142.49</v>
      </c>
      <c r="O5" s="9">
        <f>K5*L5</f>
        <v/>
      </c>
      <c r="P5" s="9">
        <f>O5*M5</f>
        <v/>
      </c>
      <c r="Q5" s="9">
        <f>O5-P5</f>
        <v/>
      </c>
      <c r="R5" s="9">
        <f>K5*N5</f>
        <v/>
      </c>
      <c r="S5" s="9">
        <f>Q5-R5</f>
        <v/>
      </c>
      <c r="T5" s="10">
        <f>IFERROR(S5/Q5, 0)</f>
        <v/>
      </c>
    </row>
    <row r="6">
      <c r="A6" s="11" t="inlineStr">
        <is>
          <t>ORD-2024-1095</t>
        </is>
      </c>
      <c r="B6" s="11" t="inlineStr">
        <is>
          <t>2024-01-06</t>
        </is>
      </c>
      <c r="C6" s="11" t="inlineStr">
        <is>
          <t>TEC-LAP-002</t>
        </is>
      </c>
      <c r="D6" s="7" t="inlineStr">
        <is>
          <t>Apex Gaming Laptop 17"</t>
        </is>
      </c>
      <c r="E6" s="7" t="inlineStr">
        <is>
          <t>Technology</t>
        </is>
      </c>
      <c r="F6" s="7" t="inlineStr">
        <is>
          <t>Laptops</t>
        </is>
      </c>
      <c r="G6" s="7" t="inlineStr">
        <is>
          <t>Central</t>
        </is>
      </c>
      <c r="H6" s="7" t="inlineStr">
        <is>
          <t>Ohio</t>
        </is>
      </c>
      <c r="I6" s="7" t="inlineStr">
        <is>
          <t>Direct Sales</t>
        </is>
      </c>
      <c r="J6" s="7" t="inlineStr">
        <is>
          <t>Consumer</t>
        </is>
      </c>
      <c r="K6" s="12" t="n">
        <v>1</v>
      </c>
      <c r="L6" s="9" t="n">
        <v>1499.99</v>
      </c>
      <c r="M6" s="10" t="n">
        <v>0.25</v>
      </c>
      <c r="N6" s="9" t="n">
        <v>1259.99</v>
      </c>
      <c r="O6" s="9">
        <f>K6*L6</f>
        <v/>
      </c>
      <c r="P6" s="9">
        <f>O6*M6</f>
        <v/>
      </c>
      <c r="Q6" s="9">
        <f>O6-P6</f>
        <v/>
      </c>
      <c r="R6" s="9">
        <f>K6*N6</f>
        <v/>
      </c>
      <c r="S6" s="9">
        <f>Q6-R6</f>
        <v/>
      </c>
      <c r="T6" s="10">
        <f>IFERROR(S6/Q6, 0)</f>
        <v/>
      </c>
    </row>
    <row r="7">
      <c r="A7" s="11" t="inlineStr">
        <is>
          <t>ORD-2024-1095</t>
        </is>
      </c>
      <c r="B7" s="11" t="inlineStr">
        <is>
          <t>2024-01-06</t>
        </is>
      </c>
      <c r="C7" s="11" t="inlineStr">
        <is>
          <t>OFF-ART-006</t>
        </is>
      </c>
      <c r="D7" s="7" t="inlineStr">
        <is>
          <t>Professional Presentation Dry Erase Board</t>
        </is>
      </c>
      <c r="E7" s="7" t="inlineStr">
        <is>
          <t>Office Supplies</t>
        </is>
      </c>
      <c r="F7" s="7" t="inlineStr">
        <is>
          <t>Presentation &amp; Art</t>
        </is>
      </c>
      <c r="G7" s="7" t="inlineStr">
        <is>
          <t>Central</t>
        </is>
      </c>
      <c r="H7" s="7" t="inlineStr">
        <is>
          <t>Ohio</t>
        </is>
      </c>
      <c r="I7" s="7" t="inlineStr">
        <is>
          <t>Direct Sales</t>
        </is>
      </c>
      <c r="J7" s="7" t="inlineStr">
        <is>
          <t>Consumer</t>
        </is>
      </c>
      <c r="K7" s="12" t="n">
        <v>4</v>
      </c>
      <c r="L7" s="9" t="n">
        <v>89.98999999999999</v>
      </c>
      <c r="M7" s="10" t="n">
        <v>0</v>
      </c>
      <c r="N7" s="9" t="n">
        <v>53.99</v>
      </c>
      <c r="O7" s="9">
        <f>K7*L7</f>
        <v/>
      </c>
      <c r="P7" s="9">
        <f>O7*M7</f>
        <v/>
      </c>
      <c r="Q7" s="9">
        <f>O7-P7</f>
        <v/>
      </c>
      <c r="R7" s="9">
        <f>K7*N7</f>
        <v/>
      </c>
      <c r="S7" s="9">
        <f>Q7-R7</f>
        <v/>
      </c>
      <c r="T7" s="10">
        <f>IFERROR(S7/Q7, 0)</f>
        <v/>
      </c>
    </row>
    <row r="8">
      <c r="A8" s="11" t="inlineStr">
        <is>
          <t>ORD-2024-1055</t>
        </is>
      </c>
      <c r="B8" s="11" t="inlineStr">
        <is>
          <t>2024-01-07</t>
        </is>
      </c>
      <c r="C8" s="11" t="inlineStr">
        <is>
          <t>TEC-ACC-005</t>
        </is>
      </c>
      <c r="D8" s="7" t="inlineStr">
        <is>
          <t>UltraWireless Noise-Canceling Headset</t>
        </is>
      </c>
      <c r="E8" s="7" t="inlineStr">
        <is>
          <t>Technology</t>
        </is>
      </c>
      <c r="F8" s="7" t="inlineStr">
        <is>
          <t>Audio &amp; Accessories</t>
        </is>
      </c>
      <c r="G8" s="7" t="inlineStr">
        <is>
          <t>East</t>
        </is>
      </c>
      <c r="H8" s="7" t="inlineStr">
        <is>
          <t>New Jersey</t>
        </is>
      </c>
      <c r="I8" s="7" t="inlineStr">
        <is>
          <t>Direct Sales</t>
        </is>
      </c>
      <c r="J8" s="7" t="inlineStr">
        <is>
          <t>Corporate</t>
        </is>
      </c>
      <c r="K8" s="12" t="n">
        <v>5</v>
      </c>
      <c r="L8" s="9" t="n">
        <v>179.99</v>
      </c>
      <c r="M8" s="10" t="n">
        <v>0.05</v>
      </c>
      <c r="N8" s="9" t="n">
        <v>111.59</v>
      </c>
      <c r="O8" s="9">
        <f>K8*L8</f>
        <v/>
      </c>
      <c r="P8" s="9">
        <f>O8*M8</f>
        <v/>
      </c>
      <c r="Q8" s="9">
        <f>O8-P8</f>
        <v/>
      </c>
      <c r="R8" s="9">
        <f>K8*N8</f>
        <v/>
      </c>
      <c r="S8" s="9">
        <f>Q8-R8</f>
        <v/>
      </c>
      <c r="T8" s="10">
        <f>IFERROR(S8/Q8, 0)</f>
        <v/>
      </c>
    </row>
    <row r="9">
      <c r="A9" s="11" t="inlineStr">
        <is>
          <t>ORD-2024-1055</t>
        </is>
      </c>
      <c r="B9" s="11" t="inlineStr">
        <is>
          <t>2024-01-07</t>
        </is>
      </c>
      <c r="C9" s="11" t="inlineStr">
        <is>
          <t>TEC-ACC-006</t>
        </is>
      </c>
      <c r="D9" s="7" t="inlineStr">
        <is>
          <t>MultiPort Thunderbolt 4 Dock</t>
        </is>
      </c>
      <c r="E9" s="7" t="inlineStr">
        <is>
          <t>Technology</t>
        </is>
      </c>
      <c r="F9" s="7" t="inlineStr">
        <is>
          <t>Audio &amp; Accessories</t>
        </is>
      </c>
      <c r="G9" s="7" t="inlineStr">
        <is>
          <t>East</t>
        </is>
      </c>
      <c r="H9" s="7" t="inlineStr">
        <is>
          <t>New Jersey</t>
        </is>
      </c>
      <c r="I9" s="7" t="inlineStr">
        <is>
          <t>Direct Sales</t>
        </is>
      </c>
      <c r="J9" s="7" t="inlineStr">
        <is>
          <t>Corporate</t>
        </is>
      </c>
      <c r="K9" s="12" t="n">
        <v>4</v>
      </c>
      <c r="L9" s="9" t="n">
        <v>149.99</v>
      </c>
      <c r="M9" s="10" t="n">
        <v>0</v>
      </c>
      <c r="N9" s="9" t="n">
        <v>98.98999999999999</v>
      </c>
      <c r="O9" s="9">
        <f>K9*L9</f>
        <v/>
      </c>
      <c r="P9" s="9">
        <f>O9*M9</f>
        <v/>
      </c>
      <c r="Q9" s="9">
        <f>O9-P9</f>
        <v/>
      </c>
      <c r="R9" s="9">
        <f>K9*N9</f>
        <v/>
      </c>
      <c r="S9" s="9">
        <f>Q9-R9</f>
        <v/>
      </c>
      <c r="T9" s="10">
        <f>IFERROR(S9/Q9, 0)</f>
        <v/>
      </c>
    </row>
    <row r="10">
      <c r="A10" s="11" t="inlineStr">
        <is>
          <t>ORD-2024-1275</t>
        </is>
      </c>
      <c r="B10" s="11" t="inlineStr">
        <is>
          <t>2024-01-07</t>
        </is>
      </c>
      <c r="C10" s="11" t="inlineStr">
        <is>
          <t>OFF-STR-001</t>
        </is>
      </c>
      <c r="D10" s="7" t="inlineStr">
        <is>
          <t>SteelLock 3-Drawer File Cabinet</t>
        </is>
      </c>
      <c r="E10" s="7" t="inlineStr">
        <is>
          <t>Office Supplies</t>
        </is>
      </c>
      <c r="F10" s="7" t="inlineStr">
        <is>
          <t>Storage &amp; Organizers</t>
        </is>
      </c>
      <c r="G10" s="7" t="inlineStr">
        <is>
          <t>West</t>
        </is>
      </c>
      <c r="H10" s="7" t="inlineStr">
        <is>
          <t>Colorado</t>
        </is>
      </c>
      <c r="I10" s="7" t="inlineStr">
        <is>
          <t>Wholesale</t>
        </is>
      </c>
      <c r="J10" s="7" t="inlineStr">
        <is>
          <t>Home Office</t>
        </is>
      </c>
      <c r="K10" s="12" t="n">
        <v>8</v>
      </c>
      <c r="L10" s="9" t="n">
        <v>169.99</v>
      </c>
      <c r="M10" s="10" t="n">
        <v>0.15</v>
      </c>
      <c r="N10" s="9" t="n">
        <v>115.59</v>
      </c>
      <c r="O10" s="9">
        <f>K10*L10</f>
        <v/>
      </c>
      <c r="P10" s="9">
        <f>O10*M10</f>
        <v/>
      </c>
      <c r="Q10" s="9">
        <f>O10-P10</f>
        <v/>
      </c>
      <c r="R10" s="9">
        <f>K10*N10</f>
        <v/>
      </c>
      <c r="S10" s="9">
        <f>Q10-R10</f>
        <v/>
      </c>
      <c r="T10" s="10">
        <f>IFERROR(S10/Q10, 0)</f>
        <v/>
      </c>
    </row>
    <row r="11">
      <c r="A11" s="11" t="inlineStr">
        <is>
          <t>ORD-2024-1275</t>
        </is>
      </c>
      <c r="B11" s="11" t="inlineStr">
        <is>
          <t>2024-01-07</t>
        </is>
      </c>
      <c r="C11" s="11" t="inlineStr">
        <is>
          <t>FUR-DSK-004</t>
        </is>
      </c>
      <c r="D11" s="7" t="inlineStr">
        <is>
          <t>Metro Compact Corner Workstation</t>
        </is>
      </c>
      <c r="E11" s="7" t="inlineStr">
        <is>
          <t>Furniture</t>
        </is>
      </c>
      <c r="F11" s="7" t="inlineStr">
        <is>
          <t>Desks &amp; Workstations</t>
        </is>
      </c>
      <c r="G11" s="7" t="inlineStr">
        <is>
          <t>West</t>
        </is>
      </c>
      <c r="H11" s="7" t="inlineStr">
        <is>
          <t>Colorado</t>
        </is>
      </c>
      <c r="I11" s="7" t="inlineStr">
        <is>
          <t>Wholesale</t>
        </is>
      </c>
      <c r="J11" s="7" t="inlineStr">
        <is>
          <t>Home Office</t>
        </is>
      </c>
      <c r="K11" s="12" t="n">
        <v>6</v>
      </c>
      <c r="L11" s="9" t="n">
        <v>329.99</v>
      </c>
      <c r="M11" s="10" t="n">
        <v>0.1</v>
      </c>
      <c r="N11" s="9" t="n">
        <v>250.79</v>
      </c>
      <c r="O11" s="9">
        <f>K11*L11</f>
        <v/>
      </c>
      <c r="P11" s="9">
        <f>O11*M11</f>
        <v/>
      </c>
      <c r="Q11" s="9">
        <f>O11-P11</f>
        <v/>
      </c>
      <c r="R11" s="9">
        <f>K11*N11</f>
        <v/>
      </c>
      <c r="S11" s="9">
        <f>Q11-R11</f>
        <v/>
      </c>
      <c r="T11" s="10">
        <f>IFERROR(S11/Q11, 0)</f>
        <v/>
      </c>
    </row>
    <row r="12">
      <c r="A12" s="11" t="inlineStr">
        <is>
          <t>ORD-2024-1275</t>
        </is>
      </c>
      <c r="B12" s="11" t="inlineStr">
        <is>
          <t>2024-01-07</t>
        </is>
      </c>
      <c r="C12" s="11" t="inlineStr">
        <is>
          <t>OFF-DSK-008</t>
        </is>
      </c>
      <c r="D12" s="7" t="inlineStr">
        <is>
          <t>Steel Desktop Mesh Organizer Caddy</t>
        </is>
      </c>
      <c r="E12" s="7" t="inlineStr">
        <is>
          <t>Office Supplies</t>
        </is>
      </c>
      <c r="F12" s="7" t="inlineStr">
        <is>
          <t>Desk Supplies</t>
        </is>
      </c>
      <c r="G12" s="7" t="inlineStr">
        <is>
          <t>West</t>
        </is>
      </c>
      <c r="H12" s="7" t="inlineStr">
        <is>
          <t>Colorado</t>
        </is>
      </c>
      <c r="I12" s="7" t="inlineStr">
        <is>
          <t>Wholesale</t>
        </is>
      </c>
      <c r="J12" s="7" t="inlineStr">
        <is>
          <t>Home Office</t>
        </is>
      </c>
      <c r="K12" s="12" t="n">
        <v>10</v>
      </c>
      <c r="L12" s="9" t="n">
        <v>18.99</v>
      </c>
      <c r="M12" s="10" t="n">
        <v>0.15</v>
      </c>
      <c r="N12" s="9" t="n">
        <v>8.550000000000001</v>
      </c>
      <c r="O12" s="9">
        <f>K12*L12</f>
        <v/>
      </c>
      <c r="P12" s="9">
        <f>O12*M12</f>
        <v/>
      </c>
      <c r="Q12" s="9">
        <f>O12-P12</f>
        <v/>
      </c>
      <c r="R12" s="9">
        <f>K12*N12</f>
        <v/>
      </c>
      <c r="S12" s="9">
        <f>Q12-R12</f>
        <v/>
      </c>
      <c r="T12" s="10">
        <f>IFERROR(S12/Q12, 0)</f>
        <v/>
      </c>
    </row>
    <row r="13">
      <c r="A13" s="11" t="inlineStr">
        <is>
          <t>ORD-2024-1570</t>
        </is>
      </c>
      <c r="B13" s="11" t="inlineStr">
        <is>
          <t>2024-01-07</t>
        </is>
      </c>
      <c r="C13" s="11" t="inlineStr">
        <is>
          <t>TEC-ACC-008</t>
        </is>
      </c>
      <c r="D13" s="7" t="inlineStr">
        <is>
          <t>Precision Laser Bluetooth Mouse</t>
        </is>
      </c>
      <c r="E13" s="7" t="inlineStr">
        <is>
          <t>Technology</t>
        </is>
      </c>
      <c r="F13" s="7" t="inlineStr">
        <is>
          <t>Audio &amp; Accessories</t>
        </is>
      </c>
      <c r="G13" s="7" t="inlineStr">
        <is>
          <t>South</t>
        </is>
      </c>
      <c r="H13" s="7" t="inlineStr">
        <is>
          <t>North Carolina</t>
        </is>
      </c>
      <c r="I13" s="7" t="inlineStr">
        <is>
          <t>Retail Partner</t>
        </is>
      </c>
      <c r="J13" s="7" t="inlineStr">
        <is>
          <t>Corporate</t>
        </is>
      </c>
      <c r="K13" s="12" t="n">
        <v>5</v>
      </c>
      <c r="L13" s="9" t="n">
        <v>49.99</v>
      </c>
      <c r="M13" s="10" t="n">
        <v>0</v>
      </c>
      <c r="N13" s="9" t="n">
        <v>27.49</v>
      </c>
      <c r="O13" s="9">
        <f>K13*L13</f>
        <v/>
      </c>
      <c r="P13" s="9">
        <f>O13*M13</f>
        <v/>
      </c>
      <c r="Q13" s="9">
        <f>O13-P13</f>
        <v/>
      </c>
      <c r="R13" s="9">
        <f>K13*N13</f>
        <v/>
      </c>
      <c r="S13" s="9">
        <f>Q13-R13</f>
        <v/>
      </c>
      <c r="T13" s="10">
        <f>IFERROR(S13/Q13, 0)</f>
        <v/>
      </c>
    </row>
    <row r="14">
      <c r="A14" s="11" t="inlineStr">
        <is>
          <t>ORD-2024-1570</t>
        </is>
      </c>
      <c r="B14" s="11" t="inlineStr">
        <is>
          <t>2024-01-07</t>
        </is>
      </c>
      <c r="C14" s="11" t="inlineStr">
        <is>
          <t>OFF-BIN-005</t>
        </is>
      </c>
      <c r="D14" s="7" t="inlineStr">
        <is>
          <t>Heavy-Duty D-Ring Presentation Binder (6-Pk)</t>
        </is>
      </c>
      <c r="E14" s="7" t="inlineStr">
        <is>
          <t>Office Supplies</t>
        </is>
      </c>
      <c r="F14" s="7" t="inlineStr">
        <is>
          <t>Binders &amp; Fasteners</t>
        </is>
      </c>
      <c r="G14" s="7" t="inlineStr">
        <is>
          <t>South</t>
        </is>
      </c>
      <c r="H14" s="7" t="inlineStr">
        <is>
          <t>North Carolina</t>
        </is>
      </c>
      <c r="I14" s="7" t="inlineStr">
        <is>
          <t>Retail Partner</t>
        </is>
      </c>
      <c r="J14" s="7" t="inlineStr">
        <is>
          <t>Corporate</t>
        </is>
      </c>
      <c r="K14" s="12" t="n">
        <v>8</v>
      </c>
      <c r="L14" s="9" t="n">
        <v>27.99</v>
      </c>
      <c r="M14" s="10" t="n">
        <v>0</v>
      </c>
      <c r="N14" s="9" t="n">
        <v>13.99</v>
      </c>
      <c r="O14" s="9">
        <f>K14*L14</f>
        <v/>
      </c>
      <c r="P14" s="9">
        <f>O14*M14</f>
        <v/>
      </c>
      <c r="Q14" s="9">
        <f>O14-P14</f>
        <v/>
      </c>
      <c r="R14" s="9">
        <f>K14*N14</f>
        <v/>
      </c>
      <c r="S14" s="9">
        <f>Q14-R14</f>
        <v/>
      </c>
      <c r="T14" s="10">
        <f>IFERROR(S14/Q14, 0)</f>
        <v/>
      </c>
    </row>
    <row r="15">
      <c r="A15" s="11" t="inlineStr">
        <is>
          <t>ORD-2024-1695</t>
        </is>
      </c>
      <c r="B15" s="11" t="inlineStr">
        <is>
          <t>2024-01-07</t>
        </is>
      </c>
      <c r="C15" s="11" t="inlineStr">
        <is>
          <t>TEC-ACC-007</t>
        </is>
      </c>
      <c r="D15" s="7" t="inlineStr">
        <is>
          <t>ErgoMechanical Wireless Keyboard</t>
        </is>
      </c>
      <c r="E15" s="7" t="inlineStr">
        <is>
          <t>Technology</t>
        </is>
      </c>
      <c r="F15" s="7" t="inlineStr">
        <is>
          <t>Audio &amp; Accessories</t>
        </is>
      </c>
      <c r="G15" s="7" t="inlineStr">
        <is>
          <t>East</t>
        </is>
      </c>
      <c r="H15" s="7" t="inlineStr">
        <is>
          <t>New Jersey</t>
        </is>
      </c>
      <c r="I15" s="7" t="inlineStr">
        <is>
          <t>Online</t>
        </is>
      </c>
      <c r="J15" s="7" t="inlineStr">
        <is>
          <t>Consumer</t>
        </is>
      </c>
      <c r="K15" s="12" t="n">
        <v>4</v>
      </c>
      <c r="L15" s="9" t="n">
        <v>109.99</v>
      </c>
      <c r="M15" s="10" t="n">
        <v>0.05</v>
      </c>
      <c r="N15" s="9" t="n">
        <v>65.98999999999999</v>
      </c>
      <c r="O15" s="9">
        <f>K15*L15</f>
        <v/>
      </c>
      <c r="P15" s="9">
        <f>O15*M15</f>
        <v/>
      </c>
      <c r="Q15" s="9">
        <f>O15-P15</f>
        <v/>
      </c>
      <c r="R15" s="9">
        <f>K15*N15</f>
        <v/>
      </c>
      <c r="S15" s="9">
        <f>Q15-R15</f>
        <v/>
      </c>
      <c r="T15" s="10">
        <f>IFERROR(S15/Q15, 0)</f>
        <v/>
      </c>
    </row>
    <row r="16">
      <c r="A16" s="11" t="inlineStr">
        <is>
          <t>ORD-2024-1695</t>
        </is>
      </c>
      <c r="B16" s="11" t="inlineStr">
        <is>
          <t>2024-01-07</t>
        </is>
      </c>
      <c r="C16" s="11" t="inlineStr">
        <is>
          <t>FUR-CHA-001</t>
        </is>
      </c>
      <c r="D16" s="7" t="inlineStr">
        <is>
          <t>ErgoFlex Executive Mesh Chair</t>
        </is>
      </c>
      <c r="E16" s="7" t="inlineStr">
        <is>
          <t>Furniture</t>
        </is>
      </c>
      <c r="F16" s="7" t="inlineStr">
        <is>
          <t>Chairs</t>
        </is>
      </c>
      <c r="G16" s="7" t="inlineStr">
        <is>
          <t>East</t>
        </is>
      </c>
      <c r="H16" s="7" t="inlineStr">
        <is>
          <t>New Jersey</t>
        </is>
      </c>
      <c r="I16" s="7" t="inlineStr">
        <is>
          <t>Online</t>
        </is>
      </c>
      <c r="J16" s="7" t="inlineStr">
        <is>
          <t>Consumer</t>
        </is>
      </c>
      <c r="K16" s="12" t="n">
        <v>3</v>
      </c>
      <c r="L16" s="9" t="n">
        <v>389.99</v>
      </c>
      <c r="M16" s="10" t="n">
        <v>0.15</v>
      </c>
      <c r="N16" s="9" t="n">
        <v>331.49</v>
      </c>
      <c r="O16" s="9">
        <f>K16*L16</f>
        <v/>
      </c>
      <c r="P16" s="9">
        <f>O16*M16</f>
        <v/>
      </c>
      <c r="Q16" s="9">
        <f>O16-P16</f>
        <v/>
      </c>
      <c r="R16" s="9">
        <f>K16*N16</f>
        <v/>
      </c>
      <c r="S16" s="9">
        <f>Q16-R16</f>
        <v/>
      </c>
      <c r="T16" s="10">
        <f>IFERROR(S16/Q16, 0)</f>
        <v/>
      </c>
    </row>
    <row r="17">
      <c r="A17" s="11" t="inlineStr">
        <is>
          <t>ORD-2024-1695</t>
        </is>
      </c>
      <c r="B17" s="11" t="inlineStr">
        <is>
          <t>2024-01-07</t>
        </is>
      </c>
      <c r="C17" s="11" t="inlineStr">
        <is>
          <t>FUR-CHA-002</t>
        </is>
      </c>
      <c r="D17" s="7" t="inlineStr">
        <is>
          <t>AeroTask Operator Task Chair</t>
        </is>
      </c>
      <c r="E17" s="7" t="inlineStr">
        <is>
          <t>Furniture</t>
        </is>
      </c>
      <c r="F17" s="7" t="inlineStr">
        <is>
          <t>Chairs</t>
        </is>
      </c>
      <c r="G17" s="7" t="inlineStr">
        <is>
          <t>East</t>
        </is>
      </c>
      <c r="H17" s="7" t="inlineStr">
        <is>
          <t>New Jersey</t>
        </is>
      </c>
      <c r="I17" s="7" t="inlineStr">
        <is>
          <t>Online</t>
        </is>
      </c>
      <c r="J17" s="7" t="inlineStr">
        <is>
          <t>Consumer</t>
        </is>
      </c>
      <c r="K17" s="12" t="n">
        <v>3</v>
      </c>
      <c r="L17" s="9" t="n">
        <v>219.99</v>
      </c>
      <c r="M17" s="10" t="n">
        <v>0</v>
      </c>
      <c r="N17" s="9" t="n">
        <v>171.59</v>
      </c>
      <c r="O17" s="9">
        <f>K17*L17</f>
        <v/>
      </c>
      <c r="P17" s="9">
        <f>O17*M17</f>
        <v/>
      </c>
      <c r="Q17" s="9">
        <f>O17-P17</f>
        <v/>
      </c>
      <c r="R17" s="9">
        <f>K17*N17</f>
        <v/>
      </c>
      <c r="S17" s="9">
        <f>Q17-R17</f>
        <v/>
      </c>
      <c r="T17" s="10">
        <f>IFERROR(S17/Q17, 0)</f>
        <v/>
      </c>
    </row>
    <row r="18">
      <c r="A18" s="11" t="inlineStr">
        <is>
          <t>ORD-2024-1604</t>
        </is>
      </c>
      <c r="B18" s="11" t="inlineStr">
        <is>
          <t>2024-01-08</t>
        </is>
      </c>
      <c r="C18" s="11" t="inlineStr">
        <is>
          <t>OFF-PAP-004</t>
        </is>
      </c>
      <c r="D18" s="7" t="inlineStr">
        <is>
          <t>EcoRecycled Copy Paper (5 Reams)</t>
        </is>
      </c>
      <c r="E18" s="7" t="inlineStr">
        <is>
          <t>Office Supplies</t>
        </is>
      </c>
      <c r="F18" s="7" t="inlineStr">
        <is>
          <t>Paper Products</t>
        </is>
      </c>
      <c r="G18" s="7" t="inlineStr">
        <is>
          <t>East</t>
        </is>
      </c>
      <c r="H18" s="7" t="inlineStr">
        <is>
          <t>Massachusetts</t>
        </is>
      </c>
      <c r="I18" s="7" t="inlineStr">
        <is>
          <t>Online</t>
        </is>
      </c>
      <c r="J18" s="7" t="inlineStr">
        <is>
          <t>Consumer</t>
        </is>
      </c>
      <c r="K18" s="12" t="n">
        <v>4</v>
      </c>
      <c r="L18" s="9" t="n">
        <v>32.99</v>
      </c>
      <c r="M18" s="10" t="n">
        <v>0.15</v>
      </c>
      <c r="N18" s="9" t="n">
        <v>19.79</v>
      </c>
      <c r="O18" s="9">
        <f>K18*L18</f>
        <v/>
      </c>
      <c r="P18" s="9">
        <f>O18*M18</f>
        <v/>
      </c>
      <c r="Q18" s="9">
        <f>O18-P18</f>
        <v/>
      </c>
      <c r="R18" s="9">
        <f>K18*N18</f>
        <v/>
      </c>
      <c r="S18" s="9">
        <f>Q18-R18</f>
        <v/>
      </c>
      <c r="T18" s="10">
        <f>IFERROR(S18/Q18, 0)</f>
        <v/>
      </c>
    </row>
    <row r="19">
      <c r="A19" s="11" t="inlineStr">
        <is>
          <t>ORD-2024-1638</t>
        </is>
      </c>
      <c r="B19" s="11" t="inlineStr">
        <is>
          <t>2024-01-08</t>
        </is>
      </c>
      <c r="C19" s="11" t="inlineStr">
        <is>
          <t>TEC-ACC-006</t>
        </is>
      </c>
      <c r="D19" s="7" t="inlineStr">
        <is>
          <t>MultiPort Thunderbolt 4 Dock</t>
        </is>
      </c>
      <c r="E19" s="7" t="inlineStr">
        <is>
          <t>Technology</t>
        </is>
      </c>
      <c r="F19" s="7" t="inlineStr">
        <is>
          <t>Audio &amp; Accessories</t>
        </is>
      </c>
      <c r="G19" s="7" t="inlineStr">
        <is>
          <t>South</t>
        </is>
      </c>
      <c r="H19" s="7" t="inlineStr">
        <is>
          <t>North Carolina</t>
        </is>
      </c>
      <c r="I19" s="7" t="inlineStr">
        <is>
          <t>Wholesale</t>
        </is>
      </c>
      <c r="J19" s="7" t="inlineStr">
        <is>
          <t>Consumer</t>
        </is>
      </c>
      <c r="K19" s="12" t="n">
        <v>15</v>
      </c>
      <c r="L19" s="9" t="n">
        <v>149.99</v>
      </c>
      <c r="M19" s="10" t="n">
        <v>0.15</v>
      </c>
      <c r="N19" s="9" t="n">
        <v>98.98999999999999</v>
      </c>
      <c r="O19" s="9">
        <f>K19*L19</f>
        <v/>
      </c>
      <c r="P19" s="9">
        <f>O19*M19</f>
        <v/>
      </c>
      <c r="Q19" s="9">
        <f>O19-P19</f>
        <v/>
      </c>
      <c r="R19" s="9">
        <f>K19*N19</f>
        <v/>
      </c>
      <c r="S19" s="9">
        <f>Q19-R19</f>
        <v/>
      </c>
      <c r="T19" s="10">
        <f>IFERROR(S19/Q19, 0)</f>
        <v/>
      </c>
    </row>
    <row r="20">
      <c r="A20" s="11" t="inlineStr">
        <is>
          <t>ORD-2024-1131</t>
        </is>
      </c>
      <c r="B20" s="11" t="inlineStr">
        <is>
          <t>2024-01-09</t>
        </is>
      </c>
      <c r="C20" s="11" t="inlineStr">
        <is>
          <t>OFF-STR-002</t>
        </is>
      </c>
      <c r="D20" s="7" t="inlineStr">
        <is>
          <t>Stackable Heavy-Duty Storage Bins (4-Pk)</t>
        </is>
      </c>
      <c r="E20" s="7" t="inlineStr">
        <is>
          <t>Office Supplies</t>
        </is>
      </c>
      <c r="F20" s="7" t="inlineStr">
        <is>
          <t>Storage &amp; Organizers</t>
        </is>
      </c>
      <c r="G20" s="7" t="inlineStr">
        <is>
          <t>Central</t>
        </is>
      </c>
      <c r="H20" s="7" t="inlineStr">
        <is>
          <t>Michigan</t>
        </is>
      </c>
      <c r="I20" s="7" t="inlineStr">
        <is>
          <t>Online</t>
        </is>
      </c>
      <c r="J20" s="7" t="inlineStr">
        <is>
          <t>Home Office</t>
        </is>
      </c>
      <c r="K20" s="12" t="n">
        <v>1</v>
      </c>
      <c r="L20" s="9" t="n">
        <v>44.99</v>
      </c>
      <c r="M20" s="10" t="n">
        <v>0</v>
      </c>
      <c r="N20" s="9" t="n">
        <v>24.74</v>
      </c>
      <c r="O20" s="9">
        <f>K20*L20</f>
        <v/>
      </c>
      <c r="P20" s="9">
        <f>O20*M20</f>
        <v/>
      </c>
      <c r="Q20" s="9">
        <f>O20-P20</f>
        <v/>
      </c>
      <c r="R20" s="9">
        <f>K20*N20</f>
        <v/>
      </c>
      <c r="S20" s="9">
        <f>Q20-R20</f>
        <v/>
      </c>
      <c r="T20" s="10">
        <f>IFERROR(S20/Q20, 0)</f>
        <v/>
      </c>
    </row>
    <row r="21">
      <c r="A21" s="11" t="inlineStr">
        <is>
          <t>ORD-2024-1481</t>
        </is>
      </c>
      <c r="B21" s="11" t="inlineStr">
        <is>
          <t>2024-01-11</t>
        </is>
      </c>
      <c r="C21" s="11" t="inlineStr">
        <is>
          <t>OFF-STR-001</t>
        </is>
      </c>
      <c r="D21" s="7" t="inlineStr">
        <is>
          <t>SteelLock 3-Drawer File Cabinet</t>
        </is>
      </c>
      <c r="E21" s="7" t="inlineStr">
        <is>
          <t>Office Supplies</t>
        </is>
      </c>
      <c r="F21" s="7" t="inlineStr">
        <is>
          <t>Storage &amp; Organizers</t>
        </is>
      </c>
      <c r="G21" s="7" t="inlineStr">
        <is>
          <t>South</t>
        </is>
      </c>
      <c r="H21" s="7" t="inlineStr">
        <is>
          <t>Georgia</t>
        </is>
      </c>
      <c r="I21" s="7" t="inlineStr">
        <is>
          <t>Online</t>
        </is>
      </c>
      <c r="J21" s="7" t="inlineStr">
        <is>
          <t>Corporate</t>
        </is>
      </c>
      <c r="K21" s="12" t="n">
        <v>6</v>
      </c>
      <c r="L21" s="9" t="n">
        <v>169.99</v>
      </c>
      <c r="M21" s="10" t="n">
        <v>0.05</v>
      </c>
      <c r="N21" s="9" t="n">
        <v>115.59</v>
      </c>
      <c r="O21" s="9">
        <f>K21*L21</f>
        <v/>
      </c>
      <c r="P21" s="9">
        <f>O21*M21</f>
        <v/>
      </c>
      <c r="Q21" s="9">
        <f>O21-P21</f>
        <v/>
      </c>
      <c r="R21" s="9">
        <f>K21*N21</f>
        <v/>
      </c>
      <c r="S21" s="9">
        <f>Q21-R21</f>
        <v/>
      </c>
      <c r="T21" s="10">
        <f>IFERROR(S21/Q21, 0)</f>
        <v/>
      </c>
    </row>
    <row r="22">
      <c r="A22" s="11" t="inlineStr">
        <is>
          <t>ORD-2024-1628</t>
        </is>
      </c>
      <c r="B22" s="11" t="inlineStr">
        <is>
          <t>2024-01-11</t>
        </is>
      </c>
      <c r="C22" s="11" t="inlineStr">
        <is>
          <t>FUR-CHA-001</t>
        </is>
      </c>
      <c r="D22" s="7" t="inlineStr">
        <is>
          <t>ErgoFlex Executive Mesh Chair</t>
        </is>
      </c>
      <c r="E22" s="7" t="inlineStr">
        <is>
          <t>Furniture</t>
        </is>
      </c>
      <c r="F22" s="7" t="inlineStr">
        <is>
          <t>Chairs</t>
        </is>
      </c>
      <c r="G22" s="7" t="inlineStr">
        <is>
          <t>East</t>
        </is>
      </c>
      <c r="H22" s="7" t="inlineStr">
        <is>
          <t>New Jersey</t>
        </is>
      </c>
      <c r="I22" s="7" t="inlineStr">
        <is>
          <t>Direct Sales</t>
        </is>
      </c>
      <c r="J22" s="7" t="inlineStr">
        <is>
          <t>Consumer</t>
        </is>
      </c>
      <c r="K22" s="12" t="n">
        <v>4</v>
      </c>
      <c r="L22" s="9" t="n">
        <v>389.99</v>
      </c>
      <c r="M22" s="10" t="n">
        <v>0.1</v>
      </c>
      <c r="N22" s="9" t="n">
        <v>331.49</v>
      </c>
      <c r="O22" s="9">
        <f>K22*L22</f>
        <v/>
      </c>
      <c r="P22" s="9">
        <f>O22*M22</f>
        <v/>
      </c>
      <c r="Q22" s="9">
        <f>O22-P22</f>
        <v/>
      </c>
      <c r="R22" s="9">
        <f>K22*N22</f>
        <v/>
      </c>
      <c r="S22" s="9">
        <f>Q22-R22</f>
        <v/>
      </c>
      <c r="T22" s="10">
        <f>IFERROR(S22/Q22, 0)</f>
        <v/>
      </c>
    </row>
    <row r="23">
      <c r="A23" s="11" t="inlineStr">
        <is>
          <t>ORD-2024-1660</t>
        </is>
      </c>
      <c r="B23" s="11" t="inlineStr">
        <is>
          <t>2024-01-11</t>
        </is>
      </c>
      <c r="C23" s="11" t="inlineStr">
        <is>
          <t>OFF-ART-006</t>
        </is>
      </c>
      <c r="D23" s="7" t="inlineStr">
        <is>
          <t>Professional Presentation Dry Erase Board</t>
        </is>
      </c>
      <c r="E23" s="7" t="inlineStr">
        <is>
          <t>Office Supplies</t>
        </is>
      </c>
      <c r="F23" s="7" t="inlineStr">
        <is>
          <t>Presentation &amp; Art</t>
        </is>
      </c>
      <c r="G23" s="7" t="inlineStr">
        <is>
          <t>West</t>
        </is>
      </c>
      <c r="H23" s="7" t="inlineStr">
        <is>
          <t>Colorado</t>
        </is>
      </c>
      <c r="I23" s="7" t="inlineStr">
        <is>
          <t>Direct Sales</t>
        </is>
      </c>
      <c r="J23" s="7" t="inlineStr">
        <is>
          <t>Corporate</t>
        </is>
      </c>
      <c r="K23" s="12" t="n">
        <v>5</v>
      </c>
      <c r="L23" s="9" t="n">
        <v>89.98999999999999</v>
      </c>
      <c r="M23" s="10" t="n">
        <v>0</v>
      </c>
      <c r="N23" s="9" t="n">
        <v>53.99</v>
      </c>
      <c r="O23" s="9">
        <f>K23*L23</f>
        <v/>
      </c>
      <c r="P23" s="9">
        <f>O23*M23</f>
        <v/>
      </c>
      <c r="Q23" s="9">
        <f>O23-P23</f>
        <v/>
      </c>
      <c r="R23" s="9">
        <f>K23*N23</f>
        <v/>
      </c>
      <c r="S23" s="9">
        <f>Q23-R23</f>
        <v/>
      </c>
      <c r="T23" s="10">
        <f>IFERROR(S23/Q23, 0)</f>
        <v/>
      </c>
    </row>
    <row r="24">
      <c r="A24" s="11" t="inlineStr">
        <is>
          <t>ORD-2024-1660</t>
        </is>
      </c>
      <c r="B24" s="11" t="inlineStr">
        <is>
          <t>2024-01-11</t>
        </is>
      </c>
      <c r="C24" s="11" t="inlineStr">
        <is>
          <t>OFF-BIN-005</t>
        </is>
      </c>
      <c r="D24" s="7" t="inlineStr">
        <is>
          <t>Heavy-Duty D-Ring Presentation Binder (6-Pk)</t>
        </is>
      </c>
      <c r="E24" s="7" t="inlineStr">
        <is>
          <t>Office Supplies</t>
        </is>
      </c>
      <c r="F24" s="7" t="inlineStr">
        <is>
          <t>Binders &amp; Fasteners</t>
        </is>
      </c>
      <c r="G24" s="7" t="inlineStr">
        <is>
          <t>West</t>
        </is>
      </c>
      <c r="H24" s="7" t="inlineStr">
        <is>
          <t>Colorado</t>
        </is>
      </c>
      <c r="I24" s="7" t="inlineStr">
        <is>
          <t>Direct Sales</t>
        </is>
      </c>
      <c r="J24" s="7" t="inlineStr">
        <is>
          <t>Corporate</t>
        </is>
      </c>
      <c r="K24" s="12" t="n">
        <v>2</v>
      </c>
      <c r="L24" s="9" t="n">
        <v>27.99</v>
      </c>
      <c r="M24" s="10" t="n">
        <v>0</v>
      </c>
      <c r="N24" s="9" t="n">
        <v>13.99</v>
      </c>
      <c r="O24" s="9">
        <f>K24*L24</f>
        <v/>
      </c>
      <c r="P24" s="9">
        <f>O24*M24</f>
        <v/>
      </c>
      <c r="Q24" s="9">
        <f>O24-P24</f>
        <v/>
      </c>
      <c r="R24" s="9">
        <f>K24*N24</f>
        <v/>
      </c>
      <c r="S24" s="9">
        <f>Q24-R24</f>
        <v/>
      </c>
      <c r="T24" s="10">
        <f>IFERROR(S24/Q24, 0)</f>
        <v/>
      </c>
    </row>
    <row r="25">
      <c r="A25" s="11" t="inlineStr">
        <is>
          <t>ORD-2024-1643</t>
        </is>
      </c>
      <c r="B25" s="11" t="inlineStr">
        <is>
          <t>2024-01-12</t>
        </is>
      </c>
      <c r="C25" s="11" t="inlineStr">
        <is>
          <t>OFF-STR-002</t>
        </is>
      </c>
      <c r="D25" s="7" t="inlineStr">
        <is>
          <t>Stackable Heavy-Duty Storage Bins (4-Pk)</t>
        </is>
      </c>
      <c r="E25" s="7" t="inlineStr">
        <is>
          <t>Office Supplies</t>
        </is>
      </c>
      <c r="F25" s="7" t="inlineStr">
        <is>
          <t>Storage &amp; Organizers</t>
        </is>
      </c>
      <c r="G25" s="7" t="inlineStr">
        <is>
          <t>Central</t>
        </is>
      </c>
      <c r="H25" s="7" t="inlineStr">
        <is>
          <t>Illinois</t>
        </is>
      </c>
      <c r="I25" s="7" t="inlineStr">
        <is>
          <t>Online</t>
        </is>
      </c>
      <c r="J25" s="7" t="inlineStr">
        <is>
          <t>Corporate</t>
        </is>
      </c>
      <c r="K25" s="12" t="n">
        <v>2</v>
      </c>
      <c r="L25" s="9" t="n">
        <v>44.99</v>
      </c>
      <c r="M25" s="10" t="n">
        <v>0</v>
      </c>
      <c r="N25" s="9" t="n">
        <v>24.74</v>
      </c>
      <c r="O25" s="9">
        <f>K25*L25</f>
        <v/>
      </c>
      <c r="P25" s="9">
        <f>O25*M25</f>
        <v/>
      </c>
      <c r="Q25" s="9">
        <f>O25-P25</f>
        <v/>
      </c>
      <c r="R25" s="9">
        <f>K25*N25</f>
        <v/>
      </c>
      <c r="S25" s="9">
        <f>Q25-R25</f>
        <v/>
      </c>
      <c r="T25" s="10">
        <f>IFERROR(S25/Q25, 0)</f>
        <v/>
      </c>
    </row>
    <row r="26">
      <c r="A26" s="11" t="inlineStr">
        <is>
          <t>ORD-2024-1643</t>
        </is>
      </c>
      <c r="B26" s="11" t="inlineStr">
        <is>
          <t>2024-01-12</t>
        </is>
      </c>
      <c r="C26" s="11" t="inlineStr">
        <is>
          <t>FUR-CHA-002</t>
        </is>
      </c>
      <c r="D26" s="7" t="inlineStr">
        <is>
          <t>AeroTask Operator Task Chair</t>
        </is>
      </c>
      <c r="E26" s="7" t="inlineStr">
        <is>
          <t>Furniture</t>
        </is>
      </c>
      <c r="F26" s="7" t="inlineStr">
        <is>
          <t>Chairs</t>
        </is>
      </c>
      <c r="G26" s="7" t="inlineStr">
        <is>
          <t>Central</t>
        </is>
      </c>
      <c r="H26" s="7" t="inlineStr">
        <is>
          <t>Illinois</t>
        </is>
      </c>
      <c r="I26" s="7" t="inlineStr">
        <is>
          <t>Online</t>
        </is>
      </c>
      <c r="J26" s="7" t="inlineStr">
        <is>
          <t>Corporate</t>
        </is>
      </c>
      <c r="K26" s="12" t="n">
        <v>5</v>
      </c>
      <c r="L26" s="9" t="n">
        <v>219.99</v>
      </c>
      <c r="M26" s="10" t="n">
        <v>0</v>
      </c>
      <c r="N26" s="9" t="n">
        <v>171.59</v>
      </c>
      <c r="O26" s="9">
        <f>K26*L26</f>
        <v/>
      </c>
      <c r="P26" s="9">
        <f>O26*M26</f>
        <v/>
      </c>
      <c r="Q26" s="9">
        <f>O26-P26</f>
        <v/>
      </c>
      <c r="R26" s="9">
        <f>K26*N26</f>
        <v/>
      </c>
      <c r="S26" s="9">
        <f>Q26-R26</f>
        <v/>
      </c>
      <c r="T26" s="10">
        <f>IFERROR(S26/Q26, 0)</f>
        <v/>
      </c>
    </row>
    <row r="27">
      <c r="A27" s="11" t="inlineStr">
        <is>
          <t>ORD-2024-1027</t>
        </is>
      </c>
      <c r="B27" s="11" t="inlineStr">
        <is>
          <t>2024-01-13</t>
        </is>
      </c>
      <c r="C27" s="11" t="inlineStr">
        <is>
          <t>OFF-ART-006</t>
        </is>
      </c>
      <c r="D27" s="7" t="inlineStr">
        <is>
          <t>Professional Presentation Dry Erase Board</t>
        </is>
      </c>
      <c r="E27" s="7" t="inlineStr">
        <is>
          <t>Office Supplies</t>
        </is>
      </c>
      <c r="F27" s="7" t="inlineStr">
        <is>
          <t>Presentation &amp; Art</t>
        </is>
      </c>
      <c r="G27" s="7" t="inlineStr">
        <is>
          <t>East</t>
        </is>
      </c>
      <c r="H27" s="7" t="inlineStr">
        <is>
          <t>New Jersey</t>
        </is>
      </c>
      <c r="I27" s="7" t="inlineStr">
        <is>
          <t>Online</t>
        </is>
      </c>
      <c r="J27" s="7" t="inlineStr">
        <is>
          <t>Corporate</t>
        </is>
      </c>
      <c r="K27" s="12" t="n">
        <v>5</v>
      </c>
      <c r="L27" s="9" t="n">
        <v>89.98999999999999</v>
      </c>
      <c r="M27" s="10" t="n">
        <v>0.05</v>
      </c>
      <c r="N27" s="9" t="n">
        <v>53.99</v>
      </c>
      <c r="O27" s="9">
        <f>K27*L27</f>
        <v/>
      </c>
      <c r="P27" s="9">
        <f>O27*M27</f>
        <v/>
      </c>
      <c r="Q27" s="9">
        <f>O27-P27</f>
        <v/>
      </c>
      <c r="R27" s="9">
        <f>K27*N27</f>
        <v/>
      </c>
      <c r="S27" s="9">
        <f>Q27-R27</f>
        <v/>
      </c>
      <c r="T27" s="10">
        <f>IFERROR(S27/Q27, 0)</f>
        <v/>
      </c>
    </row>
    <row r="28">
      <c r="A28" s="11" t="inlineStr">
        <is>
          <t>ORD-2024-1468</t>
        </is>
      </c>
      <c r="B28" s="11" t="inlineStr">
        <is>
          <t>2024-01-13</t>
        </is>
      </c>
      <c r="C28" s="11" t="inlineStr">
        <is>
          <t>OFF-BIN-005</t>
        </is>
      </c>
      <c r="D28" s="7" t="inlineStr">
        <is>
          <t>Heavy-Duty D-Ring Presentation Binder (6-Pk)</t>
        </is>
      </c>
      <c r="E28" s="7" t="inlineStr">
        <is>
          <t>Office Supplies</t>
        </is>
      </c>
      <c r="F28" s="7" t="inlineStr">
        <is>
          <t>Binders &amp; Fasteners</t>
        </is>
      </c>
      <c r="G28" s="7" t="inlineStr">
        <is>
          <t>East</t>
        </is>
      </c>
      <c r="H28" s="7" t="inlineStr">
        <is>
          <t>Massachusetts</t>
        </is>
      </c>
      <c r="I28" s="7" t="inlineStr">
        <is>
          <t>Retail Partner</t>
        </is>
      </c>
      <c r="J28" s="7" t="inlineStr">
        <is>
          <t>Home Office</t>
        </is>
      </c>
      <c r="K28" s="12" t="n">
        <v>3</v>
      </c>
      <c r="L28" s="9" t="n">
        <v>27.99</v>
      </c>
      <c r="M28" s="10" t="n">
        <v>0.1</v>
      </c>
      <c r="N28" s="9" t="n">
        <v>13.99</v>
      </c>
      <c r="O28" s="9">
        <f>K28*L28</f>
        <v/>
      </c>
      <c r="P28" s="9">
        <f>O28*M28</f>
        <v/>
      </c>
      <c r="Q28" s="9">
        <f>O28-P28</f>
        <v/>
      </c>
      <c r="R28" s="9">
        <f>K28*N28</f>
        <v/>
      </c>
      <c r="S28" s="9">
        <f>Q28-R28</f>
        <v/>
      </c>
      <c r="T28" s="10">
        <f>IFERROR(S28/Q28, 0)</f>
        <v/>
      </c>
    </row>
    <row r="29">
      <c r="A29" s="11" t="inlineStr">
        <is>
          <t>ORD-2024-1532</t>
        </is>
      </c>
      <c r="B29" s="11" t="inlineStr">
        <is>
          <t>2024-01-14</t>
        </is>
      </c>
      <c r="C29" s="11" t="inlineStr">
        <is>
          <t>TEC-ACC-005</t>
        </is>
      </c>
      <c r="D29" s="7" t="inlineStr">
        <is>
          <t>UltraWireless Noise-Canceling Headset</t>
        </is>
      </c>
      <c r="E29" s="7" t="inlineStr">
        <is>
          <t>Technology</t>
        </is>
      </c>
      <c r="F29" s="7" t="inlineStr">
        <is>
          <t>Audio &amp; Accessories</t>
        </is>
      </c>
      <c r="G29" s="7" t="inlineStr">
        <is>
          <t>South</t>
        </is>
      </c>
      <c r="H29" s="7" t="inlineStr">
        <is>
          <t>Georgia</t>
        </is>
      </c>
      <c r="I29" s="7" t="inlineStr">
        <is>
          <t>Online</t>
        </is>
      </c>
      <c r="J29" s="7" t="inlineStr">
        <is>
          <t>Corporate</t>
        </is>
      </c>
      <c r="K29" s="12" t="n">
        <v>8</v>
      </c>
      <c r="L29" s="9" t="n">
        <v>179.99</v>
      </c>
      <c r="M29" s="10" t="n">
        <v>0.05</v>
      </c>
      <c r="N29" s="9" t="n">
        <v>111.59</v>
      </c>
      <c r="O29" s="9">
        <f>K29*L29</f>
        <v/>
      </c>
      <c r="P29" s="9">
        <f>O29*M29</f>
        <v/>
      </c>
      <c r="Q29" s="9">
        <f>O29-P29</f>
        <v/>
      </c>
      <c r="R29" s="9">
        <f>K29*N29</f>
        <v/>
      </c>
      <c r="S29" s="9">
        <f>Q29-R29</f>
        <v/>
      </c>
      <c r="T29" s="10">
        <f>IFERROR(S29/Q29, 0)</f>
        <v/>
      </c>
    </row>
    <row r="30">
      <c r="A30" s="11" t="inlineStr">
        <is>
          <t>ORD-2024-1193</t>
        </is>
      </c>
      <c r="B30" s="11" t="inlineStr">
        <is>
          <t>2024-01-15</t>
        </is>
      </c>
      <c r="C30" s="11" t="inlineStr">
        <is>
          <t>FUR-BOK-005</t>
        </is>
      </c>
      <c r="D30" s="7" t="inlineStr">
        <is>
          <t>Modular 5-Tier Steel Bookcase</t>
        </is>
      </c>
      <c r="E30" s="7" t="inlineStr">
        <is>
          <t>Furniture</t>
        </is>
      </c>
      <c r="F30" s="7" t="inlineStr">
        <is>
          <t>Bookcases</t>
        </is>
      </c>
      <c r="G30" s="7" t="inlineStr">
        <is>
          <t>Central</t>
        </is>
      </c>
      <c r="H30" s="7" t="inlineStr">
        <is>
          <t>Ohio</t>
        </is>
      </c>
      <c r="I30" s="7" t="inlineStr">
        <is>
          <t>Online</t>
        </is>
      </c>
      <c r="J30" s="7" t="inlineStr">
        <is>
          <t>Home Office</t>
        </is>
      </c>
      <c r="K30" s="12" t="n">
        <v>3</v>
      </c>
      <c r="L30" s="9" t="n">
        <v>189.99</v>
      </c>
      <c r="M30" s="10" t="n">
        <v>0.15</v>
      </c>
      <c r="N30" s="9" t="n">
        <v>142.49</v>
      </c>
      <c r="O30" s="9">
        <f>K30*L30</f>
        <v/>
      </c>
      <c r="P30" s="9">
        <f>O30*M30</f>
        <v/>
      </c>
      <c r="Q30" s="9">
        <f>O30-P30</f>
        <v/>
      </c>
      <c r="R30" s="9">
        <f>K30*N30</f>
        <v/>
      </c>
      <c r="S30" s="9">
        <f>Q30-R30</f>
        <v/>
      </c>
      <c r="T30" s="10">
        <f>IFERROR(S30/Q30, 0)</f>
        <v/>
      </c>
    </row>
    <row r="31">
      <c r="A31" s="11" t="inlineStr">
        <is>
          <t>ORD-2024-1128</t>
        </is>
      </c>
      <c r="B31" s="11" t="inlineStr">
        <is>
          <t>2024-01-16</t>
        </is>
      </c>
      <c r="C31" s="11" t="inlineStr">
        <is>
          <t>FUR-DSK-004</t>
        </is>
      </c>
      <c r="D31" s="7" t="inlineStr">
        <is>
          <t>Metro Compact Corner Workstation</t>
        </is>
      </c>
      <c r="E31" s="7" t="inlineStr">
        <is>
          <t>Furniture</t>
        </is>
      </c>
      <c r="F31" s="7" t="inlineStr">
        <is>
          <t>Desks &amp; Workstations</t>
        </is>
      </c>
      <c r="G31" s="7" t="inlineStr">
        <is>
          <t>East</t>
        </is>
      </c>
      <c r="H31" s="7" t="inlineStr">
        <is>
          <t>New York</t>
        </is>
      </c>
      <c r="I31" s="7" t="inlineStr">
        <is>
          <t>Online</t>
        </is>
      </c>
      <c r="J31" s="7" t="inlineStr">
        <is>
          <t>Corporate</t>
        </is>
      </c>
      <c r="K31" s="12" t="n">
        <v>4</v>
      </c>
      <c r="L31" s="9" t="n">
        <v>329.99</v>
      </c>
      <c r="M31" s="10" t="n">
        <v>0</v>
      </c>
      <c r="N31" s="9" t="n">
        <v>250.79</v>
      </c>
      <c r="O31" s="9">
        <f>K31*L31</f>
        <v/>
      </c>
      <c r="P31" s="9">
        <f>O31*M31</f>
        <v/>
      </c>
      <c r="Q31" s="9">
        <f>O31-P31</f>
        <v/>
      </c>
      <c r="R31" s="9">
        <f>K31*N31</f>
        <v/>
      </c>
      <c r="S31" s="9">
        <f>Q31-R31</f>
        <v/>
      </c>
      <c r="T31" s="10">
        <f>IFERROR(S31/Q31, 0)</f>
        <v/>
      </c>
    </row>
    <row r="32">
      <c r="A32" s="11" t="inlineStr">
        <is>
          <t>ORD-2024-1128</t>
        </is>
      </c>
      <c r="B32" s="11" t="inlineStr">
        <is>
          <t>2024-01-16</t>
        </is>
      </c>
      <c r="C32" s="11" t="inlineStr">
        <is>
          <t>FUR-BOK-005</t>
        </is>
      </c>
      <c r="D32" s="7" t="inlineStr">
        <is>
          <t>Modular 5-Tier Steel Bookcase</t>
        </is>
      </c>
      <c r="E32" s="7" t="inlineStr">
        <is>
          <t>Furniture</t>
        </is>
      </c>
      <c r="F32" s="7" t="inlineStr">
        <is>
          <t>Bookcases</t>
        </is>
      </c>
      <c r="G32" s="7" t="inlineStr">
        <is>
          <t>East</t>
        </is>
      </c>
      <c r="H32" s="7" t="inlineStr">
        <is>
          <t>New York</t>
        </is>
      </c>
      <c r="I32" s="7" t="inlineStr">
        <is>
          <t>Online</t>
        </is>
      </c>
      <c r="J32" s="7" t="inlineStr">
        <is>
          <t>Corporate</t>
        </is>
      </c>
      <c r="K32" s="12" t="n">
        <v>8</v>
      </c>
      <c r="L32" s="9" t="n">
        <v>189.99</v>
      </c>
      <c r="M32" s="10" t="n">
        <v>0</v>
      </c>
      <c r="N32" s="9" t="n">
        <v>142.49</v>
      </c>
      <c r="O32" s="9">
        <f>K32*L32</f>
        <v/>
      </c>
      <c r="P32" s="9">
        <f>O32*M32</f>
        <v/>
      </c>
      <c r="Q32" s="9">
        <f>O32-P32</f>
        <v/>
      </c>
      <c r="R32" s="9">
        <f>K32*N32</f>
        <v/>
      </c>
      <c r="S32" s="9">
        <f>Q32-R32</f>
        <v/>
      </c>
      <c r="T32" s="10">
        <f>IFERROR(S32/Q32, 0)</f>
        <v/>
      </c>
    </row>
    <row r="33">
      <c r="A33" s="11" t="inlineStr">
        <is>
          <t>ORD-2024-1201</t>
        </is>
      </c>
      <c r="B33" s="11" t="inlineStr">
        <is>
          <t>2024-01-16</t>
        </is>
      </c>
      <c r="C33" s="11" t="inlineStr">
        <is>
          <t>OFF-STR-002</t>
        </is>
      </c>
      <c r="D33" s="7" t="inlineStr">
        <is>
          <t>Stackable Heavy-Duty Storage Bins (4-Pk)</t>
        </is>
      </c>
      <c r="E33" s="7" t="inlineStr">
        <is>
          <t>Office Supplies</t>
        </is>
      </c>
      <c r="F33" s="7" t="inlineStr">
        <is>
          <t>Storage &amp; Organizers</t>
        </is>
      </c>
      <c r="G33" s="7" t="inlineStr">
        <is>
          <t>West</t>
        </is>
      </c>
      <c r="H33" s="7" t="inlineStr">
        <is>
          <t>California</t>
        </is>
      </c>
      <c r="I33" s="7" t="inlineStr">
        <is>
          <t>Direct Sales</t>
        </is>
      </c>
      <c r="J33" s="7" t="inlineStr">
        <is>
          <t>Consumer</t>
        </is>
      </c>
      <c r="K33" s="12" t="n">
        <v>3</v>
      </c>
      <c r="L33" s="9" t="n">
        <v>44.99</v>
      </c>
      <c r="M33" s="10" t="n">
        <v>0</v>
      </c>
      <c r="N33" s="9" t="n">
        <v>24.74</v>
      </c>
      <c r="O33" s="9">
        <f>K33*L33</f>
        <v/>
      </c>
      <c r="P33" s="9">
        <f>O33*M33</f>
        <v/>
      </c>
      <c r="Q33" s="9">
        <f>O33-P33</f>
        <v/>
      </c>
      <c r="R33" s="9">
        <f>K33*N33</f>
        <v/>
      </c>
      <c r="S33" s="9">
        <f>Q33-R33</f>
        <v/>
      </c>
      <c r="T33" s="10">
        <f>IFERROR(S33/Q33, 0)</f>
        <v/>
      </c>
    </row>
    <row r="34">
      <c r="A34" s="11" t="inlineStr">
        <is>
          <t>ORD-2024-1334</t>
        </is>
      </c>
      <c r="B34" s="11" t="inlineStr">
        <is>
          <t>2024-01-17</t>
        </is>
      </c>
      <c r="C34" s="11" t="inlineStr">
        <is>
          <t>FUR-DSK-004</t>
        </is>
      </c>
      <c r="D34" s="7" t="inlineStr">
        <is>
          <t>Metro Compact Corner Workstation</t>
        </is>
      </c>
      <c r="E34" s="7" t="inlineStr">
        <is>
          <t>Furniture</t>
        </is>
      </c>
      <c r="F34" s="7" t="inlineStr">
        <is>
          <t>Desks &amp; Workstations</t>
        </is>
      </c>
      <c r="G34" s="7" t="inlineStr">
        <is>
          <t>East</t>
        </is>
      </c>
      <c r="H34" s="7" t="inlineStr">
        <is>
          <t>Pennsylvania</t>
        </is>
      </c>
      <c r="I34" s="7" t="inlineStr">
        <is>
          <t>Direct Sales</t>
        </is>
      </c>
      <c r="J34" s="7" t="inlineStr">
        <is>
          <t>Corporate</t>
        </is>
      </c>
      <c r="K34" s="12" t="n">
        <v>4</v>
      </c>
      <c r="L34" s="9" t="n">
        <v>329.99</v>
      </c>
      <c r="M34" s="10" t="n">
        <v>0</v>
      </c>
      <c r="N34" s="9" t="n">
        <v>250.79</v>
      </c>
      <c r="O34" s="9">
        <f>K34*L34</f>
        <v/>
      </c>
      <c r="P34" s="9">
        <f>O34*M34</f>
        <v/>
      </c>
      <c r="Q34" s="9">
        <f>O34-P34</f>
        <v/>
      </c>
      <c r="R34" s="9">
        <f>K34*N34</f>
        <v/>
      </c>
      <c r="S34" s="9">
        <f>Q34-R34</f>
        <v/>
      </c>
      <c r="T34" s="10">
        <f>IFERROR(S34/Q34, 0)</f>
        <v/>
      </c>
    </row>
    <row r="35">
      <c r="A35" s="11" t="inlineStr">
        <is>
          <t>ORD-2024-1334</t>
        </is>
      </c>
      <c r="B35" s="11" t="inlineStr">
        <is>
          <t>2024-01-17</t>
        </is>
      </c>
      <c r="C35" s="11" t="inlineStr">
        <is>
          <t>OFF-DSK-007</t>
        </is>
      </c>
      <c r="D35" s="7" t="inlineStr">
        <is>
          <t>Gel Ergo Mouse Pad &amp; Wrist Rest Combo</t>
        </is>
      </c>
      <c r="E35" s="7" t="inlineStr">
        <is>
          <t>Office Supplies</t>
        </is>
      </c>
      <c r="F35" s="7" t="inlineStr">
        <is>
          <t>Desk Supplies</t>
        </is>
      </c>
      <c r="G35" s="7" t="inlineStr">
        <is>
          <t>East</t>
        </is>
      </c>
      <c r="H35" s="7" t="inlineStr">
        <is>
          <t>Pennsylvania</t>
        </is>
      </c>
      <c r="I35" s="7" t="inlineStr">
        <is>
          <t>Direct Sales</t>
        </is>
      </c>
      <c r="J35" s="7" t="inlineStr">
        <is>
          <t>Corporate</t>
        </is>
      </c>
      <c r="K35" s="12" t="n">
        <v>8</v>
      </c>
      <c r="L35" s="9" t="n">
        <v>21.99</v>
      </c>
      <c r="M35" s="10" t="n">
        <v>0.05</v>
      </c>
      <c r="N35" s="9" t="n">
        <v>10.56</v>
      </c>
      <c r="O35" s="9">
        <f>K35*L35</f>
        <v/>
      </c>
      <c r="P35" s="9">
        <f>O35*M35</f>
        <v/>
      </c>
      <c r="Q35" s="9">
        <f>O35-P35</f>
        <v/>
      </c>
      <c r="R35" s="9">
        <f>K35*N35</f>
        <v/>
      </c>
      <c r="S35" s="9">
        <f>Q35-R35</f>
        <v/>
      </c>
      <c r="T35" s="10">
        <f>IFERROR(S35/Q35, 0)</f>
        <v/>
      </c>
    </row>
    <row r="36">
      <c r="A36" s="11" t="inlineStr">
        <is>
          <t>ORD-2024-1433</t>
        </is>
      </c>
      <c r="B36" s="11" t="inlineStr">
        <is>
          <t>2024-01-17</t>
        </is>
      </c>
      <c r="C36" s="11" t="inlineStr">
        <is>
          <t>TEC-TAB-004</t>
        </is>
      </c>
      <c r="D36" s="7" t="inlineStr">
        <is>
          <t>VisionPad Lite 8.5"</t>
        </is>
      </c>
      <c r="E36" s="7" t="inlineStr">
        <is>
          <t>Technology</t>
        </is>
      </c>
      <c r="F36" s="7" t="inlineStr">
        <is>
          <t>Phones &amp; Tablets</t>
        </is>
      </c>
      <c r="G36" s="7" t="inlineStr">
        <is>
          <t>Central</t>
        </is>
      </c>
      <c r="H36" s="7" t="inlineStr">
        <is>
          <t>Illinois</t>
        </is>
      </c>
      <c r="I36" s="7" t="inlineStr">
        <is>
          <t>Direct Sales</t>
        </is>
      </c>
      <c r="J36" s="7" t="inlineStr">
        <is>
          <t>Consumer</t>
        </is>
      </c>
      <c r="K36" s="12" t="n">
        <v>2</v>
      </c>
      <c r="L36" s="9" t="n">
        <v>299.99</v>
      </c>
      <c r="M36" s="10" t="n">
        <v>0</v>
      </c>
      <c r="N36" s="9" t="n">
        <v>245.99</v>
      </c>
      <c r="O36" s="9">
        <f>K36*L36</f>
        <v/>
      </c>
      <c r="P36" s="9">
        <f>O36*M36</f>
        <v/>
      </c>
      <c r="Q36" s="9">
        <f>O36-P36</f>
        <v/>
      </c>
      <c r="R36" s="9">
        <f>K36*N36</f>
        <v/>
      </c>
      <c r="S36" s="9">
        <f>Q36-R36</f>
        <v/>
      </c>
      <c r="T36" s="10">
        <f>IFERROR(S36/Q36, 0)</f>
        <v/>
      </c>
    </row>
    <row r="37">
      <c r="A37" s="11" t="inlineStr">
        <is>
          <t>ORD-2024-1433</t>
        </is>
      </c>
      <c r="B37" s="11" t="inlineStr">
        <is>
          <t>2024-01-17</t>
        </is>
      </c>
      <c r="C37" s="11" t="inlineStr">
        <is>
          <t>FUR-CHA-002</t>
        </is>
      </c>
      <c r="D37" s="7" t="inlineStr">
        <is>
          <t>AeroTask Operator Task Chair</t>
        </is>
      </c>
      <c r="E37" s="7" t="inlineStr">
        <is>
          <t>Furniture</t>
        </is>
      </c>
      <c r="F37" s="7" t="inlineStr">
        <is>
          <t>Chairs</t>
        </is>
      </c>
      <c r="G37" s="7" t="inlineStr">
        <is>
          <t>Central</t>
        </is>
      </c>
      <c r="H37" s="7" t="inlineStr">
        <is>
          <t>Illinois</t>
        </is>
      </c>
      <c r="I37" s="7" t="inlineStr">
        <is>
          <t>Direct Sales</t>
        </is>
      </c>
      <c r="J37" s="7" t="inlineStr">
        <is>
          <t>Consumer</t>
        </is>
      </c>
      <c r="K37" s="12" t="n">
        <v>2</v>
      </c>
      <c r="L37" s="9" t="n">
        <v>219.99</v>
      </c>
      <c r="M37" s="10" t="n">
        <v>0</v>
      </c>
      <c r="N37" s="9" t="n">
        <v>171.59</v>
      </c>
      <c r="O37" s="9">
        <f>K37*L37</f>
        <v/>
      </c>
      <c r="P37" s="9">
        <f>O37*M37</f>
        <v/>
      </c>
      <c r="Q37" s="9">
        <f>O37-P37</f>
        <v/>
      </c>
      <c r="R37" s="9">
        <f>K37*N37</f>
        <v/>
      </c>
      <c r="S37" s="9">
        <f>Q37-R37</f>
        <v/>
      </c>
      <c r="T37" s="10">
        <f>IFERROR(S37/Q37, 0)</f>
        <v/>
      </c>
    </row>
    <row r="38">
      <c r="A38" s="11" t="inlineStr">
        <is>
          <t>ORD-2024-1433</t>
        </is>
      </c>
      <c r="B38" s="11" t="inlineStr">
        <is>
          <t>2024-01-17</t>
        </is>
      </c>
      <c r="C38" s="11" t="inlineStr">
        <is>
          <t>TEC-ACC-006</t>
        </is>
      </c>
      <c r="D38" s="7" t="inlineStr">
        <is>
          <t>MultiPort Thunderbolt 4 Dock</t>
        </is>
      </c>
      <c r="E38" s="7" t="inlineStr">
        <is>
          <t>Technology</t>
        </is>
      </c>
      <c r="F38" s="7" t="inlineStr">
        <is>
          <t>Audio &amp; Accessories</t>
        </is>
      </c>
      <c r="G38" s="7" t="inlineStr">
        <is>
          <t>Central</t>
        </is>
      </c>
      <c r="H38" s="7" t="inlineStr">
        <is>
          <t>Illinois</t>
        </is>
      </c>
      <c r="I38" s="7" t="inlineStr">
        <is>
          <t>Direct Sales</t>
        </is>
      </c>
      <c r="J38" s="7" t="inlineStr">
        <is>
          <t>Consumer</t>
        </is>
      </c>
      <c r="K38" s="12" t="n">
        <v>3</v>
      </c>
      <c r="L38" s="9" t="n">
        <v>149.99</v>
      </c>
      <c r="M38" s="10" t="n">
        <v>0</v>
      </c>
      <c r="N38" s="9" t="n">
        <v>98.98999999999999</v>
      </c>
      <c r="O38" s="9">
        <f>K38*L38</f>
        <v/>
      </c>
      <c r="P38" s="9">
        <f>O38*M38</f>
        <v/>
      </c>
      <c r="Q38" s="9">
        <f>O38-P38</f>
        <v/>
      </c>
      <c r="R38" s="9">
        <f>K38*N38</f>
        <v/>
      </c>
      <c r="S38" s="9">
        <f>Q38-R38</f>
        <v/>
      </c>
      <c r="T38" s="10">
        <f>IFERROR(S38/Q38, 0)</f>
        <v/>
      </c>
    </row>
    <row r="39">
      <c r="A39" s="11" t="inlineStr">
        <is>
          <t>ORD-2024-1222</t>
        </is>
      </c>
      <c r="B39" s="11" t="inlineStr">
        <is>
          <t>2024-01-18</t>
        </is>
      </c>
      <c r="C39" s="11" t="inlineStr">
        <is>
          <t>OFF-STR-001</t>
        </is>
      </c>
      <c r="D39" s="7" t="inlineStr">
        <is>
          <t>SteelLock 3-Drawer File Cabinet</t>
        </is>
      </c>
      <c r="E39" s="7" t="inlineStr">
        <is>
          <t>Office Supplies</t>
        </is>
      </c>
      <c r="F39" s="7" t="inlineStr">
        <is>
          <t>Storage &amp; Organizers</t>
        </is>
      </c>
      <c r="G39" s="7" t="inlineStr">
        <is>
          <t>West</t>
        </is>
      </c>
      <c r="H39" s="7" t="inlineStr">
        <is>
          <t>Colorado</t>
        </is>
      </c>
      <c r="I39" s="7" t="inlineStr">
        <is>
          <t>Direct Sales</t>
        </is>
      </c>
      <c r="J39" s="7" t="inlineStr">
        <is>
          <t>Home Office</t>
        </is>
      </c>
      <c r="K39" s="12" t="n">
        <v>3</v>
      </c>
      <c r="L39" s="9" t="n">
        <v>169.99</v>
      </c>
      <c r="M39" s="10" t="n">
        <v>0</v>
      </c>
      <c r="N39" s="9" t="n">
        <v>115.59</v>
      </c>
      <c r="O39" s="9">
        <f>K39*L39</f>
        <v/>
      </c>
      <c r="P39" s="9">
        <f>O39*M39</f>
        <v/>
      </c>
      <c r="Q39" s="9">
        <f>O39-P39</f>
        <v/>
      </c>
      <c r="R39" s="9">
        <f>K39*N39</f>
        <v/>
      </c>
      <c r="S39" s="9">
        <f>Q39-R39</f>
        <v/>
      </c>
      <c r="T39" s="10">
        <f>IFERROR(S39/Q39, 0)</f>
        <v/>
      </c>
    </row>
    <row r="40">
      <c r="A40" s="11" t="inlineStr">
        <is>
          <t>ORD-2024-1366</t>
        </is>
      </c>
      <c r="B40" s="11" t="inlineStr">
        <is>
          <t>2024-01-20</t>
        </is>
      </c>
      <c r="C40" s="11" t="inlineStr">
        <is>
          <t>TEC-ACC-005</t>
        </is>
      </c>
      <c r="D40" s="7" t="inlineStr">
        <is>
          <t>UltraWireless Noise-Canceling Headset</t>
        </is>
      </c>
      <c r="E40" s="7" t="inlineStr">
        <is>
          <t>Technology</t>
        </is>
      </c>
      <c r="F40" s="7" t="inlineStr">
        <is>
          <t>Audio &amp; Accessories</t>
        </is>
      </c>
      <c r="G40" s="7" t="inlineStr">
        <is>
          <t>West</t>
        </is>
      </c>
      <c r="H40" s="7" t="inlineStr">
        <is>
          <t>Colorado</t>
        </is>
      </c>
      <c r="I40" s="7" t="inlineStr">
        <is>
          <t>Online</t>
        </is>
      </c>
      <c r="J40" s="7" t="inlineStr">
        <is>
          <t>Corporate</t>
        </is>
      </c>
      <c r="K40" s="12" t="n">
        <v>3</v>
      </c>
      <c r="L40" s="9" t="n">
        <v>179.99</v>
      </c>
      <c r="M40" s="10" t="n">
        <v>0</v>
      </c>
      <c r="N40" s="9" t="n">
        <v>111.59</v>
      </c>
      <c r="O40" s="9">
        <f>K40*L40</f>
        <v/>
      </c>
      <c r="P40" s="9">
        <f>O40*M40</f>
        <v/>
      </c>
      <c r="Q40" s="9">
        <f>O40-P40</f>
        <v/>
      </c>
      <c r="R40" s="9">
        <f>K40*N40</f>
        <v/>
      </c>
      <c r="S40" s="9">
        <f>Q40-R40</f>
        <v/>
      </c>
      <c r="T40" s="10">
        <f>IFERROR(S40/Q40, 0)</f>
        <v/>
      </c>
    </row>
    <row r="41">
      <c r="A41" s="11" t="inlineStr">
        <is>
          <t>ORD-2024-1542</t>
        </is>
      </c>
      <c r="B41" s="11" t="inlineStr">
        <is>
          <t>2024-01-20</t>
        </is>
      </c>
      <c r="C41" s="11" t="inlineStr">
        <is>
          <t>OFF-STR-001</t>
        </is>
      </c>
      <c r="D41" s="7" t="inlineStr">
        <is>
          <t>SteelLock 3-Drawer File Cabinet</t>
        </is>
      </c>
      <c r="E41" s="7" t="inlineStr">
        <is>
          <t>Office Supplies</t>
        </is>
      </c>
      <c r="F41" s="7" t="inlineStr">
        <is>
          <t>Storage &amp; Organizers</t>
        </is>
      </c>
      <c r="G41" s="7" t="inlineStr">
        <is>
          <t>East</t>
        </is>
      </c>
      <c r="H41" s="7" t="inlineStr">
        <is>
          <t>New York</t>
        </is>
      </c>
      <c r="I41" s="7" t="inlineStr">
        <is>
          <t>Retail Partner</t>
        </is>
      </c>
      <c r="J41" s="7" t="inlineStr">
        <is>
          <t>Corporate</t>
        </is>
      </c>
      <c r="K41" s="12" t="n">
        <v>6</v>
      </c>
      <c r="L41" s="9" t="n">
        <v>169.99</v>
      </c>
      <c r="M41" s="10" t="n">
        <v>0.1</v>
      </c>
      <c r="N41" s="9" t="n">
        <v>115.59</v>
      </c>
      <c r="O41" s="9">
        <f>K41*L41</f>
        <v/>
      </c>
      <c r="P41" s="9">
        <f>O41*M41</f>
        <v/>
      </c>
      <c r="Q41" s="9">
        <f>O41-P41</f>
        <v/>
      </c>
      <c r="R41" s="9">
        <f>K41*N41</f>
        <v/>
      </c>
      <c r="S41" s="9">
        <f>Q41-R41</f>
        <v/>
      </c>
      <c r="T41" s="10">
        <f>IFERROR(S41/Q41, 0)</f>
        <v/>
      </c>
    </row>
    <row r="42">
      <c r="A42" s="11" t="inlineStr">
        <is>
          <t>ORD-2024-1243</t>
        </is>
      </c>
      <c r="B42" s="11" t="inlineStr">
        <is>
          <t>2024-01-21</t>
        </is>
      </c>
      <c r="C42" s="11" t="inlineStr">
        <is>
          <t>OFF-STR-001</t>
        </is>
      </c>
      <c r="D42" s="7" t="inlineStr">
        <is>
          <t>SteelLock 3-Drawer File Cabinet</t>
        </is>
      </c>
      <c r="E42" s="7" t="inlineStr">
        <is>
          <t>Office Supplies</t>
        </is>
      </c>
      <c r="F42" s="7" t="inlineStr">
        <is>
          <t>Storage &amp; Organizers</t>
        </is>
      </c>
      <c r="G42" s="7" t="inlineStr">
        <is>
          <t>Central</t>
        </is>
      </c>
      <c r="H42" s="7" t="inlineStr">
        <is>
          <t>Ohio</t>
        </is>
      </c>
      <c r="I42" s="7" t="inlineStr">
        <is>
          <t>Wholesale</t>
        </is>
      </c>
      <c r="J42" s="7" t="inlineStr">
        <is>
          <t>Corporate</t>
        </is>
      </c>
      <c r="K42" s="12" t="n">
        <v>9</v>
      </c>
      <c r="L42" s="9" t="n">
        <v>169.99</v>
      </c>
      <c r="M42" s="10" t="n">
        <v>0.2</v>
      </c>
      <c r="N42" s="9" t="n">
        <v>115.59</v>
      </c>
      <c r="O42" s="9">
        <f>K42*L42</f>
        <v/>
      </c>
      <c r="P42" s="9">
        <f>O42*M42</f>
        <v/>
      </c>
      <c r="Q42" s="9">
        <f>O42-P42</f>
        <v/>
      </c>
      <c r="R42" s="9">
        <f>K42*N42</f>
        <v/>
      </c>
      <c r="S42" s="9">
        <f>Q42-R42</f>
        <v/>
      </c>
      <c r="T42" s="10">
        <f>IFERROR(S42/Q42, 0)</f>
        <v/>
      </c>
    </row>
    <row r="43">
      <c r="A43" s="11" t="inlineStr">
        <is>
          <t>ORD-2024-1243</t>
        </is>
      </c>
      <c r="B43" s="11" t="inlineStr">
        <is>
          <t>2024-01-21</t>
        </is>
      </c>
      <c r="C43" s="11" t="inlineStr">
        <is>
          <t>OFF-DSK-008</t>
        </is>
      </c>
      <c r="D43" s="7" t="inlineStr">
        <is>
          <t>Steel Desktop Mesh Organizer Caddy</t>
        </is>
      </c>
      <c r="E43" s="7" t="inlineStr">
        <is>
          <t>Office Supplies</t>
        </is>
      </c>
      <c r="F43" s="7" t="inlineStr">
        <is>
          <t>Desk Supplies</t>
        </is>
      </c>
      <c r="G43" s="7" t="inlineStr">
        <is>
          <t>Central</t>
        </is>
      </c>
      <c r="H43" s="7" t="inlineStr">
        <is>
          <t>Ohio</t>
        </is>
      </c>
      <c r="I43" s="7" t="inlineStr">
        <is>
          <t>Wholesale</t>
        </is>
      </c>
      <c r="J43" s="7" t="inlineStr">
        <is>
          <t>Corporate</t>
        </is>
      </c>
      <c r="K43" s="12" t="n">
        <v>5</v>
      </c>
      <c r="L43" s="9" t="n">
        <v>18.99</v>
      </c>
      <c r="M43" s="10" t="n">
        <v>0.1</v>
      </c>
      <c r="N43" s="9" t="n">
        <v>8.550000000000001</v>
      </c>
      <c r="O43" s="9">
        <f>K43*L43</f>
        <v/>
      </c>
      <c r="P43" s="9">
        <f>O43*M43</f>
        <v/>
      </c>
      <c r="Q43" s="9">
        <f>O43-P43</f>
        <v/>
      </c>
      <c r="R43" s="9">
        <f>K43*N43</f>
        <v/>
      </c>
      <c r="S43" s="9">
        <f>Q43-R43</f>
        <v/>
      </c>
      <c r="T43" s="10">
        <f>IFERROR(S43/Q43, 0)</f>
        <v/>
      </c>
    </row>
    <row r="44">
      <c r="A44" s="11" t="inlineStr">
        <is>
          <t>ORD-2024-1574</t>
        </is>
      </c>
      <c r="B44" s="11" t="inlineStr">
        <is>
          <t>2024-01-21</t>
        </is>
      </c>
      <c r="C44" s="11" t="inlineStr">
        <is>
          <t>OFF-PAP-003</t>
        </is>
      </c>
      <c r="D44" s="7" t="inlineStr">
        <is>
          <t>UltraWhite Premium Multipurpose Paper (Case)</t>
        </is>
      </c>
      <c r="E44" s="7" t="inlineStr">
        <is>
          <t>Office Supplies</t>
        </is>
      </c>
      <c r="F44" s="7" t="inlineStr">
        <is>
          <t>Paper Products</t>
        </is>
      </c>
      <c r="G44" s="7" t="inlineStr">
        <is>
          <t>West</t>
        </is>
      </c>
      <c r="H44" s="7" t="inlineStr">
        <is>
          <t>California</t>
        </is>
      </c>
      <c r="I44" s="7" t="inlineStr">
        <is>
          <t>Online</t>
        </is>
      </c>
      <c r="J44" s="7" t="inlineStr">
        <is>
          <t>Corporate</t>
        </is>
      </c>
      <c r="K44" s="12" t="n">
        <v>2</v>
      </c>
      <c r="L44" s="9" t="n">
        <v>54.99</v>
      </c>
      <c r="M44" s="10" t="n">
        <v>0.1</v>
      </c>
      <c r="N44" s="9" t="n">
        <v>31.89</v>
      </c>
      <c r="O44" s="9">
        <f>K44*L44</f>
        <v/>
      </c>
      <c r="P44" s="9">
        <f>O44*M44</f>
        <v/>
      </c>
      <c r="Q44" s="9">
        <f>O44-P44</f>
        <v/>
      </c>
      <c r="R44" s="9">
        <f>K44*N44</f>
        <v/>
      </c>
      <c r="S44" s="9">
        <f>Q44-R44</f>
        <v/>
      </c>
      <c r="T44" s="10">
        <f>IFERROR(S44/Q44, 0)</f>
        <v/>
      </c>
    </row>
    <row r="45">
      <c r="A45" s="11" t="inlineStr">
        <is>
          <t>ORD-2024-1690</t>
        </is>
      </c>
      <c r="B45" s="11" t="inlineStr">
        <is>
          <t>2024-01-21</t>
        </is>
      </c>
      <c r="C45" s="11" t="inlineStr">
        <is>
          <t>FUR-BOK-005</t>
        </is>
      </c>
      <c r="D45" s="7" t="inlineStr">
        <is>
          <t>Modular 5-Tier Steel Bookcase</t>
        </is>
      </c>
      <c r="E45" s="7" t="inlineStr">
        <is>
          <t>Furniture</t>
        </is>
      </c>
      <c r="F45" s="7" t="inlineStr">
        <is>
          <t>Bookcases</t>
        </is>
      </c>
      <c r="G45" s="7" t="inlineStr">
        <is>
          <t>West</t>
        </is>
      </c>
      <c r="H45" s="7" t="inlineStr">
        <is>
          <t>Colorado</t>
        </is>
      </c>
      <c r="I45" s="7" t="inlineStr">
        <is>
          <t>Online</t>
        </is>
      </c>
      <c r="J45" s="7" t="inlineStr">
        <is>
          <t>Consumer</t>
        </is>
      </c>
      <c r="K45" s="12" t="n">
        <v>4</v>
      </c>
      <c r="L45" s="9" t="n">
        <v>189.99</v>
      </c>
      <c r="M45" s="10" t="n">
        <v>0.05</v>
      </c>
      <c r="N45" s="9" t="n">
        <v>142.49</v>
      </c>
      <c r="O45" s="9">
        <f>K45*L45</f>
        <v/>
      </c>
      <c r="P45" s="9">
        <f>O45*M45</f>
        <v/>
      </c>
      <c r="Q45" s="9">
        <f>O45-P45</f>
        <v/>
      </c>
      <c r="R45" s="9">
        <f>K45*N45</f>
        <v/>
      </c>
      <c r="S45" s="9">
        <f>Q45-R45</f>
        <v/>
      </c>
      <c r="T45" s="10">
        <f>IFERROR(S45/Q45, 0)</f>
        <v/>
      </c>
    </row>
    <row r="46">
      <c r="A46" s="11" t="inlineStr">
        <is>
          <t>ORD-2024-1694</t>
        </is>
      </c>
      <c r="B46" s="11" t="inlineStr">
        <is>
          <t>2024-01-21</t>
        </is>
      </c>
      <c r="C46" s="11" t="inlineStr">
        <is>
          <t>TEC-TAB-003</t>
        </is>
      </c>
      <c r="D46" s="7" t="inlineStr">
        <is>
          <t>VisionPad Pro 11"</t>
        </is>
      </c>
      <c r="E46" s="7" t="inlineStr">
        <is>
          <t>Technology</t>
        </is>
      </c>
      <c r="F46" s="7" t="inlineStr">
        <is>
          <t>Phones &amp; Tablets</t>
        </is>
      </c>
      <c r="G46" s="7" t="inlineStr">
        <is>
          <t>Central</t>
        </is>
      </c>
      <c r="H46" s="7" t="inlineStr">
        <is>
          <t>Ohio</t>
        </is>
      </c>
      <c r="I46" s="7" t="inlineStr">
        <is>
          <t>Direct Sales</t>
        </is>
      </c>
      <c r="J46" s="7" t="inlineStr">
        <is>
          <t>Consumer</t>
        </is>
      </c>
      <c r="K46" s="12" t="n">
        <v>4</v>
      </c>
      <c r="L46" s="9" t="n">
        <v>649.99</v>
      </c>
      <c r="M46" s="10" t="n">
        <v>0</v>
      </c>
      <c r="N46" s="9" t="n">
        <v>487.49</v>
      </c>
      <c r="O46" s="9">
        <f>K46*L46</f>
        <v/>
      </c>
      <c r="P46" s="9">
        <f>O46*M46</f>
        <v/>
      </c>
      <c r="Q46" s="9">
        <f>O46-P46</f>
        <v/>
      </c>
      <c r="R46" s="9">
        <f>K46*N46</f>
        <v/>
      </c>
      <c r="S46" s="9">
        <f>Q46-R46</f>
        <v/>
      </c>
      <c r="T46" s="10">
        <f>IFERROR(S46/Q46, 0)</f>
        <v/>
      </c>
    </row>
    <row r="47">
      <c r="A47" s="11" t="inlineStr">
        <is>
          <t>ORD-2024-1371</t>
        </is>
      </c>
      <c r="B47" s="11" t="inlineStr">
        <is>
          <t>2024-01-22</t>
        </is>
      </c>
      <c r="C47" s="11" t="inlineStr">
        <is>
          <t>OFF-STR-001</t>
        </is>
      </c>
      <c r="D47" s="7" t="inlineStr">
        <is>
          <t>SteelLock 3-Drawer File Cabinet</t>
        </is>
      </c>
      <c r="E47" s="7" t="inlineStr">
        <is>
          <t>Office Supplies</t>
        </is>
      </c>
      <c r="F47" s="7" t="inlineStr">
        <is>
          <t>Storage &amp; Organizers</t>
        </is>
      </c>
      <c r="G47" s="7" t="inlineStr">
        <is>
          <t>East</t>
        </is>
      </c>
      <c r="H47" s="7" t="inlineStr">
        <is>
          <t>New Jersey</t>
        </is>
      </c>
      <c r="I47" s="7" t="inlineStr">
        <is>
          <t>Online</t>
        </is>
      </c>
      <c r="J47" s="7" t="inlineStr">
        <is>
          <t>Corporate</t>
        </is>
      </c>
      <c r="K47" s="12" t="n">
        <v>8</v>
      </c>
      <c r="L47" s="9" t="n">
        <v>169.99</v>
      </c>
      <c r="M47" s="10" t="n">
        <v>0</v>
      </c>
      <c r="N47" s="9" t="n">
        <v>115.59</v>
      </c>
      <c r="O47" s="9">
        <f>K47*L47</f>
        <v/>
      </c>
      <c r="P47" s="9">
        <f>O47*M47</f>
        <v/>
      </c>
      <c r="Q47" s="9">
        <f>O47-P47</f>
        <v/>
      </c>
      <c r="R47" s="9">
        <f>K47*N47</f>
        <v/>
      </c>
      <c r="S47" s="9">
        <f>Q47-R47</f>
        <v/>
      </c>
      <c r="T47" s="10">
        <f>IFERROR(S47/Q47, 0)</f>
        <v/>
      </c>
    </row>
    <row r="48">
      <c r="A48" s="11" t="inlineStr">
        <is>
          <t>ORD-2024-1164</t>
        </is>
      </c>
      <c r="B48" s="11" t="inlineStr">
        <is>
          <t>2024-01-23</t>
        </is>
      </c>
      <c r="C48" s="11" t="inlineStr">
        <is>
          <t>OFF-DSK-007</t>
        </is>
      </c>
      <c r="D48" s="7" t="inlineStr">
        <is>
          <t>Gel Ergo Mouse Pad &amp; Wrist Rest Combo</t>
        </is>
      </c>
      <c r="E48" s="7" t="inlineStr">
        <is>
          <t>Office Supplies</t>
        </is>
      </c>
      <c r="F48" s="7" t="inlineStr">
        <is>
          <t>Desk Supplies</t>
        </is>
      </c>
      <c r="G48" s="7" t="inlineStr">
        <is>
          <t>South</t>
        </is>
      </c>
      <c r="H48" s="7" t="inlineStr">
        <is>
          <t>Virginia</t>
        </is>
      </c>
      <c r="I48" s="7" t="inlineStr">
        <is>
          <t>Online</t>
        </is>
      </c>
      <c r="J48" s="7" t="inlineStr">
        <is>
          <t>Home Office</t>
        </is>
      </c>
      <c r="K48" s="12" t="n">
        <v>4</v>
      </c>
      <c r="L48" s="9" t="n">
        <v>21.99</v>
      </c>
      <c r="M48" s="10" t="n">
        <v>0.1</v>
      </c>
      <c r="N48" s="9" t="n">
        <v>10.56</v>
      </c>
      <c r="O48" s="9">
        <f>K48*L48</f>
        <v/>
      </c>
      <c r="P48" s="9">
        <f>O48*M48</f>
        <v/>
      </c>
      <c r="Q48" s="9">
        <f>O48-P48</f>
        <v/>
      </c>
      <c r="R48" s="9">
        <f>K48*N48</f>
        <v/>
      </c>
      <c r="S48" s="9">
        <f>Q48-R48</f>
        <v/>
      </c>
      <c r="T48" s="10">
        <f>IFERROR(S48/Q48, 0)</f>
        <v/>
      </c>
    </row>
    <row r="49">
      <c r="A49" s="11" t="inlineStr">
        <is>
          <t>ORD-2024-1238</t>
        </is>
      </c>
      <c r="B49" s="11" t="inlineStr">
        <is>
          <t>2024-01-23</t>
        </is>
      </c>
      <c r="C49" s="11" t="inlineStr">
        <is>
          <t>TEC-LAP-001</t>
        </is>
      </c>
      <c r="D49" s="7" t="inlineStr">
        <is>
          <t>ProBook Elite 15.6"</t>
        </is>
      </c>
      <c r="E49" s="7" t="inlineStr">
        <is>
          <t>Technology</t>
        </is>
      </c>
      <c r="F49" s="7" t="inlineStr">
        <is>
          <t>Laptops</t>
        </is>
      </c>
      <c r="G49" s="7" t="inlineStr">
        <is>
          <t>Central</t>
        </is>
      </c>
      <c r="H49" s="7" t="inlineStr">
        <is>
          <t>Ohio</t>
        </is>
      </c>
      <c r="I49" s="7" t="inlineStr">
        <is>
          <t>Wholesale</t>
        </is>
      </c>
      <c r="J49" s="7" t="inlineStr">
        <is>
          <t>Consumer</t>
        </is>
      </c>
      <c r="K49" s="12" t="n">
        <v>5</v>
      </c>
      <c r="L49" s="9" t="n">
        <v>1199.99</v>
      </c>
      <c r="M49" s="10" t="n">
        <v>0.1</v>
      </c>
      <c r="N49" s="9" t="n">
        <v>863.99</v>
      </c>
      <c r="O49" s="9">
        <f>K49*L49</f>
        <v/>
      </c>
      <c r="P49" s="9">
        <f>O49*M49</f>
        <v/>
      </c>
      <c r="Q49" s="9">
        <f>O49-P49</f>
        <v/>
      </c>
      <c r="R49" s="9">
        <f>K49*N49</f>
        <v/>
      </c>
      <c r="S49" s="9">
        <f>Q49-R49</f>
        <v/>
      </c>
      <c r="T49" s="10">
        <f>IFERROR(S49/Q49, 0)</f>
        <v/>
      </c>
    </row>
    <row r="50">
      <c r="A50" s="11" t="inlineStr">
        <is>
          <t>ORD-2024-1238</t>
        </is>
      </c>
      <c r="B50" s="11" t="inlineStr">
        <is>
          <t>2024-01-23</t>
        </is>
      </c>
      <c r="C50" s="11" t="inlineStr">
        <is>
          <t>FUR-DSK-003</t>
        </is>
      </c>
      <c r="D50" s="7" t="inlineStr">
        <is>
          <t>ApexMotor Dual-Motor Standing Desk</t>
        </is>
      </c>
      <c r="E50" s="7" t="inlineStr">
        <is>
          <t>Furniture</t>
        </is>
      </c>
      <c r="F50" s="7" t="inlineStr">
        <is>
          <t>Desks &amp; Workstations</t>
        </is>
      </c>
      <c r="G50" s="7" t="inlineStr">
        <is>
          <t>Central</t>
        </is>
      </c>
      <c r="H50" s="7" t="inlineStr">
        <is>
          <t>Ohio</t>
        </is>
      </c>
      <c r="I50" s="7" t="inlineStr">
        <is>
          <t>Wholesale</t>
        </is>
      </c>
      <c r="J50" s="7" t="inlineStr">
        <is>
          <t>Consumer</t>
        </is>
      </c>
      <c r="K50" s="12" t="n">
        <v>5</v>
      </c>
      <c r="L50" s="9" t="n">
        <v>549.99</v>
      </c>
      <c r="M50" s="10" t="n">
        <v>0.2</v>
      </c>
      <c r="N50" s="9" t="n">
        <v>439.99</v>
      </c>
      <c r="O50" s="9">
        <f>K50*L50</f>
        <v/>
      </c>
      <c r="P50" s="9">
        <f>O50*M50</f>
        <v/>
      </c>
      <c r="Q50" s="9">
        <f>O50-P50</f>
        <v/>
      </c>
      <c r="R50" s="9">
        <f>K50*N50</f>
        <v/>
      </c>
      <c r="S50" s="9">
        <f>Q50-R50</f>
        <v/>
      </c>
      <c r="T50" s="10">
        <f>IFERROR(S50/Q50, 0)</f>
        <v/>
      </c>
    </row>
    <row r="51">
      <c r="A51" s="11" t="inlineStr">
        <is>
          <t>ORD-2024-1141</t>
        </is>
      </c>
      <c r="B51" s="11" t="inlineStr">
        <is>
          <t>2024-01-24</t>
        </is>
      </c>
      <c r="C51" s="11" t="inlineStr">
        <is>
          <t>FUR-DSK-004</t>
        </is>
      </c>
      <c r="D51" s="7" t="inlineStr">
        <is>
          <t>Metro Compact Corner Workstation</t>
        </is>
      </c>
      <c r="E51" s="7" t="inlineStr">
        <is>
          <t>Furniture</t>
        </is>
      </c>
      <c r="F51" s="7" t="inlineStr">
        <is>
          <t>Desks &amp; Workstations</t>
        </is>
      </c>
      <c r="G51" s="7" t="inlineStr">
        <is>
          <t>West</t>
        </is>
      </c>
      <c r="H51" s="7" t="inlineStr">
        <is>
          <t>California</t>
        </is>
      </c>
      <c r="I51" s="7" t="inlineStr">
        <is>
          <t>Direct Sales</t>
        </is>
      </c>
      <c r="J51" s="7" t="inlineStr">
        <is>
          <t>Consumer</t>
        </is>
      </c>
      <c r="K51" s="12" t="n">
        <v>2</v>
      </c>
      <c r="L51" s="9" t="n">
        <v>329.99</v>
      </c>
      <c r="M51" s="10" t="n">
        <v>0.1</v>
      </c>
      <c r="N51" s="9" t="n">
        <v>250.79</v>
      </c>
      <c r="O51" s="9">
        <f>K51*L51</f>
        <v/>
      </c>
      <c r="P51" s="9">
        <f>O51*M51</f>
        <v/>
      </c>
      <c r="Q51" s="9">
        <f>O51-P51</f>
        <v/>
      </c>
      <c r="R51" s="9">
        <f>K51*N51</f>
        <v/>
      </c>
      <c r="S51" s="9">
        <f>Q51-R51</f>
        <v/>
      </c>
      <c r="T51" s="10">
        <f>IFERROR(S51/Q51, 0)</f>
        <v/>
      </c>
    </row>
    <row r="52">
      <c r="A52" s="11" t="inlineStr">
        <is>
          <t>ORD-2024-1141</t>
        </is>
      </c>
      <c r="B52" s="11" t="inlineStr">
        <is>
          <t>2024-01-24</t>
        </is>
      </c>
      <c r="C52" s="11" t="inlineStr">
        <is>
          <t>OFF-DSK-007</t>
        </is>
      </c>
      <c r="D52" s="7" t="inlineStr">
        <is>
          <t>Gel Ergo Mouse Pad &amp; Wrist Rest Combo</t>
        </is>
      </c>
      <c r="E52" s="7" t="inlineStr">
        <is>
          <t>Office Supplies</t>
        </is>
      </c>
      <c r="F52" s="7" t="inlineStr">
        <is>
          <t>Desk Supplies</t>
        </is>
      </c>
      <c r="G52" s="7" t="inlineStr">
        <is>
          <t>West</t>
        </is>
      </c>
      <c r="H52" s="7" t="inlineStr">
        <is>
          <t>California</t>
        </is>
      </c>
      <c r="I52" s="7" t="inlineStr">
        <is>
          <t>Direct Sales</t>
        </is>
      </c>
      <c r="J52" s="7" t="inlineStr">
        <is>
          <t>Consumer</t>
        </is>
      </c>
      <c r="K52" s="12" t="n">
        <v>1</v>
      </c>
      <c r="L52" s="9" t="n">
        <v>21.99</v>
      </c>
      <c r="M52" s="10" t="n">
        <v>0</v>
      </c>
      <c r="N52" s="9" t="n">
        <v>10.56</v>
      </c>
      <c r="O52" s="9">
        <f>K52*L52</f>
        <v/>
      </c>
      <c r="P52" s="9">
        <f>O52*M52</f>
        <v/>
      </c>
      <c r="Q52" s="9">
        <f>O52-P52</f>
        <v/>
      </c>
      <c r="R52" s="9">
        <f>K52*N52</f>
        <v/>
      </c>
      <c r="S52" s="9">
        <f>Q52-R52</f>
        <v/>
      </c>
      <c r="T52" s="10">
        <f>IFERROR(S52/Q52, 0)</f>
        <v/>
      </c>
    </row>
    <row r="53">
      <c r="A53" s="11" t="inlineStr">
        <is>
          <t>ORD-2024-1410</t>
        </is>
      </c>
      <c r="B53" s="11" t="inlineStr">
        <is>
          <t>2024-01-24</t>
        </is>
      </c>
      <c r="C53" s="11" t="inlineStr">
        <is>
          <t>OFF-ART-006</t>
        </is>
      </c>
      <c r="D53" s="7" t="inlineStr">
        <is>
          <t>Professional Presentation Dry Erase Board</t>
        </is>
      </c>
      <c r="E53" s="7" t="inlineStr">
        <is>
          <t>Office Supplies</t>
        </is>
      </c>
      <c r="F53" s="7" t="inlineStr">
        <is>
          <t>Presentation &amp; Art</t>
        </is>
      </c>
      <c r="G53" s="7" t="inlineStr">
        <is>
          <t>West</t>
        </is>
      </c>
      <c r="H53" s="7" t="inlineStr">
        <is>
          <t>Oregon</t>
        </is>
      </c>
      <c r="I53" s="7" t="inlineStr">
        <is>
          <t>Retail Partner</t>
        </is>
      </c>
      <c r="J53" s="7" t="inlineStr">
        <is>
          <t>Consumer</t>
        </is>
      </c>
      <c r="K53" s="12" t="n">
        <v>4</v>
      </c>
      <c r="L53" s="9" t="n">
        <v>89.98999999999999</v>
      </c>
      <c r="M53" s="10" t="n">
        <v>0</v>
      </c>
      <c r="N53" s="9" t="n">
        <v>53.99</v>
      </c>
      <c r="O53" s="9">
        <f>K53*L53</f>
        <v/>
      </c>
      <c r="P53" s="9">
        <f>O53*M53</f>
        <v/>
      </c>
      <c r="Q53" s="9">
        <f>O53-P53</f>
        <v/>
      </c>
      <c r="R53" s="9">
        <f>K53*N53</f>
        <v/>
      </c>
      <c r="S53" s="9">
        <f>Q53-R53</f>
        <v/>
      </c>
      <c r="T53" s="10">
        <f>IFERROR(S53/Q53, 0)</f>
        <v/>
      </c>
    </row>
    <row r="54">
      <c r="A54" s="11" t="inlineStr">
        <is>
          <t>ORD-2024-1315</t>
        </is>
      </c>
      <c r="B54" s="11" t="inlineStr">
        <is>
          <t>2024-01-25</t>
        </is>
      </c>
      <c r="C54" s="11" t="inlineStr">
        <is>
          <t>TEC-LAP-002</t>
        </is>
      </c>
      <c r="D54" s="7" t="inlineStr">
        <is>
          <t>Apex Gaming Laptop 17"</t>
        </is>
      </c>
      <c r="E54" s="7" t="inlineStr">
        <is>
          <t>Technology</t>
        </is>
      </c>
      <c r="F54" s="7" t="inlineStr">
        <is>
          <t>Laptops</t>
        </is>
      </c>
      <c r="G54" s="7" t="inlineStr">
        <is>
          <t>West</t>
        </is>
      </c>
      <c r="H54" s="7" t="inlineStr">
        <is>
          <t>California</t>
        </is>
      </c>
      <c r="I54" s="7" t="inlineStr">
        <is>
          <t>Wholesale</t>
        </is>
      </c>
      <c r="J54" s="7" t="inlineStr">
        <is>
          <t>Consumer</t>
        </is>
      </c>
      <c r="K54" s="12" t="n">
        <v>7</v>
      </c>
      <c r="L54" s="9" t="n">
        <v>1499.99</v>
      </c>
      <c r="M54" s="10" t="n">
        <v>0.15</v>
      </c>
      <c r="N54" s="9" t="n">
        <v>1259.99</v>
      </c>
      <c r="O54" s="9">
        <f>K54*L54</f>
        <v/>
      </c>
      <c r="P54" s="9">
        <f>O54*M54</f>
        <v/>
      </c>
      <c r="Q54" s="9">
        <f>O54-P54</f>
        <v/>
      </c>
      <c r="R54" s="9">
        <f>K54*N54</f>
        <v/>
      </c>
      <c r="S54" s="9">
        <f>Q54-R54</f>
        <v/>
      </c>
      <c r="T54" s="10">
        <f>IFERROR(S54/Q54, 0)</f>
        <v/>
      </c>
    </row>
    <row r="55">
      <c r="A55" s="11" t="inlineStr">
        <is>
          <t>ORD-2024-1536</t>
        </is>
      </c>
      <c r="B55" s="11" t="inlineStr">
        <is>
          <t>2024-01-25</t>
        </is>
      </c>
      <c r="C55" s="11" t="inlineStr">
        <is>
          <t>FUR-CHA-002</t>
        </is>
      </c>
      <c r="D55" s="7" t="inlineStr">
        <is>
          <t>AeroTask Operator Task Chair</t>
        </is>
      </c>
      <c r="E55" s="7" t="inlineStr">
        <is>
          <t>Furniture</t>
        </is>
      </c>
      <c r="F55" s="7" t="inlineStr">
        <is>
          <t>Chairs</t>
        </is>
      </c>
      <c r="G55" s="7" t="inlineStr">
        <is>
          <t>East</t>
        </is>
      </c>
      <c r="H55" s="7" t="inlineStr">
        <is>
          <t>New York</t>
        </is>
      </c>
      <c r="I55" s="7" t="inlineStr">
        <is>
          <t>Retail Partner</t>
        </is>
      </c>
      <c r="J55" s="7" t="inlineStr">
        <is>
          <t>Corporate</t>
        </is>
      </c>
      <c r="K55" s="12" t="n">
        <v>5</v>
      </c>
      <c r="L55" s="9" t="n">
        <v>219.99</v>
      </c>
      <c r="M55" s="10" t="n">
        <v>0.05</v>
      </c>
      <c r="N55" s="9" t="n">
        <v>171.59</v>
      </c>
      <c r="O55" s="9">
        <f>K55*L55</f>
        <v/>
      </c>
      <c r="P55" s="9">
        <f>O55*M55</f>
        <v/>
      </c>
      <c r="Q55" s="9">
        <f>O55-P55</f>
        <v/>
      </c>
      <c r="R55" s="9">
        <f>K55*N55</f>
        <v/>
      </c>
      <c r="S55" s="9">
        <f>Q55-R55</f>
        <v/>
      </c>
      <c r="T55" s="10">
        <f>IFERROR(S55/Q55, 0)</f>
        <v/>
      </c>
    </row>
    <row r="56">
      <c r="A56" s="11" t="inlineStr">
        <is>
          <t>ORD-2024-1230</t>
        </is>
      </c>
      <c r="B56" s="11" t="inlineStr">
        <is>
          <t>2024-01-26</t>
        </is>
      </c>
      <c r="C56" s="11" t="inlineStr">
        <is>
          <t>FUR-DSK-003</t>
        </is>
      </c>
      <c r="D56" s="7" t="inlineStr">
        <is>
          <t>ApexMotor Dual-Motor Standing Desk</t>
        </is>
      </c>
      <c r="E56" s="7" t="inlineStr">
        <is>
          <t>Furniture</t>
        </is>
      </c>
      <c r="F56" s="7" t="inlineStr">
        <is>
          <t>Desks &amp; Workstations</t>
        </is>
      </c>
      <c r="G56" s="7" t="inlineStr">
        <is>
          <t>South</t>
        </is>
      </c>
      <c r="H56" s="7" t="inlineStr">
        <is>
          <t>North Carolina</t>
        </is>
      </c>
      <c r="I56" s="7" t="inlineStr">
        <is>
          <t>Online</t>
        </is>
      </c>
      <c r="J56" s="7" t="inlineStr">
        <is>
          <t>Home Office</t>
        </is>
      </c>
      <c r="K56" s="12" t="n">
        <v>4</v>
      </c>
      <c r="L56" s="9" t="n">
        <v>549.99</v>
      </c>
      <c r="M56" s="10" t="n">
        <v>0.05</v>
      </c>
      <c r="N56" s="9" t="n">
        <v>439.99</v>
      </c>
      <c r="O56" s="9">
        <f>K56*L56</f>
        <v/>
      </c>
      <c r="P56" s="9">
        <f>O56*M56</f>
        <v/>
      </c>
      <c r="Q56" s="9">
        <f>O56-P56</f>
        <v/>
      </c>
      <c r="R56" s="9">
        <f>K56*N56</f>
        <v/>
      </c>
      <c r="S56" s="9">
        <f>Q56-R56</f>
        <v/>
      </c>
      <c r="T56" s="10">
        <f>IFERROR(S56/Q56, 0)</f>
        <v/>
      </c>
    </row>
    <row r="57">
      <c r="A57" s="11" t="inlineStr">
        <is>
          <t>ORD-2024-1230</t>
        </is>
      </c>
      <c r="B57" s="11" t="inlineStr">
        <is>
          <t>2024-01-26</t>
        </is>
      </c>
      <c r="C57" s="11" t="inlineStr">
        <is>
          <t>OFF-DSK-007</t>
        </is>
      </c>
      <c r="D57" s="7" t="inlineStr">
        <is>
          <t>Gel Ergo Mouse Pad &amp; Wrist Rest Combo</t>
        </is>
      </c>
      <c r="E57" s="7" t="inlineStr">
        <is>
          <t>Office Supplies</t>
        </is>
      </c>
      <c r="F57" s="7" t="inlineStr">
        <is>
          <t>Desk Supplies</t>
        </is>
      </c>
      <c r="G57" s="7" t="inlineStr">
        <is>
          <t>South</t>
        </is>
      </c>
      <c r="H57" s="7" t="inlineStr">
        <is>
          <t>North Carolina</t>
        </is>
      </c>
      <c r="I57" s="7" t="inlineStr">
        <is>
          <t>Online</t>
        </is>
      </c>
      <c r="J57" s="7" t="inlineStr">
        <is>
          <t>Home Office</t>
        </is>
      </c>
      <c r="K57" s="12" t="n">
        <v>1</v>
      </c>
      <c r="L57" s="9" t="n">
        <v>21.99</v>
      </c>
      <c r="M57" s="10" t="n">
        <v>0.05</v>
      </c>
      <c r="N57" s="9" t="n">
        <v>10.56</v>
      </c>
      <c r="O57" s="9">
        <f>K57*L57</f>
        <v/>
      </c>
      <c r="P57" s="9">
        <f>O57*M57</f>
        <v/>
      </c>
      <c r="Q57" s="9">
        <f>O57-P57</f>
        <v/>
      </c>
      <c r="R57" s="9">
        <f>K57*N57</f>
        <v/>
      </c>
      <c r="S57" s="9">
        <f>Q57-R57</f>
        <v/>
      </c>
      <c r="T57" s="10">
        <f>IFERROR(S57/Q57, 0)</f>
        <v/>
      </c>
    </row>
    <row r="58">
      <c r="A58" s="11" t="inlineStr">
        <is>
          <t>ORD-2024-1388</t>
        </is>
      </c>
      <c r="B58" s="11" t="inlineStr">
        <is>
          <t>2024-01-27</t>
        </is>
      </c>
      <c r="C58" s="11" t="inlineStr">
        <is>
          <t>OFF-ART-006</t>
        </is>
      </c>
      <c r="D58" s="7" t="inlineStr">
        <is>
          <t>Professional Presentation Dry Erase Board</t>
        </is>
      </c>
      <c r="E58" s="7" t="inlineStr">
        <is>
          <t>Office Supplies</t>
        </is>
      </c>
      <c r="F58" s="7" t="inlineStr">
        <is>
          <t>Presentation &amp; Art</t>
        </is>
      </c>
      <c r="G58" s="7" t="inlineStr">
        <is>
          <t>East</t>
        </is>
      </c>
      <c r="H58" s="7" t="inlineStr">
        <is>
          <t>New Jersey</t>
        </is>
      </c>
      <c r="I58" s="7" t="inlineStr">
        <is>
          <t>Direct Sales</t>
        </is>
      </c>
      <c r="J58" s="7" t="inlineStr">
        <is>
          <t>Consumer</t>
        </is>
      </c>
      <c r="K58" s="12" t="n">
        <v>1</v>
      </c>
      <c r="L58" s="9" t="n">
        <v>89.98999999999999</v>
      </c>
      <c r="M58" s="10" t="n">
        <v>0.1</v>
      </c>
      <c r="N58" s="9" t="n">
        <v>53.99</v>
      </c>
      <c r="O58" s="9">
        <f>K58*L58</f>
        <v/>
      </c>
      <c r="P58" s="9">
        <f>O58*M58</f>
        <v/>
      </c>
      <c r="Q58" s="9">
        <f>O58-P58</f>
        <v/>
      </c>
      <c r="R58" s="9">
        <f>K58*N58</f>
        <v/>
      </c>
      <c r="S58" s="9">
        <f>Q58-R58</f>
        <v/>
      </c>
      <c r="T58" s="10">
        <f>IFERROR(S58/Q58, 0)</f>
        <v/>
      </c>
    </row>
    <row r="59">
      <c r="A59" s="11" t="inlineStr">
        <is>
          <t>ORD-2024-1388</t>
        </is>
      </c>
      <c r="B59" s="11" t="inlineStr">
        <is>
          <t>2024-01-27</t>
        </is>
      </c>
      <c r="C59" s="11" t="inlineStr">
        <is>
          <t>OFF-DSK-007</t>
        </is>
      </c>
      <c r="D59" s="7" t="inlineStr">
        <is>
          <t>Gel Ergo Mouse Pad &amp; Wrist Rest Combo</t>
        </is>
      </c>
      <c r="E59" s="7" t="inlineStr">
        <is>
          <t>Office Supplies</t>
        </is>
      </c>
      <c r="F59" s="7" t="inlineStr">
        <is>
          <t>Desk Supplies</t>
        </is>
      </c>
      <c r="G59" s="7" t="inlineStr">
        <is>
          <t>East</t>
        </is>
      </c>
      <c r="H59" s="7" t="inlineStr">
        <is>
          <t>New Jersey</t>
        </is>
      </c>
      <c r="I59" s="7" t="inlineStr">
        <is>
          <t>Direct Sales</t>
        </is>
      </c>
      <c r="J59" s="7" t="inlineStr">
        <is>
          <t>Consumer</t>
        </is>
      </c>
      <c r="K59" s="12" t="n">
        <v>2</v>
      </c>
      <c r="L59" s="9" t="n">
        <v>21.99</v>
      </c>
      <c r="M59" s="10" t="n">
        <v>0.05</v>
      </c>
      <c r="N59" s="9" t="n">
        <v>10.56</v>
      </c>
      <c r="O59" s="9">
        <f>K59*L59</f>
        <v/>
      </c>
      <c r="P59" s="9">
        <f>O59*M59</f>
        <v/>
      </c>
      <c r="Q59" s="9">
        <f>O59-P59</f>
        <v/>
      </c>
      <c r="R59" s="9">
        <f>K59*N59</f>
        <v/>
      </c>
      <c r="S59" s="9">
        <f>Q59-R59</f>
        <v/>
      </c>
      <c r="T59" s="10">
        <f>IFERROR(S59/Q59, 0)</f>
        <v/>
      </c>
    </row>
    <row r="60">
      <c r="A60" s="11" t="inlineStr">
        <is>
          <t>ORD-2024-1388</t>
        </is>
      </c>
      <c r="B60" s="11" t="inlineStr">
        <is>
          <t>2024-01-27</t>
        </is>
      </c>
      <c r="C60" s="11" t="inlineStr">
        <is>
          <t>TEC-ACC-005</t>
        </is>
      </c>
      <c r="D60" s="7" t="inlineStr">
        <is>
          <t>UltraWireless Noise-Canceling Headset</t>
        </is>
      </c>
      <c r="E60" s="7" t="inlineStr">
        <is>
          <t>Technology</t>
        </is>
      </c>
      <c r="F60" s="7" t="inlineStr">
        <is>
          <t>Audio &amp; Accessories</t>
        </is>
      </c>
      <c r="G60" s="7" t="inlineStr">
        <is>
          <t>East</t>
        </is>
      </c>
      <c r="H60" s="7" t="inlineStr">
        <is>
          <t>New Jersey</t>
        </is>
      </c>
      <c r="I60" s="7" t="inlineStr">
        <is>
          <t>Direct Sales</t>
        </is>
      </c>
      <c r="J60" s="7" t="inlineStr">
        <is>
          <t>Consumer</t>
        </is>
      </c>
      <c r="K60" s="12" t="n">
        <v>3</v>
      </c>
      <c r="L60" s="9" t="n">
        <v>179.99</v>
      </c>
      <c r="M60" s="10" t="n">
        <v>0</v>
      </c>
      <c r="N60" s="9" t="n">
        <v>111.59</v>
      </c>
      <c r="O60" s="9">
        <f>K60*L60</f>
        <v/>
      </c>
      <c r="P60" s="9">
        <f>O60*M60</f>
        <v/>
      </c>
      <c r="Q60" s="9">
        <f>O60-P60</f>
        <v/>
      </c>
      <c r="R60" s="9">
        <f>K60*N60</f>
        <v/>
      </c>
      <c r="S60" s="9">
        <f>Q60-R60</f>
        <v/>
      </c>
      <c r="T60" s="10">
        <f>IFERROR(S60/Q60, 0)</f>
        <v/>
      </c>
    </row>
    <row r="61">
      <c r="A61" s="11" t="inlineStr">
        <is>
          <t>ORD-2024-1033</t>
        </is>
      </c>
      <c r="B61" s="11" t="inlineStr">
        <is>
          <t>2024-01-28</t>
        </is>
      </c>
      <c r="C61" s="11" t="inlineStr">
        <is>
          <t>OFF-DSK-007</t>
        </is>
      </c>
      <c r="D61" s="7" t="inlineStr">
        <is>
          <t>Gel Ergo Mouse Pad &amp; Wrist Rest Combo</t>
        </is>
      </c>
      <c r="E61" s="7" t="inlineStr">
        <is>
          <t>Office Supplies</t>
        </is>
      </c>
      <c r="F61" s="7" t="inlineStr">
        <is>
          <t>Desk Supplies</t>
        </is>
      </c>
      <c r="G61" s="7" t="inlineStr">
        <is>
          <t>West</t>
        </is>
      </c>
      <c r="H61" s="7" t="inlineStr">
        <is>
          <t>Oregon</t>
        </is>
      </c>
      <c r="I61" s="7" t="inlineStr">
        <is>
          <t>Direct Sales</t>
        </is>
      </c>
      <c r="J61" s="7" t="inlineStr">
        <is>
          <t>Corporate</t>
        </is>
      </c>
      <c r="K61" s="12" t="n">
        <v>6</v>
      </c>
      <c r="L61" s="9" t="n">
        <v>21.99</v>
      </c>
      <c r="M61" s="10" t="n">
        <v>0</v>
      </c>
      <c r="N61" s="9" t="n">
        <v>10.56</v>
      </c>
      <c r="O61" s="9">
        <f>K61*L61</f>
        <v/>
      </c>
      <c r="P61" s="9">
        <f>O61*M61</f>
        <v/>
      </c>
      <c r="Q61" s="9">
        <f>O61-P61</f>
        <v/>
      </c>
      <c r="R61" s="9">
        <f>K61*N61</f>
        <v/>
      </c>
      <c r="S61" s="9">
        <f>Q61-R61</f>
        <v/>
      </c>
      <c r="T61" s="10">
        <f>IFERROR(S61/Q61, 0)</f>
        <v/>
      </c>
    </row>
    <row r="62">
      <c r="A62" s="11" t="inlineStr">
        <is>
          <t>ORD-2024-1223</t>
        </is>
      </c>
      <c r="B62" s="11" t="inlineStr">
        <is>
          <t>2024-01-28</t>
        </is>
      </c>
      <c r="C62" s="11" t="inlineStr">
        <is>
          <t>TEC-ACC-008</t>
        </is>
      </c>
      <c r="D62" s="7" t="inlineStr">
        <is>
          <t>Precision Laser Bluetooth Mouse</t>
        </is>
      </c>
      <c r="E62" s="7" t="inlineStr">
        <is>
          <t>Technology</t>
        </is>
      </c>
      <c r="F62" s="7" t="inlineStr">
        <is>
          <t>Audio &amp; Accessories</t>
        </is>
      </c>
      <c r="G62" s="7" t="inlineStr">
        <is>
          <t>West</t>
        </is>
      </c>
      <c r="H62" s="7" t="inlineStr">
        <is>
          <t>Washington</t>
        </is>
      </c>
      <c r="I62" s="7" t="inlineStr">
        <is>
          <t>Wholesale</t>
        </is>
      </c>
      <c r="J62" s="7" t="inlineStr">
        <is>
          <t>Home Office</t>
        </is>
      </c>
      <c r="K62" s="12" t="n">
        <v>14</v>
      </c>
      <c r="L62" s="9" t="n">
        <v>49.99</v>
      </c>
      <c r="M62" s="10" t="n">
        <v>0.2</v>
      </c>
      <c r="N62" s="9" t="n">
        <v>27.49</v>
      </c>
      <c r="O62" s="9">
        <f>K62*L62</f>
        <v/>
      </c>
      <c r="P62" s="9">
        <f>O62*M62</f>
        <v/>
      </c>
      <c r="Q62" s="9">
        <f>O62-P62</f>
        <v/>
      </c>
      <c r="R62" s="9">
        <f>K62*N62</f>
        <v/>
      </c>
      <c r="S62" s="9">
        <f>Q62-R62</f>
        <v/>
      </c>
      <c r="T62" s="10">
        <f>IFERROR(S62/Q62, 0)</f>
        <v/>
      </c>
    </row>
    <row r="63">
      <c r="A63" s="11" t="inlineStr">
        <is>
          <t>ORD-2024-1377</t>
        </is>
      </c>
      <c r="B63" s="11" t="inlineStr">
        <is>
          <t>2024-01-29</t>
        </is>
      </c>
      <c r="C63" s="11" t="inlineStr">
        <is>
          <t>FUR-LGT-006</t>
        </is>
      </c>
      <c r="D63" s="7" t="inlineStr">
        <is>
          <t>Architect LED Desk Task Lamp</t>
        </is>
      </c>
      <c r="E63" s="7" t="inlineStr">
        <is>
          <t>Furniture</t>
        </is>
      </c>
      <c r="F63" s="7" t="inlineStr">
        <is>
          <t>Lighting</t>
        </is>
      </c>
      <c r="G63" s="7" t="inlineStr">
        <is>
          <t>Central</t>
        </is>
      </c>
      <c r="H63" s="7" t="inlineStr">
        <is>
          <t>Texas</t>
        </is>
      </c>
      <c r="I63" s="7" t="inlineStr">
        <is>
          <t>Direct Sales</t>
        </is>
      </c>
      <c r="J63" s="7" t="inlineStr">
        <is>
          <t>Consumer</t>
        </is>
      </c>
      <c r="K63" s="12" t="n">
        <v>1</v>
      </c>
      <c r="L63" s="9" t="n">
        <v>69.98999999999999</v>
      </c>
      <c r="M63" s="10" t="n">
        <v>0</v>
      </c>
      <c r="N63" s="9" t="n">
        <v>43.39</v>
      </c>
      <c r="O63" s="9">
        <f>K63*L63</f>
        <v/>
      </c>
      <c r="P63" s="9">
        <f>O63*M63</f>
        <v/>
      </c>
      <c r="Q63" s="9">
        <f>O63-P63</f>
        <v/>
      </c>
      <c r="R63" s="9">
        <f>K63*N63</f>
        <v/>
      </c>
      <c r="S63" s="9">
        <f>Q63-R63</f>
        <v/>
      </c>
      <c r="T63" s="10">
        <f>IFERROR(S63/Q63, 0)</f>
        <v/>
      </c>
    </row>
    <row r="64">
      <c r="A64" s="11" t="inlineStr">
        <is>
          <t>ORD-2024-1073</t>
        </is>
      </c>
      <c r="B64" s="11" t="inlineStr">
        <is>
          <t>2024-01-30</t>
        </is>
      </c>
      <c r="C64" s="11" t="inlineStr">
        <is>
          <t>TEC-ACC-005</t>
        </is>
      </c>
      <c r="D64" s="7" t="inlineStr">
        <is>
          <t>UltraWireless Noise-Canceling Headset</t>
        </is>
      </c>
      <c r="E64" s="7" t="inlineStr">
        <is>
          <t>Technology</t>
        </is>
      </c>
      <c r="F64" s="7" t="inlineStr">
        <is>
          <t>Audio &amp; Accessories</t>
        </is>
      </c>
      <c r="G64" s="7" t="inlineStr">
        <is>
          <t>South</t>
        </is>
      </c>
      <c r="H64" s="7" t="inlineStr">
        <is>
          <t>Florida</t>
        </is>
      </c>
      <c r="I64" s="7" t="inlineStr">
        <is>
          <t>Online</t>
        </is>
      </c>
      <c r="J64" s="7" t="inlineStr">
        <is>
          <t>Home Office</t>
        </is>
      </c>
      <c r="K64" s="12" t="n">
        <v>3</v>
      </c>
      <c r="L64" s="9" t="n">
        <v>179.99</v>
      </c>
      <c r="M64" s="10" t="n">
        <v>0.15</v>
      </c>
      <c r="N64" s="9" t="n">
        <v>111.59</v>
      </c>
      <c r="O64" s="9">
        <f>K64*L64</f>
        <v/>
      </c>
      <c r="P64" s="9">
        <f>O64*M64</f>
        <v/>
      </c>
      <c r="Q64" s="9">
        <f>O64-P64</f>
        <v/>
      </c>
      <c r="R64" s="9">
        <f>K64*N64</f>
        <v/>
      </c>
      <c r="S64" s="9">
        <f>Q64-R64</f>
        <v/>
      </c>
      <c r="T64" s="10">
        <f>IFERROR(S64/Q64, 0)</f>
        <v/>
      </c>
    </row>
    <row r="65">
      <c r="A65" s="11" t="inlineStr">
        <is>
          <t>ORD-2024-1266</t>
        </is>
      </c>
      <c r="B65" s="11" t="inlineStr">
        <is>
          <t>2024-01-30</t>
        </is>
      </c>
      <c r="C65" s="11" t="inlineStr">
        <is>
          <t>OFF-DSK-007</t>
        </is>
      </c>
      <c r="D65" s="7" t="inlineStr">
        <is>
          <t>Gel Ergo Mouse Pad &amp; Wrist Rest Combo</t>
        </is>
      </c>
      <c r="E65" s="7" t="inlineStr">
        <is>
          <t>Office Supplies</t>
        </is>
      </c>
      <c r="F65" s="7" t="inlineStr">
        <is>
          <t>Desk Supplies</t>
        </is>
      </c>
      <c r="G65" s="7" t="inlineStr">
        <is>
          <t>West</t>
        </is>
      </c>
      <c r="H65" s="7" t="inlineStr">
        <is>
          <t>Washington</t>
        </is>
      </c>
      <c r="I65" s="7" t="inlineStr">
        <is>
          <t>Wholesale</t>
        </is>
      </c>
      <c r="J65" s="7" t="inlineStr">
        <is>
          <t>Corporate</t>
        </is>
      </c>
      <c r="K65" s="12" t="n">
        <v>6</v>
      </c>
      <c r="L65" s="9" t="n">
        <v>21.99</v>
      </c>
      <c r="M65" s="10" t="n">
        <v>0.15</v>
      </c>
      <c r="N65" s="9" t="n">
        <v>10.56</v>
      </c>
      <c r="O65" s="9">
        <f>K65*L65</f>
        <v/>
      </c>
      <c r="P65" s="9">
        <f>O65*M65</f>
        <v/>
      </c>
      <c r="Q65" s="9">
        <f>O65-P65</f>
        <v/>
      </c>
      <c r="R65" s="9">
        <f>K65*N65</f>
        <v/>
      </c>
      <c r="S65" s="9">
        <f>Q65-R65</f>
        <v/>
      </c>
      <c r="T65" s="10">
        <f>IFERROR(S65/Q65, 0)</f>
        <v/>
      </c>
    </row>
    <row r="66">
      <c r="A66" s="11" t="inlineStr">
        <is>
          <t>ORD-2024-1266</t>
        </is>
      </c>
      <c r="B66" s="11" t="inlineStr">
        <is>
          <t>2024-01-30</t>
        </is>
      </c>
      <c r="C66" s="11" t="inlineStr">
        <is>
          <t>OFF-DSK-007</t>
        </is>
      </c>
      <c r="D66" s="7" t="inlineStr">
        <is>
          <t>Gel Ergo Mouse Pad &amp; Wrist Rest Combo</t>
        </is>
      </c>
      <c r="E66" s="7" t="inlineStr">
        <is>
          <t>Office Supplies</t>
        </is>
      </c>
      <c r="F66" s="7" t="inlineStr">
        <is>
          <t>Desk Supplies</t>
        </is>
      </c>
      <c r="G66" s="7" t="inlineStr">
        <is>
          <t>West</t>
        </is>
      </c>
      <c r="H66" s="7" t="inlineStr">
        <is>
          <t>Washington</t>
        </is>
      </c>
      <c r="I66" s="7" t="inlineStr">
        <is>
          <t>Wholesale</t>
        </is>
      </c>
      <c r="J66" s="7" t="inlineStr">
        <is>
          <t>Corporate</t>
        </is>
      </c>
      <c r="K66" s="12" t="n">
        <v>12</v>
      </c>
      <c r="L66" s="9" t="n">
        <v>21.99</v>
      </c>
      <c r="M66" s="10" t="n">
        <v>0.1</v>
      </c>
      <c r="N66" s="9" t="n">
        <v>10.56</v>
      </c>
      <c r="O66" s="9">
        <f>K66*L66</f>
        <v/>
      </c>
      <c r="P66" s="9">
        <f>O66*M66</f>
        <v/>
      </c>
      <c r="Q66" s="9">
        <f>O66-P66</f>
        <v/>
      </c>
      <c r="R66" s="9">
        <f>K66*N66</f>
        <v/>
      </c>
      <c r="S66" s="9">
        <f>Q66-R66</f>
        <v/>
      </c>
      <c r="T66" s="10">
        <f>IFERROR(S66/Q66, 0)</f>
        <v/>
      </c>
    </row>
    <row r="67">
      <c r="A67" s="11" t="inlineStr">
        <is>
          <t>ORD-2024-1266</t>
        </is>
      </c>
      <c r="B67" s="11" t="inlineStr">
        <is>
          <t>2024-01-30</t>
        </is>
      </c>
      <c r="C67" s="11" t="inlineStr">
        <is>
          <t>FUR-CHA-002</t>
        </is>
      </c>
      <c r="D67" s="7" t="inlineStr">
        <is>
          <t>AeroTask Operator Task Chair</t>
        </is>
      </c>
      <c r="E67" s="7" t="inlineStr">
        <is>
          <t>Furniture</t>
        </is>
      </c>
      <c r="F67" s="7" t="inlineStr">
        <is>
          <t>Chairs</t>
        </is>
      </c>
      <c r="G67" s="7" t="inlineStr">
        <is>
          <t>West</t>
        </is>
      </c>
      <c r="H67" s="7" t="inlineStr">
        <is>
          <t>Washington</t>
        </is>
      </c>
      <c r="I67" s="7" t="inlineStr">
        <is>
          <t>Wholesale</t>
        </is>
      </c>
      <c r="J67" s="7" t="inlineStr">
        <is>
          <t>Corporate</t>
        </is>
      </c>
      <c r="K67" s="12" t="n">
        <v>15</v>
      </c>
      <c r="L67" s="9" t="n">
        <v>219.99</v>
      </c>
      <c r="M67" s="10" t="n">
        <v>0.15</v>
      </c>
      <c r="N67" s="9" t="n">
        <v>171.59</v>
      </c>
      <c r="O67" s="9">
        <f>K67*L67</f>
        <v/>
      </c>
      <c r="P67" s="9">
        <f>O67*M67</f>
        <v/>
      </c>
      <c r="Q67" s="9">
        <f>O67-P67</f>
        <v/>
      </c>
      <c r="R67" s="9">
        <f>K67*N67</f>
        <v/>
      </c>
      <c r="S67" s="9">
        <f>Q67-R67</f>
        <v/>
      </c>
      <c r="T67" s="10">
        <f>IFERROR(S67/Q67, 0)</f>
        <v/>
      </c>
    </row>
    <row r="68">
      <c r="A68" s="11" t="inlineStr">
        <is>
          <t>ORD-2024-1352</t>
        </is>
      </c>
      <c r="B68" s="11" t="inlineStr">
        <is>
          <t>2024-01-30</t>
        </is>
      </c>
      <c r="C68" s="11" t="inlineStr">
        <is>
          <t>FUR-BOK-005</t>
        </is>
      </c>
      <c r="D68" s="7" t="inlineStr">
        <is>
          <t>Modular 5-Tier Steel Bookcase</t>
        </is>
      </c>
      <c r="E68" s="7" t="inlineStr">
        <is>
          <t>Furniture</t>
        </is>
      </c>
      <c r="F68" s="7" t="inlineStr">
        <is>
          <t>Bookcases</t>
        </is>
      </c>
      <c r="G68" s="7" t="inlineStr">
        <is>
          <t>East</t>
        </is>
      </c>
      <c r="H68" s="7" t="inlineStr">
        <is>
          <t>Massachusetts</t>
        </is>
      </c>
      <c r="I68" s="7" t="inlineStr">
        <is>
          <t>Wholesale</t>
        </is>
      </c>
      <c r="J68" s="7" t="inlineStr">
        <is>
          <t>Home Office</t>
        </is>
      </c>
      <c r="K68" s="12" t="n">
        <v>11</v>
      </c>
      <c r="L68" s="9" t="n">
        <v>189.99</v>
      </c>
      <c r="M68" s="10" t="n">
        <v>0.1</v>
      </c>
      <c r="N68" s="9" t="n">
        <v>142.49</v>
      </c>
      <c r="O68" s="9">
        <f>K68*L68</f>
        <v/>
      </c>
      <c r="P68" s="9">
        <f>O68*M68</f>
        <v/>
      </c>
      <c r="Q68" s="9">
        <f>O68-P68</f>
        <v/>
      </c>
      <c r="R68" s="9">
        <f>K68*N68</f>
        <v/>
      </c>
      <c r="S68" s="9">
        <f>Q68-R68</f>
        <v/>
      </c>
      <c r="T68" s="10">
        <f>IFERROR(S68/Q68, 0)</f>
        <v/>
      </c>
    </row>
    <row r="69">
      <c r="A69" s="11" t="inlineStr">
        <is>
          <t>ORD-2024-1644</t>
        </is>
      </c>
      <c r="B69" s="11" t="inlineStr">
        <is>
          <t>2024-01-30</t>
        </is>
      </c>
      <c r="C69" s="11" t="inlineStr">
        <is>
          <t>TEC-TAB-004</t>
        </is>
      </c>
      <c r="D69" s="7" t="inlineStr">
        <is>
          <t>VisionPad Lite 8.5"</t>
        </is>
      </c>
      <c r="E69" s="7" t="inlineStr">
        <is>
          <t>Technology</t>
        </is>
      </c>
      <c r="F69" s="7" t="inlineStr">
        <is>
          <t>Phones &amp; Tablets</t>
        </is>
      </c>
      <c r="G69" s="7" t="inlineStr">
        <is>
          <t>West</t>
        </is>
      </c>
      <c r="H69" s="7" t="inlineStr">
        <is>
          <t>California</t>
        </is>
      </c>
      <c r="I69" s="7" t="inlineStr">
        <is>
          <t>Online</t>
        </is>
      </c>
      <c r="J69" s="7" t="inlineStr">
        <is>
          <t>Consumer</t>
        </is>
      </c>
      <c r="K69" s="12" t="n">
        <v>2</v>
      </c>
      <c r="L69" s="9" t="n">
        <v>299.99</v>
      </c>
      <c r="M69" s="10" t="n">
        <v>0</v>
      </c>
      <c r="N69" s="9" t="n">
        <v>245.99</v>
      </c>
      <c r="O69" s="9">
        <f>K69*L69</f>
        <v/>
      </c>
      <c r="P69" s="9">
        <f>O69*M69</f>
        <v/>
      </c>
      <c r="Q69" s="9">
        <f>O69-P69</f>
        <v/>
      </c>
      <c r="R69" s="9">
        <f>K69*N69</f>
        <v/>
      </c>
      <c r="S69" s="9">
        <f>Q69-R69</f>
        <v/>
      </c>
      <c r="T69" s="10">
        <f>IFERROR(S69/Q69, 0)</f>
        <v/>
      </c>
    </row>
    <row r="70">
      <c r="A70" s="11" t="inlineStr">
        <is>
          <t>ORD-2024-1274</t>
        </is>
      </c>
      <c r="B70" s="11" t="inlineStr">
        <is>
          <t>2024-01-31</t>
        </is>
      </c>
      <c r="C70" s="11" t="inlineStr">
        <is>
          <t>TEC-LAP-002</t>
        </is>
      </c>
      <c r="D70" s="7" t="inlineStr">
        <is>
          <t>Apex Gaming Laptop 17"</t>
        </is>
      </c>
      <c r="E70" s="7" t="inlineStr">
        <is>
          <t>Technology</t>
        </is>
      </c>
      <c r="F70" s="7" t="inlineStr">
        <is>
          <t>Laptops</t>
        </is>
      </c>
      <c r="G70" s="7" t="inlineStr">
        <is>
          <t>West</t>
        </is>
      </c>
      <c r="H70" s="7" t="inlineStr">
        <is>
          <t>Oregon</t>
        </is>
      </c>
      <c r="I70" s="7" t="inlineStr">
        <is>
          <t>Retail Partner</t>
        </is>
      </c>
      <c r="J70" s="7" t="inlineStr">
        <is>
          <t>Consumer</t>
        </is>
      </c>
      <c r="K70" s="12" t="n">
        <v>3</v>
      </c>
      <c r="L70" s="9" t="n">
        <v>1499.99</v>
      </c>
      <c r="M70" s="10" t="n">
        <v>0.15</v>
      </c>
      <c r="N70" s="9" t="n">
        <v>1259.99</v>
      </c>
      <c r="O70" s="9">
        <f>K70*L70</f>
        <v/>
      </c>
      <c r="P70" s="9">
        <f>O70*M70</f>
        <v/>
      </c>
      <c r="Q70" s="9">
        <f>O70-P70</f>
        <v/>
      </c>
      <c r="R70" s="9">
        <f>K70*N70</f>
        <v/>
      </c>
      <c r="S70" s="9">
        <f>Q70-R70</f>
        <v/>
      </c>
      <c r="T70" s="10">
        <f>IFERROR(S70/Q70, 0)</f>
        <v/>
      </c>
    </row>
    <row r="71">
      <c r="A71" s="11" t="inlineStr">
        <is>
          <t>ORD-2024-1091</t>
        </is>
      </c>
      <c r="B71" s="11" t="inlineStr">
        <is>
          <t>2024-02-01</t>
        </is>
      </c>
      <c r="C71" s="11" t="inlineStr">
        <is>
          <t>FUR-BOK-005</t>
        </is>
      </c>
      <c r="D71" s="7" t="inlineStr">
        <is>
          <t>Modular 5-Tier Steel Bookcase</t>
        </is>
      </c>
      <c r="E71" s="7" t="inlineStr">
        <is>
          <t>Furniture</t>
        </is>
      </c>
      <c r="F71" s="7" t="inlineStr">
        <is>
          <t>Bookcases</t>
        </is>
      </c>
      <c r="G71" s="7" t="inlineStr">
        <is>
          <t>West</t>
        </is>
      </c>
      <c r="H71" s="7" t="inlineStr">
        <is>
          <t>Washington</t>
        </is>
      </c>
      <c r="I71" s="7" t="inlineStr">
        <is>
          <t>Online</t>
        </is>
      </c>
      <c r="J71" s="7" t="inlineStr">
        <is>
          <t>Consumer</t>
        </is>
      </c>
      <c r="K71" s="12" t="n">
        <v>3</v>
      </c>
      <c r="L71" s="9" t="n">
        <v>189.99</v>
      </c>
      <c r="M71" s="10" t="n">
        <v>0.05</v>
      </c>
      <c r="N71" s="9" t="n">
        <v>142.49</v>
      </c>
      <c r="O71" s="9">
        <f>K71*L71</f>
        <v/>
      </c>
      <c r="P71" s="9">
        <f>O71*M71</f>
        <v/>
      </c>
      <c r="Q71" s="9">
        <f>O71-P71</f>
        <v/>
      </c>
      <c r="R71" s="9">
        <f>K71*N71</f>
        <v/>
      </c>
      <c r="S71" s="9">
        <f>Q71-R71</f>
        <v/>
      </c>
      <c r="T71" s="10">
        <f>IFERROR(S71/Q71, 0)</f>
        <v/>
      </c>
    </row>
    <row r="72">
      <c r="A72" s="11" t="inlineStr">
        <is>
          <t>ORD-2024-1321</t>
        </is>
      </c>
      <c r="B72" s="11" t="inlineStr">
        <is>
          <t>2024-02-01</t>
        </is>
      </c>
      <c r="C72" s="11" t="inlineStr">
        <is>
          <t>FUR-CHA-002</t>
        </is>
      </c>
      <c r="D72" s="7" t="inlineStr">
        <is>
          <t>AeroTask Operator Task Chair</t>
        </is>
      </c>
      <c r="E72" s="7" t="inlineStr">
        <is>
          <t>Furniture</t>
        </is>
      </c>
      <c r="F72" s="7" t="inlineStr">
        <is>
          <t>Chairs</t>
        </is>
      </c>
      <c r="G72" s="7" t="inlineStr">
        <is>
          <t>East</t>
        </is>
      </c>
      <c r="H72" s="7" t="inlineStr">
        <is>
          <t>Pennsylvania</t>
        </is>
      </c>
      <c r="I72" s="7" t="inlineStr">
        <is>
          <t>Direct Sales</t>
        </is>
      </c>
      <c r="J72" s="7" t="inlineStr">
        <is>
          <t>Consumer</t>
        </is>
      </c>
      <c r="K72" s="12" t="n">
        <v>2</v>
      </c>
      <c r="L72" s="9" t="n">
        <v>219.99</v>
      </c>
      <c r="M72" s="10" t="n">
        <v>0.1</v>
      </c>
      <c r="N72" s="9" t="n">
        <v>171.59</v>
      </c>
      <c r="O72" s="9">
        <f>K72*L72</f>
        <v/>
      </c>
      <c r="P72" s="9">
        <f>O72*M72</f>
        <v/>
      </c>
      <c r="Q72" s="9">
        <f>O72-P72</f>
        <v/>
      </c>
      <c r="R72" s="9">
        <f>K72*N72</f>
        <v/>
      </c>
      <c r="S72" s="9">
        <f>Q72-R72</f>
        <v/>
      </c>
      <c r="T72" s="10">
        <f>IFERROR(S72/Q72, 0)</f>
        <v/>
      </c>
    </row>
    <row r="73">
      <c r="A73" s="11" t="inlineStr">
        <is>
          <t>ORD-2024-1321</t>
        </is>
      </c>
      <c r="B73" s="11" t="inlineStr">
        <is>
          <t>2024-02-01</t>
        </is>
      </c>
      <c r="C73" s="11" t="inlineStr">
        <is>
          <t>TEC-ACC-005</t>
        </is>
      </c>
      <c r="D73" s="7" t="inlineStr">
        <is>
          <t>UltraWireless Noise-Canceling Headset</t>
        </is>
      </c>
      <c r="E73" s="7" t="inlineStr">
        <is>
          <t>Technology</t>
        </is>
      </c>
      <c r="F73" s="7" t="inlineStr">
        <is>
          <t>Audio &amp; Accessories</t>
        </is>
      </c>
      <c r="G73" s="7" t="inlineStr">
        <is>
          <t>East</t>
        </is>
      </c>
      <c r="H73" s="7" t="inlineStr">
        <is>
          <t>Pennsylvania</t>
        </is>
      </c>
      <c r="I73" s="7" t="inlineStr">
        <is>
          <t>Direct Sales</t>
        </is>
      </c>
      <c r="J73" s="7" t="inlineStr">
        <is>
          <t>Consumer</t>
        </is>
      </c>
      <c r="K73" s="12" t="n">
        <v>3</v>
      </c>
      <c r="L73" s="9" t="n">
        <v>179.99</v>
      </c>
      <c r="M73" s="10" t="n">
        <v>0.05</v>
      </c>
      <c r="N73" s="9" t="n">
        <v>111.59</v>
      </c>
      <c r="O73" s="9">
        <f>K73*L73</f>
        <v/>
      </c>
      <c r="P73" s="9">
        <f>O73*M73</f>
        <v/>
      </c>
      <c r="Q73" s="9">
        <f>O73-P73</f>
        <v/>
      </c>
      <c r="R73" s="9">
        <f>K73*N73</f>
        <v/>
      </c>
      <c r="S73" s="9">
        <f>Q73-R73</f>
        <v/>
      </c>
      <c r="T73" s="10">
        <f>IFERROR(S73/Q73, 0)</f>
        <v/>
      </c>
    </row>
    <row r="74">
      <c r="A74" s="11" t="inlineStr">
        <is>
          <t>ORD-2024-1321</t>
        </is>
      </c>
      <c r="B74" s="11" t="inlineStr">
        <is>
          <t>2024-02-01</t>
        </is>
      </c>
      <c r="C74" s="11" t="inlineStr">
        <is>
          <t>FUR-CHA-002</t>
        </is>
      </c>
      <c r="D74" s="7" t="inlineStr">
        <is>
          <t>AeroTask Operator Task Chair</t>
        </is>
      </c>
      <c r="E74" s="7" t="inlineStr">
        <is>
          <t>Furniture</t>
        </is>
      </c>
      <c r="F74" s="7" t="inlineStr">
        <is>
          <t>Chairs</t>
        </is>
      </c>
      <c r="G74" s="7" t="inlineStr">
        <is>
          <t>East</t>
        </is>
      </c>
      <c r="H74" s="7" t="inlineStr">
        <is>
          <t>Pennsylvania</t>
        </is>
      </c>
      <c r="I74" s="7" t="inlineStr">
        <is>
          <t>Direct Sales</t>
        </is>
      </c>
      <c r="J74" s="7" t="inlineStr">
        <is>
          <t>Consumer</t>
        </is>
      </c>
      <c r="K74" s="12" t="n">
        <v>3</v>
      </c>
      <c r="L74" s="9" t="n">
        <v>219.99</v>
      </c>
      <c r="M74" s="10" t="n">
        <v>0</v>
      </c>
      <c r="N74" s="9" t="n">
        <v>171.59</v>
      </c>
      <c r="O74" s="9">
        <f>K74*L74</f>
        <v/>
      </c>
      <c r="P74" s="9">
        <f>O74*M74</f>
        <v/>
      </c>
      <c r="Q74" s="9">
        <f>O74-P74</f>
        <v/>
      </c>
      <c r="R74" s="9">
        <f>K74*N74</f>
        <v/>
      </c>
      <c r="S74" s="9">
        <f>Q74-R74</f>
        <v/>
      </c>
      <c r="T74" s="10">
        <f>IFERROR(S74/Q74, 0)</f>
        <v/>
      </c>
    </row>
    <row r="75">
      <c r="A75" s="11" t="inlineStr">
        <is>
          <t>ORD-2024-1531</t>
        </is>
      </c>
      <c r="B75" s="11" t="inlineStr">
        <is>
          <t>2024-02-03</t>
        </is>
      </c>
      <c r="C75" s="11" t="inlineStr">
        <is>
          <t>TEC-LAP-002</t>
        </is>
      </c>
      <c r="D75" s="7" t="inlineStr">
        <is>
          <t>Apex Gaming Laptop 17"</t>
        </is>
      </c>
      <c r="E75" s="7" t="inlineStr">
        <is>
          <t>Technology</t>
        </is>
      </c>
      <c r="F75" s="7" t="inlineStr">
        <is>
          <t>Laptops</t>
        </is>
      </c>
      <c r="G75" s="7" t="inlineStr">
        <is>
          <t>Central</t>
        </is>
      </c>
      <c r="H75" s="7" t="inlineStr">
        <is>
          <t>Michigan</t>
        </is>
      </c>
      <c r="I75" s="7" t="inlineStr">
        <is>
          <t>Online</t>
        </is>
      </c>
      <c r="J75" s="7" t="inlineStr">
        <is>
          <t>Consumer</t>
        </is>
      </c>
      <c r="K75" s="12" t="n">
        <v>3</v>
      </c>
      <c r="L75" s="9" t="n">
        <v>1499.99</v>
      </c>
      <c r="M75" s="10" t="n">
        <v>0.15</v>
      </c>
      <c r="N75" s="9" t="n">
        <v>1259.99</v>
      </c>
      <c r="O75" s="9">
        <f>K75*L75</f>
        <v/>
      </c>
      <c r="P75" s="9">
        <f>O75*M75</f>
        <v/>
      </c>
      <c r="Q75" s="9">
        <f>O75-P75</f>
        <v/>
      </c>
      <c r="R75" s="9">
        <f>K75*N75</f>
        <v/>
      </c>
      <c r="S75" s="9">
        <f>Q75-R75</f>
        <v/>
      </c>
      <c r="T75" s="10">
        <f>IFERROR(S75/Q75, 0)</f>
        <v/>
      </c>
    </row>
    <row r="76">
      <c r="A76" s="11" t="inlineStr">
        <is>
          <t>ORD-2024-1074</t>
        </is>
      </c>
      <c r="B76" s="11" t="inlineStr">
        <is>
          <t>2024-02-04</t>
        </is>
      </c>
      <c r="C76" s="11" t="inlineStr">
        <is>
          <t>OFF-PAP-004</t>
        </is>
      </c>
      <c r="D76" s="7" t="inlineStr">
        <is>
          <t>EcoRecycled Copy Paper (5 Reams)</t>
        </is>
      </c>
      <c r="E76" s="7" t="inlineStr">
        <is>
          <t>Office Supplies</t>
        </is>
      </c>
      <c r="F76" s="7" t="inlineStr">
        <is>
          <t>Paper Products</t>
        </is>
      </c>
      <c r="G76" s="7" t="inlineStr">
        <is>
          <t>East</t>
        </is>
      </c>
      <c r="H76" s="7" t="inlineStr">
        <is>
          <t>New York</t>
        </is>
      </c>
      <c r="I76" s="7" t="inlineStr">
        <is>
          <t>Wholesale</t>
        </is>
      </c>
      <c r="J76" s="7" t="inlineStr">
        <is>
          <t>Corporate</t>
        </is>
      </c>
      <c r="K76" s="12" t="n">
        <v>7</v>
      </c>
      <c r="L76" s="9" t="n">
        <v>32.99</v>
      </c>
      <c r="M76" s="10" t="n">
        <v>0.15</v>
      </c>
      <c r="N76" s="9" t="n">
        <v>19.79</v>
      </c>
      <c r="O76" s="9">
        <f>K76*L76</f>
        <v/>
      </c>
      <c r="P76" s="9">
        <f>O76*M76</f>
        <v/>
      </c>
      <c r="Q76" s="9">
        <f>O76-P76</f>
        <v/>
      </c>
      <c r="R76" s="9">
        <f>K76*N76</f>
        <v/>
      </c>
      <c r="S76" s="9">
        <f>Q76-R76</f>
        <v/>
      </c>
      <c r="T76" s="10">
        <f>IFERROR(S76/Q76, 0)</f>
        <v/>
      </c>
    </row>
    <row r="77">
      <c r="A77" s="11" t="inlineStr">
        <is>
          <t>ORD-2024-1177</t>
        </is>
      </c>
      <c r="B77" s="11" t="inlineStr">
        <is>
          <t>2024-02-04</t>
        </is>
      </c>
      <c r="C77" s="11" t="inlineStr">
        <is>
          <t>OFF-BIN-005</t>
        </is>
      </c>
      <c r="D77" s="7" t="inlineStr">
        <is>
          <t>Heavy-Duty D-Ring Presentation Binder (6-Pk)</t>
        </is>
      </c>
      <c r="E77" s="7" t="inlineStr">
        <is>
          <t>Office Supplies</t>
        </is>
      </c>
      <c r="F77" s="7" t="inlineStr">
        <is>
          <t>Binders &amp; Fasteners</t>
        </is>
      </c>
      <c r="G77" s="7" t="inlineStr">
        <is>
          <t>East</t>
        </is>
      </c>
      <c r="H77" s="7" t="inlineStr">
        <is>
          <t>New York</t>
        </is>
      </c>
      <c r="I77" s="7" t="inlineStr">
        <is>
          <t>Online</t>
        </is>
      </c>
      <c r="J77" s="7" t="inlineStr">
        <is>
          <t>Consumer</t>
        </is>
      </c>
      <c r="K77" s="12" t="n">
        <v>3</v>
      </c>
      <c r="L77" s="9" t="n">
        <v>27.99</v>
      </c>
      <c r="M77" s="10" t="n">
        <v>0</v>
      </c>
      <c r="N77" s="9" t="n">
        <v>13.99</v>
      </c>
      <c r="O77" s="9">
        <f>K77*L77</f>
        <v/>
      </c>
      <c r="P77" s="9">
        <f>O77*M77</f>
        <v/>
      </c>
      <c r="Q77" s="9">
        <f>O77-P77</f>
        <v/>
      </c>
      <c r="R77" s="9">
        <f>K77*N77</f>
        <v/>
      </c>
      <c r="S77" s="9">
        <f>Q77-R77</f>
        <v/>
      </c>
      <c r="T77" s="10">
        <f>IFERROR(S77/Q77, 0)</f>
        <v/>
      </c>
    </row>
    <row r="78">
      <c r="A78" s="11" t="inlineStr">
        <is>
          <t>ORD-2024-1269</t>
        </is>
      </c>
      <c r="B78" s="11" t="inlineStr">
        <is>
          <t>2024-02-04</t>
        </is>
      </c>
      <c r="C78" s="11" t="inlineStr">
        <is>
          <t>TEC-ACC-008</t>
        </is>
      </c>
      <c r="D78" s="7" t="inlineStr">
        <is>
          <t>Precision Laser Bluetooth Mouse</t>
        </is>
      </c>
      <c r="E78" s="7" t="inlineStr">
        <is>
          <t>Technology</t>
        </is>
      </c>
      <c r="F78" s="7" t="inlineStr">
        <is>
          <t>Audio &amp; Accessories</t>
        </is>
      </c>
      <c r="G78" s="7" t="inlineStr">
        <is>
          <t>Central</t>
        </is>
      </c>
      <c r="H78" s="7" t="inlineStr">
        <is>
          <t>Illinois</t>
        </is>
      </c>
      <c r="I78" s="7" t="inlineStr">
        <is>
          <t>Wholesale</t>
        </is>
      </c>
      <c r="J78" s="7" t="inlineStr">
        <is>
          <t>Consumer</t>
        </is>
      </c>
      <c r="K78" s="12" t="n">
        <v>13</v>
      </c>
      <c r="L78" s="9" t="n">
        <v>49.99</v>
      </c>
      <c r="M78" s="10" t="n">
        <v>0.1</v>
      </c>
      <c r="N78" s="9" t="n">
        <v>27.49</v>
      </c>
      <c r="O78" s="9">
        <f>K78*L78</f>
        <v/>
      </c>
      <c r="P78" s="9">
        <f>O78*M78</f>
        <v/>
      </c>
      <c r="Q78" s="9">
        <f>O78-P78</f>
        <v/>
      </c>
      <c r="R78" s="9">
        <f>K78*N78</f>
        <v/>
      </c>
      <c r="S78" s="9">
        <f>Q78-R78</f>
        <v/>
      </c>
      <c r="T78" s="10">
        <f>IFERROR(S78/Q78, 0)</f>
        <v/>
      </c>
    </row>
    <row r="79">
      <c r="A79" s="11" t="inlineStr">
        <is>
          <t>ORD-2024-1349</t>
        </is>
      </c>
      <c r="B79" s="11" t="inlineStr">
        <is>
          <t>2024-02-04</t>
        </is>
      </c>
      <c r="C79" s="11" t="inlineStr">
        <is>
          <t>TEC-TAB-003</t>
        </is>
      </c>
      <c r="D79" s="7" t="inlineStr">
        <is>
          <t>VisionPad Pro 11"</t>
        </is>
      </c>
      <c r="E79" s="7" t="inlineStr">
        <is>
          <t>Technology</t>
        </is>
      </c>
      <c r="F79" s="7" t="inlineStr">
        <is>
          <t>Phones &amp; Tablets</t>
        </is>
      </c>
      <c r="G79" s="7" t="inlineStr">
        <is>
          <t>West</t>
        </is>
      </c>
      <c r="H79" s="7" t="inlineStr">
        <is>
          <t>Oregon</t>
        </is>
      </c>
      <c r="I79" s="7" t="inlineStr">
        <is>
          <t>Online</t>
        </is>
      </c>
      <c r="J79" s="7" t="inlineStr">
        <is>
          <t>Corporate</t>
        </is>
      </c>
      <c r="K79" s="12" t="n">
        <v>6</v>
      </c>
      <c r="L79" s="9" t="n">
        <v>649.99</v>
      </c>
      <c r="M79" s="10" t="n">
        <v>0.05</v>
      </c>
      <c r="N79" s="9" t="n">
        <v>487.49</v>
      </c>
      <c r="O79" s="9">
        <f>K79*L79</f>
        <v/>
      </c>
      <c r="P79" s="9">
        <f>O79*M79</f>
        <v/>
      </c>
      <c r="Q79" s="9">
        <f>O79-P79</f>
        <v/>
      </c>
      <c r="R79" s="9">
        <f>K79*N79</f>
        <v/>
      </c>
      <c r="S79" s="9">
        <f>Q79-R79</f>
        <v/>
      </c>
      <c r="T79" s="10">
        <f>IFERROR(S79/Q79, 0)</f>
        <v/>
      </c>
    </row>
    <row r="80">
      <c r="A80" s="11" t="inlineStr">
        <is>
          <t>ORD-2024-1187</t>
        </is>
      </c>
      <c r="B80" s="11" t="inlineStr">
        <is>
          <t>2024-02-06</t>
        </is>
      </c>
      <c r="C80" s="11" t="inlineStr">
        <is>
          <t>TEC-ACC-006</t>
        </is>
      </c>
      <c r="D80" s="7" t="inlineStr">
        <is>
          <t>MultiPort Thunderbolt 4 Dock</t>
        </is>
      </c>
      <c r="E80" s="7" t="inlineStr">
        <is>
          <t>Technology</t>
        </is>
      </c>
      <c r="F80" s="7" t="inlineStr">
        <is>
          <t>Audio &amp; Accessories</t>
        </is>
      </c>
      <c r="G80" s="7" t="inlineStr">
        <is>
          <t>East</t>
        </is>
      </c>
      <c r="H80" s="7" t="inlineStr">
        <is>
          <t>Pennsylvania</t>
        </is>
      </c>
      <c r="I80" s="7" t="inlineStr">
        <is>
          <t>Online</t>
        </is>
      </c>
      <c r="J80" s="7" t="inlineStr">
        <is>
          <t>Corporate</t>
        </is>
      </c>
      <c r="K80" s="12" t="n">
        <v>6</v>
      </c>
      <c r="L80" s="9" t="n">
        <v>149.99</v>
      </c>
      <c r="M80" s="10" t="n">
        <v>0.1</v>
      </c>
      <c r="N80" s="9" t="n">
        <v>98.98999999999999</v>
      </c>
      <c r="O80" s="9">
        <f>K80*L80</f>
        <v/>
      </c>
      <c r="P80" s="9">
        <f>O80*M80</f>
        <v/>
      </c>
      <c r="Q80" s="9">
        <f>O80-P80</f>
        <v/>
      </c>
      <c r="R80" s="9">
        <f>K80*N80</f>
        <v/>
      </c>
      <c r="S80" s="9">
        <f>Q80-R80</f>
        <v/>
      </c>
      <c r="T80" s="10">
        <f>IFERROR(S80/Q80, 0)</f>
        <v/>
      </c>
    </row>
    <row r="81">
      <c r="A81" s="11" t="inlineStr">
        <is>
          <t>ORD-2024-1662</t>
        </is>
      </c>
      <c r="B81" s="11" t="inlineStr">
        <is>
          <t>2024-02-06</t>
        </is>
      </c>
      <c r="C81" s="11" t="inlineStr">
        <is>
          <t>OFF-ART-006</t>
        </is>
      </c>
      <c r="D81" s="7" t="inlineStr">
        <is>
          <t>Professional Presentation Dry Erase Board</t>
        </is>
      </c>
      <c r="E81" s="7" t="inlineStr">
        <is>
          <t>Office Supplies</t>
        </is>
      </c>
      <c r="F81" s="7" t="inlineStr">
        <is>
          <t>Presentation &amp; Art</t>
        </is>
      </c>
      <c r="G81" s="7" t="inlineStr">
        <is>
          <t>West</t>
        </is>
      </c>
      <c r="H81" s="7" t="inlineStr">
        <is>
          <t>Oregon</t>
        </is>
      </c>
      <c r="I81" s="7" t="inlineStr">
        <is>
          <t>Direct Sales</t>
        </is>
      </c>
      <c r="J81" s="7" t="inlineStr">
        <is>
          <t>Corporate</t>
        </is>
      </c>
      <c r="K81" s="12" t="n">
        <v>6</v>
      </c>
      <c r="L81" s="9" t="n">
        <v>89.98999999999999</v>
      </c>
      <c r="M81" s="10" t="n">
        <v>0.05</v>
      </c>
      <c r="N81" s="9" t="n">
        <v>53.99</v>
      </c>
      <c r="O81" s="9">
        <f>K81*L81</f>
        <v/>
      </c>
      <c r="P81" s="9">
        <f>O81*M81</f>
        <v/>
      </c>
      <c r="Q81" s="9">
        <f>O81-P81</f>
        <v/>
      </c>
      <c r="R81" s="9">
        <f>K81*N81</f>
        <v/>
      </c>
      <c r="S81" s="9">
        <f>Q81-R81</f>
        <v/>
      </c>
      <c r="T81" s="10">
        <f>IFERROR(S81/Q81, 0)</f>
        <v/>
      </c>
    </row>
    <row r="82">
      <c r="A82" s="11" t="inlineStr">
        <is>
          <t>ORD-2024-1058</t>
        </is>
      </c>
      <c r="B82" s="11" t="inlineStr">
        <is>
          <t>2024-02-07</t>
        </is>
      </c>
      <c r="C82" s="11" t="inlineStr">
        <is>
          <t>TEC-LAP-002</t>
        </is>
      </c>
      <c r="D82" s="7" t="inlineStr">
        <is>
          <t>Apex Gaming Laptop 17"</t>
        </is>
      </c>
      <c r="E82" s="7" t="inlineStr">
        <is>
          <t>Technology</t>
        </is>
      </c>
      <c r="F82" s="7" t="inlineStr">
        <is>
          <t>Laptops</t>
        </is>
      </c>
      <c r="G82" s="7" t="inlineStr">
        <is>
          <t>West</t>
        </is>
      </c>
      <c r="H82" s="7" t="inlineStr">
        <is>
          <t>Colorado</t>
        </is>
      </c>
      <c r="I82" s="7" t="inlineStr">
        <is>
          <t>Online</t>
        </is>
      </c>
      <c r="J82" s="7" t="inlineStr">
        <is>
          <t>Corporate</t>
        </is>
      </c>
      <c r="K82" s="12" t="n">
        <v>3</v>
      </c>
      <c r="L82" s="9" t="n">
        <v>1499.99</v>
      </c>
      <c r="M82" s="10" t="n">
        <v>0.15</v>
      </c>
      <c r="N82" s="9" t="n">
        <v>1259.99</v>
      </c>
      <c r="O82" s="9">
        <f>K82*L82</f>
        <v/>
      </c>
      <c r="P82" s="9">
        <f>O82*M82</f>
        <v/>
      </c>
      <c r="Q82" s="9">
        <f>O82-P82</f>
        <v/>
      </c>
      <c r="R82" s="9">
        <f>K82*N82</f>
        <v/>
      </c>
      <c r="S82" s="9">
        <f>Q82-R82</f>
        <v/>
      </c>
      <c r="T82" s="10">
        <f>IFERROR(S82/Q82, 0)</f>
        <v/>
      </c>
    </row>
    <row r="83">
      <c r="A83" s="11" t="inlineStr">
        <is>
          <t>ORD-2024-1186</t>
        </is>
      </c>
      <c r="B83" s="11" t="inlineStr">
        <is>
          <t>2024-02-07</t>
        </is>
      </c>
      <c r="C83" s="11" t="inlineStr">
        <is>
          <t>OFF-DSK-008</t>
        </is>
      </c>
      <c r="D83" s="7" t="inlineStr">
        <is>
          <t>Steel Desktop Mesh Organizer Caddy</t>
        </is>
      </c>
      <c r="E83" s="7" t="inlineStr">
        <is>
          <t>Office Supplies</t>
        </is>
      </c>
      <c r="F83" s="7" t="inlineStr">
        <is>
          <t>Desk Supplies</t>
        </is>
      </c>
      <c r="G83" s="7" t="inlineStr">
        <is>
          <t>South</t>
        </is>
      </c>
      <c r="H83" s="7" t="inlineStr">
        <is>
          <t>North Carolina</t>
        </is>
      </c>
      <c r="I83" s="7" t="inlineStr">
        <is>
          <t>Retail Partner</t>
        </is>
      </c>
      <c r="J83" s="7" t="inlineStr">
        <is>
          <t>Consumer</t>
        </is>
      </c>
      <c r="K83" s="12" t="n">
        <v>1</v>
      </c>
      <c r="L83" s="9" t="n">
        <v>18.99</v>
      </c>
      <c r="M83" s="10" t="n">
        <v>0.05</v>
      </c>
      <c r="N83" s="9" t="n">
        <v>8.550000000000001</v>
      </c>
      <c r="O83" s="9">
        <f>K83*L83</f>
        <v/>
      </c>
      <c r="P83" s="9">
        <f>O83*M83</f>
        <v/>
      </c>
      <c r="Q83" s="9">
        <f>O83-P83</f>
        <v/>
      </c>
      <c r="R83" s="9">
        <f>K83*N83</f>
        <v/>
      </c>
      <c r="S83" s="9">
        <f>Q83-R83</f>
        <v/>
      </c>
      <c r="T83" s="10">
        <f>IFERROR(S83/Q83, 0)</f>
        <v/>
      </c>
    </row>
    <row r="84">
      <c r="A84" s="11" t="inlineStr">
        <is>
          <t>ORD-2024-1452</t>
        </is>
      </c>
      <c r="B84" s="11" t="inlineStr">
        <is>
          <t>2024-02-07</t>
        </is>
      </c>
      <c r="C84" s="11" t="inlineStr">
        <is>
          <t>OFF-STR-002</t>
        </is>
      </c>
      <c r="D84" s="7" t="inlineStr">
        <is>
          <t>Stackable Heavy-Duty Storage Bins (4-Pk)</t>
        </is>
      </c>
      <c r="E84" s="7" t="inlineStr">
        <is>
          <t>Office Supplies</t>
        </is>
      </c>
      <c r="F84" s="7" t="inlineStr">
        <is>
          <t>Storage &amp; Organizers</t>
        </is>
      </c>
      <c r="G84" s="7" t="inlineStr">
        <is>
          <t>South</t>
        </is>
      </c>
      <c r="H84" s="7" t="inlineStr">
        <is>
          <t>Georgia</t>
        </is>
      </c>
      <c r="I84" s="7" t="inlineStr">
        <is>
          <t>Direct Sales</t>
        </is>
      </c>
      <c r="J84" s="7" t="inlineStr">
        <is>
          <t>Consumer</t>
        </is>
      </c>
      <c r="K84" s="12" t="n">
        <v>4</v>
      </c>
      <c r="L84" s="9" t="n">
        <v>44.99</v>
      </c>
      <c r="M84" s="10" t="n">
        <v>0.1</v>
      </c>
      <c r="N84" s="9" t="n">
        <v>24.74</v>
      </c>
      <c r="O84" s="9">
        <f>K84*L84</f>
        <v/>
      </c>
      <c r="P84" s="9">
        <f>O84*M84</f>
        <v/>
      </c>
      <c r="Q84" s="9">
        <f>O84-P84</f>
        <v/>
      </c>
      <c r="R84" s="9">
        <f>K84*N84</f>
        <v/>
      </c>
      <c r="S84" s="9">
        <f>Q84-R84</f>
        <v/>
      </c>
      <c r="T84" s="10">
        <f>IFERROR(S84/Q84, 0)</f>
        <v/>
      </c>
    </row>
    <row r="85">
      <c r="A85" s="11" t="inlineStr">
        <is>
          <t>ORD-2024-1452</t>
        </is>
      </c>
      <c r="B85" s="11" t="inlineStr">
        <is>
          <t>2024-02-07</t>
        </is>
      </c>
      <c r="C85" s="11" t="inlineStr">
        <is>
          <t>OFF-STR-002</t>
        </is>
      </c>
      <c r="D85" s="7" t="inlineStr">
        <is>
          <t>Stackable Heavy-Duty Storage Bins (4-Pk)</t>
        </is>
      </c>
      <c r="E85" s="7" t="inlineStr">
        <is>
          <t>Office Supplies</t>
        </is>
      </c>
      <c r="F85" s="7" t="inlineStr">
        <is>
          <t>Storage &amp; Organizers</t>
        </is>
      </c>
      <c r="G85" s="7" t="inlineStr">
        <is>
          <t>South</t>
        </is>
      </c>
      <c r="H85" s="7" t="inlineStr">
        <is>
          <t>Georgia</t>
        </is>
      </c>
      <c r="I85" s="7" t="inlineStr">
        <is>
          <t>Direct Sales</t>
        </is>
      </c>
      <c r="J85" s="7" t="inlineStr">
        <is>
          <t>Consumer</t>
        </is>
      </c>
      <c r="K85" s="12" t="n">
        <v>3</v>
      </c>
      <c r="L85" s="9" t="n">
        <v>44.99</v>
      </c>
      <c r="M85" s="10" t="n">
        <v>0</v>
      </c>
      <c r="N85" s="9" t="n">
        <v>24.74</v>
      </c>
      <c r="O85" s="9">
        <f>K85*L85</f>
        <v/>
      </c>
      <c r="P85" s="9">
        <f>O85*M85</f>
        <v/>
      </c>
      <c r="Q85" s="9">
        <f>O85-P85</f>
        <v/>
      </c>
      <c r="R85" s="9">
        <f>K85*N85</f>
        <v/>
      </c>
      <c r="S85" s="9">
        <f>Q85-R85</f>
        <v/>
      </c>
      <c r="T85" s="10">
        <f>IFERROR(S85/Q85, 0)</f>
        <v/>
      </c>
    </row>
    <row r="86">
      <c r="A86" s="11" t="inlineStr">
        <is>
          <t>ORD-2024-1191</t>
        </is>
      </c>
      <c r="B86" s="11" t="inlineStr">
        <is>
          <t>2024-02-09</t>
        </is>
      </c>
      <c r="C86" s="11" t="inlineStr">
        <is>
          <t>FUR-LGT-006</t>
        </is>
      </c>
      <c r="D86" s="7" t="inlineStr">
        <is>
          <t>Architect LED Desk Task Lamp</t>
        </is>
      </c>
      <c r="E86" s="7" t="inlineStr">
        <is>
          <t>Furniture</t>
        </is>
      </c>
      <c r="F86" s="7" t="inlineStr">
        <is>
          <t>Lighting</t>
        </is>
      </c>
      <c r="G86" s="7" t="inlineStr">
        <is>
          <t>Central</t>
        </is>
      </c>
      <c r="H86" s="7" t="inlineStr">
        <is>
          <t>Texas</t>
        </is>
      </c>
      <c r="I86" s="7" t="inlineStr">
        <is>
          <t>Direct Sales</t>
        </is>
      </c>
      <c r="J86" s="7" t="inlineStr">
        <is>
          <t>Consumer</t>
        </is>
      </c>
      <c r="K86" s="12" t="n">
        <v>1</v>
      </c>
      <c r="L86" s="9" t="n">
        <v>69.98999999999999</v>
      </c>
      <c r="M86" s="10" t="n">
        <v>0</v>
      </c>
      <c r="N86" s="9" t="n">
        <v>43.39</v>
      </c>
      <c r="O86" s="9">
        <f>K86*L86</f>
        <v/>
      </c>
      <c r="P86" s="9">
        <f>O86*M86</f>
        <v/>
      </c>
      <c r="Q86" s="9">
        <f>O86-P86</f>
        <v/>
      </c>
      <c r="R86" s="9">
        <f>K86*N86</f>
        <v/>
      </c>
      <c r="S86" s="9">
        <f>Q86-R86</f>
        <v/>
      </c>
      <c r="T86" s="10">
        <f>IFERROR(S86/Q86, 0)</f>
        <v/>
      </c>
    </row>
    <row r="87">
      <c r="A87" s="11" t="inlineStr">
        <is>
          <t>ORD-2024-1191</t>
        </is>
      </c>
      <c r="B87" s="11" t="inlineStr">
        <is>
          <t>2024-02-09</t>
        </is>
      </c>
      <c r="C87" s="11" t="inlineStr">
        <is>
          <t>OFF-PAP-004</t>
        </is>
      </c>
      <c r="D87" s="7" t="inlineStr">
        <is>
          <t>EcoRecycled Copy Paper (5 Reams)</t>
        </is>
      </c>
      <c r="E87" s="7" t="inlineStr">
        <is>
          <t>Office Supplies</t>
        </is>
      </c>
      <c r="F87" s="7" t="inlineStr">
        <is>
          <t>Paper Products</t>
        </is>
      </c>
      <c r="G87" s="7" t="inlineStr">
        <is>
          <t>Central</t>
        </is>
      </c>
      <c r="H87" s="7" t="inlineStr">
        <is>
          <t>Texas</t>
        </is>
      </c>
      <c r="I87" s="7" t="inlineStr">
        <is>
          <t>Direct Sales</t>
        </is>
      </c>
      <c r="J87" s="7" t="inlineStr">
        <is>
          <t>Consumer</t>
        </is>
      </c>
      <c r="K87" s="12" t="n">
        <v>2</v>
      </c>
      <c r="L87" s="9" t="n">
        <v>32.99</v>
      </c>
      <c r="M87" s="10" t="n">
        <v>0</v>
      </c>
      <c r="N87" s="9" t="n">
        <v>19.79</v>
      </c>
      <c r="O87" s="9">
        <f>K87*L87</f>
        <v/>
      </c>
      <c r="P87" s="9">
        <f>O87*M87</f>
        <v/>
      </c>
      <c r="Q87" s="9">
        <f>O87-P87</f>
        <v/>
      </c>
      <c r="R87" s="9">
        <f>K87*N87</f>
        <v/>
      </c>
      <c r="S87" s="9">
        <f>Q87-R87</f>
        <v/>
      </c>
      <c r="T87" s="10">
        <f>IFERROR(S87/Q87, 0)</f>
        <v/>
      </c>
    </row>
    <row r="88">
      <c r="A88" s="11" t="inlineStr">
        <is>
          <t>ORD-2024-1191</t>
        </is>
      </c>
      <c r="B88" s="11" t="inlineStr">
        <is>
          <t>2024-02-09</t>
        </is>
      </c>
      <c r="C88" s="11" t="inlineStr">
        <is>
          <t>OFF-DSK-007</t>
        </is>
      </c>
      <c r="D88" s="7" t="inlineStr">
        <is>
          <t>Gel Ergo Mouse Pad &amp; Wrist Rest Combo</t>
        </is>
      </c>
      <c r="E88" s="7" t="inlineStr">
        <is>
          <t>Office Supplies</t>
        </is>
      </c>
      <c r="F88" s="7" t="inlineStr">
        <is>
          <t>Desk Supplies</t>
        </is>
      </c>
      <c r="G88" s="7" t="inlineStr">
        <is>
          <t>Central</t>
        </is>
      </c>
      <c r="H88" s="7" t="inlineStr">
        <is>
          <t>Texas</t>
        </is>
      </c>
      <c r="I88" s="7" t="inlineStr">
        <is>
          <t>Direct Sales</t>
        </is>
      </c>
      <c r="J88" s="7" t="inlineStr">
        <is>
          <t>Consumer</t>
        </is>
      </c>
      <c r="K88" s="12" t="n">
        <v>2</v>
      </c>
      <c r="L88" s="9" t="n">
        <v>21.99</v>
      </c>
      <c r="M88" s="10" t="n">
        <v>0.1</v>
      </c>
      <c r="N88" s="9" t="n">
        <v>10.56</v>
      </c>
      <c r="O88" s="9">
        <f>K88*L88</f>
        <v/>
      </c>
      <c r="P88" s="9">
        <f>O88*M88</f>
        <v/>
      </c>
      <c r="Q88" s="9">
        <f>O88-P88</f>
        <v/>
      </c>
      <c r="R88" s="9">
        <f>K88*N88</f>
        <v/>
      </c>
      <c r="S88" s="9">
        <f>Q88-R88</f>
        <v/>
      </c>
      <c r="T88" s="10">
        <f>IFERROR(S88/Q88, 0)</f>
        <v/>
      </c>
    </row>
    <row r="89">
      <c r="A89" s="11" t="inlineStr">
        <is>
          <t>ORD-2024-1420</t>
        </is>
      </c>
      <c r="B89" s="11" t="inlineStr">
        <is>
          <t>2024-02-09</t>
        </is>
      </c>
      <c r="C89" s="11" t="inlineStr">
        <is>
          <t>OFF-STR-001</t>
        </is>
      </c>
      <c r="D89" s="7" t="inlineStr">
        <is>
          <t>SteelLock 3-Drawer File Cabinet</t>
        </is>
      </c>
      <c r="E89" s="7" t="inlineStr">
        <is>
          <t>Office Supplies</t>
        </is>
      </c>
      <c r="F89" s="7" t="inlineStr">
        <is>
          <t>Storage &amp; Organizers</t>
        </is>
      </c>
      <c r="G89" s="7" t="inlineStr">
        <is>
          <t>West</t>
        </is>
      </c>
      <c r="H89" s="7" t="inlineStr">
        <is>
          <t>Oregon</t>
        </is>
      </c>
      <c r="I89" s="7" t="inlineStr">
        <is>
          <t>Direct Sales</t>
        </is>
      </c>
      <c r="J89" s="7" t="inlineStr">
        <is>
          <t>Consumer</t>
        </is>
      </c>
      <c r="K89" s="12" t="n">
        <v>2</v>
      </c>
      <c r="L89" s="9" t="n">
        <v>169.99</v>
      </c>
      <c r="M89" s="10" t="n">
        <v>0</v>
      </c>
      <c r="N89" s="9" t="n">
        <v>115.59</v>
      </c>
      <c r="O89" s="9">
        <f>K89*L89</f>
        <v/>
      </c>
      <c r="P89" s="9">
        <f>O89*M89</f>
        <v/>
      </c>
      <c r="Q89" s="9">
        <f>O89-P89</f>
        <v/>
      </c>
      <c r="R89" s="9">
        <f>K89*N89</f>
        <v/>
      </c>
      <c r="S89" s="9">
        <f>Q89-R89</f>
        <v/>
      </c>
      <c r="T89" s="10">
        <f>IFERROR(S89/Q89, 0)</f>
        <v/>
      </c>
    </row>
    <row r="90">
      <c r="A90" s="11" t="inlineStr">
        <is>
          <t>ORD-2024-1420</t>
        </is>
      </c>
      <c r="B90" s="11" t="inlineStr">
        <is>
          <t>2024-02-09</t>
        </is>
      </c>
      <c r="C90" s="11" t="inlineStr">
        <is>
          <t>OFF-ART-006</t>
        </is>
      </c>
      <c r="D90" s="7" t="inlineStr">
        <is>
          <t>Professional Presentation Dry Erase Board</t>
        </is>
      </c>
      <c r="E90" s="7" t="inlineStr">
        <is>
          <t>Office Supplies</t>
        </is>
      </c>
      <c r="F90" s="7" t="inlineStr">
        <is>
          <t>Presentation &amp; Art</t>
        </is>
      </c>
      <c r="G90" s="7" t="inlineStr">
        <is>
          <t>West</t>
        </is>
      </c>
      <c r="H90" s="7" t="inlineStr">
        <is>
          <t>Oregon</t>
        </is>
      </c>
      <c r="I90" s="7" t="inlineStr">
        <is>
          <t>Direct Sales</t>
        </is>
      </c>
      <c r="J90" s="7" t="inlineStr">
        <is>
          <t>Consumer</t>
        </is>
      </c>
      <c r="K90" s="12" t="n">
        <v>3</v>
      </c>
      <c r="L90" s="9" t="n">
        <v>89.98999999999999</v>
      </c>
      <c r="M90" s="10" t="n">
        <v>0</v>
      </c>
      <c r="N90" s="9" t="n">
        <v>53.99</v>
      </c>
      <c r="O90" s="9">
        <f>K90*L90</f>
        <v/>
      </c>
      <c r="P90" s="9">
        <f>O90*M90</f>
        <v/>
      </c>
      <c r="Q90" s="9">
        <f>O90-P90</f>
        <v/>
      </c>
      <c r="R90" s="9">
        <f>K90*N90</f>
        <v/>
      </c>
      <c r="S90" s="9">
        <f>Q90-R90</f>
        <v/>
      </c>
      <c r="T90" s="10">
        <f>IFERROR(S90/Q90, 0)</f>
        <v/>
      </c>
    </row>
    <row r="91">
      <c r="A91" s="11" t="inlineStr">
        <is>
          <t>ORD-2024-1020</t>
        </is>
      </c>
      <c r="B91" s="11" t="inlineStr">
        <is>
          <t>2024-02-11</t>
        </is>
      </c>
      <c r="C91" s="11" t="inlineStr">
        <is>
          <t>TEC-ACC-008</t>
        </is>
      </c>
      <c r="D91" s="7" t="inlineStr">
        <is>
          <t>Precision Laser Bluetooth Mouse</t>
        </is>
      </c>
      <c r="E91" s="7" t="inlineStr">
        <is>
          <t>Technology</t>
        </is>
      </c>
      <c r="F91" s="7" t="inlineStr">
        <is>
          <t>Audio &amp; Accessories</t>
        </is>
      </c>
      <c r="G91" s="7" t="inlineStr">
        <is>
          <t>West</t>
        </is>
      </c>
      <c r="H91" s="7" t="inlineStr">
        <is>
          <t>California</t>
        </is>
      </c>
      <c r="I91" s="7" t="inlineStr">
        <is>
          <t>Direct Sales</t>
        </is>
      </c>
      <c r="J91" s="7" t="inlineStr">
        <is>
          <t>Home Office</t>
        </is>
      </c>
      <c r="K91" s="12" t="n">
        <v>1</v>
      </c>
      <c r="L91" s="9" t="n">
        <v>49.99</v>
      </c>
      <c r="M91" s="10" t="n">
        <v>0</v>
      </c>
      <c r="N91" s="9" t="n">
        <v>27.49</v>
      </c>
      <c r="O91" s="9">
        <f>K91*L91</f>
        <v/>
      </c>
      <c r="P91" s="9">
        <f>O91*M91</f>
        <v/>
      </c>
      <c r="Q91" s="9">
        <f>O91-P91</f>
        <v/>
      </c>
      <c r="R91" s="9">
        <f>K91*N91</f>
        <v/>
      </c>
      <c r="S91" s="9">
        <f>Q91-R91</f>
        <v/>
      </c>
      <c r="T91" s="10">
        <f>IFERROR(S91/Q91, 0)</f>
        <v/>
      </c>
    </row>
    <row r="92">
      <c r="A92" s="11" t="inlineStr">
        <is>
          <t>ORD-2024-1020</t>
        </is>
      </c>
      <c r="B92" s="11" t="inlineStr">
        <is>
          <t>2024-02-11</t>
        </is>
      </c>
      <c r="C92" s="11" t="inlineStr">
        <is>
          <t>FUR-DSK-003</t>
        </is>
      </c>
      <c r="D92" s="7" t="inlineStr">
        <is>
          <t>ApexMotor Dual-Motor Standing Desk</t>
        </is>
      </c>
      <c r="E92" s="7" t="inlineStr">
        <is>
          <t>Furniture</t>
        </is>
      </c>
      <c r="F92" s="7" t="inlineStr">
        <is>
          <t>Desks &amp; Workstations</t>
        </is>
      </c>
      <c r="G92" s="7" t="inlineStr">
        <is>
          <t>West</t>
        </is>
      </c>
      <c r="H92" s="7" t="inlineStr">
        <is>
          <t>California</t>
        </is>
      </c>
      <c r="I92" s="7" t="inlineStr">
        <is>
          <t>Direct Sales</t>
        </is>
      </c>
      <c r="J92" s="7" t="inlineStr">
        <is>
          <t>Home Office</t>
        </is>
      </c>
      <c r="K92" s="12" t="n">
        <v>4</v>
      </c>
      <c r="L92" s="9" t="n">
        <v>549.99</v>
      </c>
      <c r="M92" s="10" t="n">
        <v>0</v>
      </c>
      <c r="N92" s="9" t="n">
        <v>439.99</v>
      </c>
      <c r="O92" s="9">
        <f>K92*L92</f>
        <v/>
      </c>
      <c r="P92" s="9">
        <f>O92*M92</f>
        <v/>
      </c>
      <c r="Q92" s="9">
        <f>O92-P92</f>
        <v/>
      </c>
      <c r="R92" s="9">
        <f>K92*N92</f>
        <v/>
      </c>
      <c r="S92" s="9">
        <f>Q92-R92</f>
        <v/>
      </c>
      <c r="T92" s="10">
        <f>IFERROR(S92/Q92, 0)</f>
        <v/>
      </c>
    </row>
    <row r="93">
      <c r="A93" s="11" t="inlineStr">
        <is>
          <t>ORD-2024-1068</t>
        </is>
      </c>
      <c r="B93" s="11" t="inlineStr">
        <is>
          <t>2024-02-13</t>
        </is>
      </c>
      <c r="C93" s="11" t="inlineStr">
        <is>
          <t>OFF-DSK-008</t>
        </is>
      </c>
      <c r="D93" s="7" t="inlineStr">
        <is>
          <t>Steel Desktop Mesh Organizer Caddy</t>
        </is>
      </c>
      <c r="E93" s="7" t="inlineStr">
        <is>
          <t>Office Supplies</t>
        </is>
      </c>
      <c r="F93" s="7" t="inlineStr">
        <is>
          <t>Desk Supplies</t>
        </is>
      </c>
      <c r="G93" s="7" t="inlineStr">
        <is>
          <t>Central</t>
        </is>
      </c>
      <c r="H93" s="7" t="inlineStr">
        <is>
          <t>Texas</t>
        </is>
      </c>
      <c r="I93" s="7" t="inlineStr">
        <is>
          <t>Retail Partner</t>
        </is>
      </c>
      <c r="J93" s="7" t="inlineStr">
        <is>
          <t>Consumer</t>
        </is>
      </c>
      <c r="K93" s="12" t="n">
        <v>3</v>
      </c>
      <c r="L93" s="9" t="n">
        <v>18.99</v>
      </c>
      <c r="M93" s="10" t="n">
        <v>0.15</v>
      </c>
      <c r="N93" s="9" t="n">
        <v>8.550000000000001</v>
      </c>
      <c r="O93" s="9">
        <f>K93*L93</f>
        <v/>
      </c>
      <c r="P93" s="9">
        <f>O93*M93</f>
        <v/>
      </c>
      <c r="Q93" s="9">
        <f>O93-P93</f>
        <v/>
      </c>
      <c r="R93" s="9">
        <f>K93*N93</f>
        <v/>
      </c>
      <c r="S93" s="9">
        <f>Q93-R93</f>
        <v/>
      </c>
      <c r="T93" s="10">
        <f>IFERROR(S93/Q93, 0)</f>
        <v/>
      </c>
    </row>
    <row r="94">
      <c r="A94" s="11" t="inlineStr">
        <is>
          <t>ORD-2024-1132</t>
        </is>
      </c>
      <c r="B94" s="11" t="inlineStr">
        <is>
          <t>2024-02-13</t>
        </is>
      </c>
      <c r="C94" s="11" t="inlineStr">
        <is>
          <t>OFF-DSK-008</t>
        </is>
      </c>
      <c r="D94" s="7" t="inlineStr">
        <is>
          <t>Steel Desktop Mesh Organizer Caddy</t>
        </is>
      </c>
      <c r="E94" s="7" t="inlineStr">
        <is>
          <t>Office Supplies</t>
        </is>
      </c>
      <c r="F94" s="7" t="inlineStr">
        <is>
          <t>Desk Supplies</t>
        </is>
      </c>
      <c r="G94" s="7" t="inlineStr">
        <is>
          <t>South</t>
        </is>
      </c>
      <c r="H94" s="7" t="inlineStr">
        <is>
          <t>North Carolina</t>
        </is>
      </c>
      <c r="I94" s="7" t="inlineStr">
        <is>
          <t>Direct Sales</t>
        </is>
      </c>
      <c r="J94" s="7" t="inlineStr">
        <is>
          <t>Corporate</t>
        </is>
      </c>
      <c r="K94" s="12" t="n">
        <v>7</v>
      </c>
      <c r="L94" s="9" t="n">
        <v>18.99</v>
      </c>
      <c r="M94" s="10" t="n">
        <v>0.05</v>
      </c>
      <c r="N94" s="9" t="n">
        <v>8.550000000000001</v>
      </c>
      <c r="O94" s="9">
        <f>K94*L94</f>
        <v/>
      </c>
      <c r="P94" s="9">
        <f>O94*M94</f>
        <v/>
      </c>
      <c r="Q94" s="9">
        <f>O94-P94</f>
        <v/>
      </c>
      <c r="R94" s="9">
        <f>K94*N94</f>
        <v/>
      </c>
      <c r="S94" s="9">
        <f>Q94-R94</f>
        <v/>
      </c>
      <c r="T94" s="10">
        <f>IFERROR(S94/Q94, 0)</f>
        <v/>
      </c>
    </row>
    <row r="95">
      <c r="A95" s="11" t="inlineStr">
        <is>
          <t>ORD-2024-1154</t>
        </is>
      </c>
      <c r="B95" s="11" t="inlineStr">
        <is>
          <t>2024-02-14</t>
        </is>
      </c>
      <c r="C95" s="11" t="inlineStr">
        <is>
          <t>OFF-DSK-007</t>
        </is>
      </c>
      <c r="D95" s="7" t="inlineStr">
        <is>
          <t>Gel Ergo Mouse Pad &amp; Wrist Rest Combo</t>
        </is>
      </c>
      <c r="E95" s="7" t="inlineStr">
        <is>
          <t>Office Supplies</t>
        </is>
      </c>
      <c r="F95" s="7" t="inlineStr">
        <is>
          <t>Desk Supplies</t>
        </is>
      </c>
      <c r="G95" s="7" t="inlineStr">
        <is>
          <t>West</t>
        </is>
      </c>
      <c r="H95" s="7" t="inlineStr">
        <is>
          <t>Oregon</t>
        </is>
      </c>
      <c r="I95" s="7" t="inlineStr">
        <is>
          <t>Retail Partner</t>
        </is>
      </c>
      <c r="J95" s="7" t="inlineStr">
        <is>
          <t>Corporate</t>
        </is>
      </c>
      <c r="K95" s="12" t="n">
        <v>8</v>
      </c>
      <c r="L95" s="9" t="n">
        <v>21.99</v>
      </c>
      <c r="M95" s="10" t="n">
        <v>0</v>
      </c>
      <c r="N95" s="9" t="n">
        <v>10.56</v>
      </c>
      <c r="O95" s="9">
        <f>K95*L95</f>
        <v/>
      </c>
      <c r="P95" s="9">
        <f>O95*M95</f>
        <v/>
      </c>
      <c r="Q95" s="9">
        <f>O95-P95</f>
        <v/>
      </c>
      <c r="R95" s="9">
        <f>K95*N95</f>
        <v/>
      </c>
      <c r="S95" s="9">
        <f>Q95-R95</f>
        <v/>
      </c>
      <c r="T95" s="10">
        <f>IFERROR(S95/Q95, 0)</f>
        <v/>
      </c>
    </row>
    <row r="96">
      <c r="A96" s="11" t="inlineStr">
        <is>
          <t>ORD-2024-1202</t>
        </is>
      </c>
      <c r="B96" s="11" t="inlineStr">
        <is>
          <t>2024-02-14</t>
        </is>
      </c>
      <c r="C96" s="11" t="inlineStr">
        <is>
          <t>FUR-DSK-003</t>
        </is>
      </c>
      <c r="D96" s="7" t="inlineStr">
        <is>
          <t>ApexMotor Dual-Motor Standing Desk</t>
        </is>
      </c>
      <c r="E96" s="7" t="inlineStr">
        <is>
          <t>Furniture</t>
        </is>
      </c>
      <c r="F96" s="7" t="inlineStr">
        <is>
          <t>Desks &amp; Workstations</t>
        </is>
      </c>
      <c r="G96" s="7" t="inlineStr">
        <is>
          <t>East</t>
        </is>
      </c>
      <c r="H96" s="7" t="inlineStr">
        <is>
          <t>Massachusetts</t>
        </is>
      </c>
      <c r="I96" s="7" t="inlineStr">
        <is>
          <t>Online</t>
        </is>
      </c>
      <c r="J96" s="7" t="inlineStr">
        <is>
          <t>Corporate</t>
        </is>
      </c>
      <c r="K96" s="12" t="n">
        <v>7</v>
      </c>
      <c r="L96" s="9" t="n">
        <v>549.99</v>
      </c>
      <c r="M96" s="10" t="n">
        <v>0.1</v>
      </c>
      <c r="N96" s="9" t="n">
        <v>439.99</v>
      </c>
      <c r="O96" s="9">
        <f>K96*L96</f>
        <v/>
      </c>
      <c r="P96" s="9">
        <f>O96*M96</f>
        <v/>
      </c>
      <c r="Q96" s="9">
        <f>O96-P96</f>
        <v/>
      </c>
      <c r="R96" s="9">
        <f>K96*N96</f>
        <v/>
      </c>
      <c r="S96" s="9">
        <f>Q96-R96</f>
        <v/>
      </c>
      <c r="T96" s="10">
        <f>IFERROR(S96/Q96, 0)</f>
        <v/>
      </c>
    </row>
    <row r="97">
      <c r="A97" s="11" t="inlineStr">
        <is>
          <t>ORD-2024-1368</t>
        </is>
      </c>
      <c r="B97" s="11" t="inlineStr">
        <is>
          <t>2024-02-14</t>
        </is>
      </c>
      <c r="C97" s="11" t="inlineStr">
        <is>
          <t>OFF-DSK-008</t>
        </is>
      </c>
      <c r="D97" s="7" t="inlineStr">
        <is>
          <t>Steel Desktop Mesh Organizer Caddy</t>
        </is>
      </c>
      <c r="E97" s="7" t="inlineStr">
        <is>
          <t>Office Supplies</t>
        </is>
      </c>
      <c r="F97" s="7" t="inlineStr">
        <is>
          <t>Desk Supplies</t>
        </is>
      </c>
      <c r="G97" s="7" t="inlineStr">
        <is>
          <t>West</t>
        </is>
      </c>
      <c r="H97" s="7" t="inlineStr">
        <is>
          <t>Oregon</t>
        </is>
      </c>
      <c r="I97" s="7" t="inlineStr">
        <is>
          <t>Online</t>
        </is>
      </c>
      <c r="J97" s="7" t="inlineStr">
        <is>
          <t>Home Office</t>
        </is>
      </c>
      <c r="K97" s="12" t="n">
        <v>2</v>
      </c>
      <c r="L97" s="9" t="n">
        <v>18.99</v>
      </c>
      <c r="M97" s="10" t="n">
        <v>0.05</v>
      </c>
      <c r="N97" s="9" t="n">
        <v>8.550000000000001</v>
      </c>
      <c r="O97" s="9">
        <f>K97*L97</f>
        <v/>
      </c>
      <c r="P97" s="9">
        <f>O97*M97</f>
        <v/>
      </c>
      <c r="Q97" s="9">
        <f>O97-P97</f>
        <v/>
      </c>
      <c r="R97" s="9">
        <f>K97*N97</f>
        <v/>
      </c>
      <c r="S97" s="9">
        <f>Q97-R97</f>
        <v/>
      </c>
      <c r="T97" s="10">
        <f>IFERROR(S97/Q97, 0)</f>
        <v/>
      </c>
    </row>
    <row r="98">
      <c r="A98" s="11" t="inlineStr">
        <is>
          <t>ORD-2024-1714</t>
        </is>
      </c>
      <c r="B98" s="11" t="inlineStr">
        <is>
          <t>2024-02-14</t>
        </is>
      </c>
      <c r="C98" s="11" t="inlineStr">
        <is>
          <t>TEC-ACC-007</t>
        </is>
      </c>
      <c r="D98" s="7" t="inlineStr">
        <is>
          <t>ErgoMechanical Wireless Keyboard</t>
        </is>
      </c>
      <c r="E98" s="7" t="inlineStr">
        <is>
          <t>Technology</t>
        </is>
      </c>
      <c r="F98" s="7" t="inlineStr">
        <is>
          <t>Audio &amp; Accessories</t>
        </is>
      </c>
      <c r="G98" s="7" t="inlineStr">
        <is>
          <t>West</t>
        </is>
      </c>
      <c r="H98" s="7" t="inlineStr">
        <is>
          <t>Colorado</t>
        </is>
      </c>
      <c r="I98" s="7" t="inlineStr">
        <is>
          <t>Direct Sales</t>
        </is>
      </c>
      <c r="J98" s="7" t="inlineStr">
        <is>
          <t>Consumer</t>
        </is>
      </c>
      <c r="K98" s="12" t="n">
        <v>1</v>
      </c>
      <c r="L98" s="9" t="n">
        <v>109.99</v>
      </c>
      <c r="M98" s="10" t="n">
        <v>0</v>
      </c>
      <c r="N98" s="9" t="n">
        <v>65.98999999999999</v>
      </c>
      <c r="O98" s="9">
        <f>K98*L98</f>
        <v/>
      </c>
      <c r="P98" s="9">
        <f>O98*M98</f>
        <v/>
      </c>
      <c r="Q98" s="9">
        <f>O98-P98</f>
        <v/>
      </c>
      <c r="R98" s="9">
        <f>K98*N98</f>
        <v/>
      </c>
      <c r="S98" s="9">
        <f>Q98-R98</f>
        <v/>
      </c>
      <c r="T98" s="10">
        <f>IFERROR(S98/Q98, 0)</f>
        <v/>
      </c>
    </row>
    <row r="99">
      <c r="A99" s="11" t="inlineStr">
        <is>
          <t>ORD-2024-1056</t>
        </is>
      </c>
      <c r="B99" s="11" t="inlineStr">
        <is>
          <t>2024-02-15</t>
        </is>
      </c>
      <c r="C99" s="11" t="inlineStr">
        <is>
          <t>TEC-TAB-003</t>
        </is>
      </c>
      <c r="D99" s="7" t="inlineStr">
        <is>
          <t>VisionPad Pro 11"</t>
        </is>
      </c>
      <c r="E99" s="7" t="inlineStr">
        <is>
          <t>Technology</t>
        </is>
      </c>
      <c r="F99" s="7" t="inlineStr">
        <is>
          <t>Phones &amp; Tablets</t>
        </is>
      </c>
      <c r="G99" s="7" t="inlineStr">
        <is>
          <t>Central</t>
        </is>
      </c>
      <c r="H99" s="7" t="inlineStr">
        <is>
          <t>Texas</t>
        </is>
      </c>
      <c r="I99" s="7" t="inlineStr">
        <is>
          <t>Online</t>
        </is>
      </c>
      <c r="J99" s="7" t="inlineStr">
        <is>
          <t>Corporate</t>
        </is>
      </c>
      <c r="K99" s="12" t="n">
        <v>5</v>
      </c>
      <c r="L99" s="9" t="n">
        <v>649.99</v>
      </c>
      <c r="M99" s="10" t="n">
        <v>0.05</v>
      </c>
      <c r="N99" s="9" t="n">
        <v>487.49</v>
      </c>
      <c r="O99" s="9">
        <f>K99*L99</f>
        <v/>
      </c>
      <c r="P99" s="9">
        <f>O99*M99</f>
        <v/>
      </c>
      <c r="Q99" s="9">
        <f>O99-P99</f>
        <v/>
      </c>
      <c r="R99" s="9">
        <f>K99*N99</f>
        <v/>
      </c>
      <c r="S99" s="9">
        <f>Q99-R99</f>
        <v/>
      </c>
      <c r="T99" s="10">
        <f>IFERROR(S99/Q99, 0)</f>
        <v/>
      </c>
    </row>
    <row r="100">
      <c r="A100" s="11" t="inlineStr">
        <is>
          <t>ORD-2024-1056</t>
        </is>
      </c>
      <c r="B100" s="11" t="inlineStr">
        <is>
          <t>2024-02-15</t>
        </is>
      </c>
      <c r="C100" s="11" t="inlineStr">
        <is>
          <t>OFF-PAP-004</t>
        </is>
      </c>
      <c r="D100" s="7" t="inlineStr">
        <is>
          <t>EcoRecycled Copy Paper (5 Reams)</t>
        </is>
      </c>
      <c r="E100" s="7" t="inlineStr">
        <is>
          <t>Office Supplies</t>
        </is>
      </c>
      <c r="F100" s="7" t="inlineStr">
        <is>
          <t>Paper Products</t>
        </is>
      </c>
      <c r="G100" s="7" t="inlineStr">
        <is>
          <t>Central</t>
        </is>
      </c>
      <c r="H100" s="7" t="inlineStr">
        <is>
          <t>Texas</t>
        </is>
      </c>
      <c r="I100" s="7" t="inlineStr">
        <is>
          <t>Online</t>
        </is>
      </c>
      <c r="J100" s="7" t="inlineStr">
        <is>
          <t>Corporate</t>
        </is>
      </c>
      <c r="K100" s="12" t="n">
        <v>2</v>
      </c>
      <c r="L100" s="9" t="n">
        <v>32.99</v>
      </c>
      <c r="M100" s="10" t="n">
        <v>0</v>
      </c>
      <c r="N100" s="9" t="n">
        <v>19.79</v>
      </c>
      <c r="O100" s="9">
        <f>K100*L100</f>
        <v/>
      </c>
      <c r="P100" s="9">
        <f>O100*M100</f>
        <v/>
      </c>
      <c r="Q100" s="9">
        <f>O100-P100</f>
        <v/>
      </c>
      <c r="R100" s="9">
        <f>K100*N100</f>
        <v/>
      </c>
      <c r="S100" s="9">
        <f>Q100-R100</f>
        <v/>
      </c>
      <c r="T100" s="10">
        <f>IFERROR(S100/Q100, 0)</f>
        <v/>
      </c>
    </row>
    <row r="101">
      <c r="A101" s="11" t="inlineStr">
        <is>
          <t>ORD-2024-1056</t>
        </is>
      </c>
      <c r="B101" s="11" t="inlineStr">
        <is>
          <t>2024-02-15</t>
        </is>
      </c>
      <c r="C101" s="11" t="inlineStr">
        <is>
          <t>TEC-LAP-002</t>
        </is>
      </c>
      <c r="D101" s="7" t="inlineStr">
        <is>
          <t>Apex Gaming Laptop 17"</t>
        </is>
      </c>
      <c r="E101" s="7" t="inlineStr">
        <is>
          <t>Technology</t>
        </is>
      </c>
      <c r="F101" s="7" t="inlineStr">
        <is>
          <t>Laptops</t>
        </is>
      </c>
      <c r="G101" s="7" t="inlineStr">
        <is>
          <t>Central</t>
        </is>
      </c>
      <c r="H101" s="7" t="inlineStr">
        <is>
          <t>Texas</t>
        </is>
      </c>
      <c r="I101" s="7" t="inlineStr">
        <is>
          <t>Online</t>
        </is>
      </c>
      <c r="J101" s="7" t="inlineStr">
        <is>
          <t>Corporate</t>
        </is>
      </c>
      <c r="K101" s="12" t="n">
        <v>7</v>
      </c>
      <c r="L101" s="9" t="n">
        <v>1499.99</v>
      </c>
      <c r="M101" s="10" t="n">
        <v>0.2</v>
      </c>
      <c r="N101" s="9" t="n">
        <v>1259.99</v>
      </c>
      <c r="O101" s="9">
        <f>K101*L101</f>
        <v/>
      </c>
      <c r="P101" s="9">
        <f>O101*M101</f>
        <v/>
      </c>
      <c r="Q101" s="9">
        <f>O101-P101</f>
        <v/>
      </c>
      <c r="R101" s="9">
        <f>K101*N101</f>
        <v/>
      </c>
      <c r="S101" s="9">
        <f>Q101-R101</f>
        <v/>
      </c>
      <c r="T101" s="10">
        <f>IFERROR(S101/Q101, 0)</f>
        <v/>
      </c>
    </row>
    <row r="102">
      <c r="A102" s="11" t="inlineStr">
        <is>
          <t>ORD-2024-1138</t>
        </is>
      </c>
      <c r="B102" s="11" t="inlineStr">
        <is>
          <t>2024-02-15</t>
        </is>
      </c>
      <c r="C102" s="11" t="inlineStr">
        <is>
          <t>FUR-DSK-003</t>
        </is>
      </c>
      <c r="D102" s="7" t="inlineStr">
        <is>
          <t>ApexMotor Dual-Motor Standing Desk</t>
        </is>
      </c>
      <c r="E102" s="7" t="inlineStr">
        <is>
          <t>Furniture</t>
        </is>
      </c>
      <c r="F102" s="7" t="inlineStr">
        <is>
          <t>Desks &amp; Workstations</t>
        </is>
      </c>
      <c r="G102" s="7" t="inlineStr">
        <is>
          <t>Central</t>
        </is>
      </c>
      <c r="H102" s="7" t="inlineStr">
        <is>
          <t>Ohio</t>
        </is>
      </c>
      <c r="I102" s="7" t="inlineStr">
        <is>
          <t>Online</t>
        </is>
      </c>
      <c r="J102" s="7" t="inlineStr">
        <is>
          <t>Corporate</t>
        </is>
      </c>
      <c r="K102" s="12" t="n">
        <v>8</v>
      </c>
      <c r="L102" s="9" t="n">
        <v>549.99</v>
      </c>
      <c r="M102" s="10" t="n">
        <v>0</v>
      </c>
      <c r="N102" s="9" t="n">
        <v>439.99</v>
      </c>
      <c r="O102" s="9">
        <f>K102*L102</f>
        <v/>
      </c>
      <c r="P102" s="9">
        <f>O102*M102</f>
        <v/>
      </c>
      <c r="Q102" s="9">
        <f>O102-P102</f>
        <v/>
      </c>
      <c r="R102" s="9">
        <f>K102*N102</f>
        <v/>
      </c>
      <c r="S102" s="9">
        <f>Q102-R102</f>
        <v/>
      </c>
      <c r="T102" s="10">
        <f>IFERROR(S102/Q102, 0)</f>
        <v/>
      </c>
    </row>
    <row r="103">
      <c r="A103" s="11" t="inlineStr">
        <is>
          <t>ORD-2024-1178</t>
        </is>
      </c>
      <c r="B103" s="11" t="inlineStr">
        <is>
          <t>2024-02-16</t>
        </is>
      </c>
      <c r="C103" s="11" t="inlineStr">
        <is>
          <t>OFF-STR-001</t>
        </is>
      </c>
      <c r="D103" s="7" t="inlineStr">
        <is>
          <t>SteelLock 3-Drawer File Cabinet</t>
        </is>
      </c>
      <c r="E103" s="7" t="inlineStr">
        <is>
          <t>Office Supplies</t>
        </is>
      </c>
      <c r="F103" s="7" t="inlineStr">
        <is>
          <t>Storage &amp; Organizers</t>
        </is>
      </c>
      <c r="G103" s="7" t="inlineStr">
        <is>
          <t>West</t>
        </is>
      </c>
      <c r="H103" s="7" t="inlineStr">
        <is>
          <t>Colorado</t>
        </is>
      </c>
      <c r="I103" s="7" t="inlineStr">
        <is>
          <t>Retail Partner</t>
        </is>
      </c>
      <c r="J103" s="7" t="inlineStr">
        <is>
          <t>Consumer</t>
        </is>
      </c>
      <c r="K103" s="12" t="n">
        <v>3</v>
      </c>
      <c r="L103" s="9" t="n">
        <v>169.99</v>
      </c>
      <c r="M103" s="10" t="n">
        <v>0</v>
      </c>
      <c r="N103" s="9" t="n">
        <v>115.59</v>
      </c>
      <c r="O103" s="9">
        <f>K103*L103</f>
        <v/>
      </c>
      <c r="P103" s="9">
        <f>O103*M103</f>
        <v/>
      </c>
      <c r="Q103" s="9">
        <f>O103-P103</f>
        <v/>
      </c>
      <c r="R103" s="9">
        <f>K103*N103</f>
        <v/>
      </c>
      <c r="S103" s="9">
        <f>Q103-R103</f>
        <v/>
      </c>
      <c r="T103" s="10">
        <f>IFERROR(S103/Q103, 0)</f>
        <v/>
      </c>
    </row>
    <row r="104">
      <c r="A104" s="11" t="inlineStr">
        <is>
          <t>ORD-2024-1178</t>
        </is>
      </c>
      <c r="B104" s="11" t="inlineStr">
        <is>
          <t>2024-02-16</t>
        </is>
      </c>
      <c r="C104" s="11" t="inlineStr">
        <is>
          <t>TEC-ACC-006</t>
        </is>
      </c>
      <c r="D104" s="7" t="inlineStr">
        <is>
          <t>MultiPort Thunderbolt 4 Dock</t>
        </is>
      </c>
      <c r="E104" s="7" t="inlineStr">
        <is>
          <t>Technology</t>
        </is>
      </c>
      <c r="F104" s="7" t="inlineStr">
        <is>
          <t>Audio &amp; Accessories</t>
        </is>
      </c>
      <c r="G104" s="7" t="inlineStr">
        <is>
          <t>West</t>
        </is>
      </c>
      <c r="H104" s="7" t="inlineStr">
        <is>
          <t>Colorado</t>
        </is>
      </c>
      <c r="I104" s="7" t="inlineStr">
        <is>
          <t>Retail Partner</t>
        </is>
      </c>
      <c r="J104" s="7" t="inlineStr">
        <is>
          <t>Consumer</t>
        </is>
      </c>
      <c r="K104" s="12" t="n">
        <v>1</v>
      </c>
      <c r="L104" s="9" t="n">
        <v>149.99</v>
      </c>
      <c r="M104" s="10" t="n">
        <v>0</v>
      </c>
      <c r="N104" s="9" t="n">
        <v>98.98999999999999</v>
      </c>
      <c r="O104" s="9">
        <f>K104*L104</f>
        <v/>
      </c>
      <c r="P104" s="9">
        <f>O104*M104</f>
        <v/>
      </c>
      <c r="Q104" s="9">
        <f>O104-P104</f>
        <v/>
      </c>
      <c r="R104" s="9">
        <f>K104*N104</f>
        <v/>
      </c>
      <c r="S104" s="9">
        <f>Q104-R104</f>
        <v/>
      </c>
      <c r="T104" s="10">
        <f>IFERROR(S104/Q104, 0)</f>
        <v/>
      </c>
    </row>
    <row r="105">
      <c r="A105" s="11" t="inlineStr">
        <is>
          <t>ORD-2024-1495</t>
        </is>
      </c>
      <c r="B105" s="11" t="inlineStr">
        <is>
          <t>2024-02-16</t>
        </is>
      </c>
      <c r="C105" s="11" t="inlineStr">
        <is>
          <t>FUR-CHA-002</t>
        </is>
      </c>
      <c r="D105" s="7" t="inlineStr">
        <is>
          <t>AeroTask Operator Task Chair</t>
        </is>
      </c>
      <c r="E105" s="7" t="inlineStr">
        <is>
          <t>Furniture</t>
        </is>
      </c>
      <c r="F105" s="7" t="inlineStr">
        <is>
          <t>Chairs</t>
        </is>
      </c>
      <c r="G105" s="7" t="inlineStr">
        <is>
          <t>Central</t>
        </is>
      </c>
      <c r="H105" s="7" t="inlineStr">
        <is>
          <t>Texas</t>
        </is>
      </c>
      <c r="I105" s="7" t="inlineStr">
        <is>
          <t>Online</t>
        </is>
      </c>
      <c r="J105" s="7" t="inlineStr">
        <is>
          <t>Consumer</t>
        </is>
      </c>
      <c r="K105" s="12" t="n">
        <v>3</v>
      </c>
      <c r="L105" s="9" t="n">
        <v>219.99</v>
      </c>
      <c r="M105" s="10" t="n">
        <v>0</v>
      </c>
      <c r="N105" s="9" t="n">
        <v>171.59</v>
      </c>
      <c r="O105" s="9">
        <f>K105*L105</f>
        <v/>
      </c>
      <c r="P105" s="9">
        <f>O105*M105</f>
        <v/>
      </c>
      <c r="Q105" s="9">
        <f>O105-P105</f>
        <v/>
      </c>
      <c r="R105" s="9">
        <f>K105*N105</f>
        <v/>
      </c>
      <c r="S105" s="9">
        <f>Q105-R105</f>
        <v/>
      </c>
      <c r="T105" s="10">
        <f>IFERROR(S105/Q105, 0)</f>
        <v/>
      </c>
    </row>
    <row r="106">
      <c r="A106" s="11" t="inlineStr">
        <is>
          <t>ORD-2024-1671</t>
        </is>
      </c>
      <c r="B106" s="11" t="inlineStr">
        <is>
          <t>2024-02-16</t>
        </is>
      </c>
      <c r="C106" s="11" t="inlineStr">
        <is>
          <t>OFF-STR-001</t>
        </is>
      </c>
      <c r="D106" s="7" t="inlineStr">
        <is>
          <t>SteelLock 3-Drawer File Cabinet</t>
        </is>
      </c>
      <c r="E106" s="7" t="inlineStr">
        <is>
          <t>Office Supplies</t>
        </is>
      </c>
      <c r="F106" s="7" t="inlineStr">
        <is>
          <t>Storage &amp; Organizers</t>
        </is>
      </c>
      <c r="G106" s="7" t="inlineStr">
        <is>
          <t>Central</t>
        </is>
      </c>
      <c r="H106" s="7" t="inlineStr">
        <is>
          <t>Michigan</t>
        </is>
      </c>
      <c r="I106" s="7" t="inlineStr">
        <is>
          <t>Wholesale</t>
        </is>
      </c>
      <c r="J106" s="7" t="inlineStr">
        <is>
          <t>Corporate</t>
        </is>
      </c>
      <c r="K106" s="12" t="n">
        <v>12</v>
      </c>
      <c r="L106" s="9" t="n">
        <v>169.99</v>
      </c>
      <c r="M106" s="10" t="n">
        <v>0.1</v>
      </c>
      <c r="N106" s="9" t="n">
        <v>115.59</v>
      </c>
      <c r="O106" s="9">
        <f>K106*L106</f>
        <v/>
      </c>
      <c r="P106" s="9">
        <f>O106*M106</f>
        <v/>
      </c>
      <c r="Q106" s="9">
        <f>O106-P106</f>
        <v/>
      </c>
      <c r="R106" s="9">
        <f>K106*N106</f>
        <v/>
      </c>
      <c r="S106" s="9">
        <f>Q106-R106</f>
        <v/>
      </c>
      <c r="T106" s="10">
        <f>IFERROR(S106/Q106, 0)</f>
        <v/>
      </c>
    </row>
    <row r="107">
      <c r="A107" s="11" t="inlineStr">
        <is>
          <t>ORD-2024-1671</t>
        </is>
      </c>
      <c r="B107" s="11" t="inlineStr">
        <is>
          <t>2024-02-16</t>
        </is>
      </c>
      <c r="C107" s="11" t="inlineStr">
        <is>
          <t>TEC-ACC-006</t>
        </is>
      </c>
      <c r="D107" s="7" t="inlineStr">
        <is>
          <t>MultiPort Thunderbolt 4 Dock</t>
        </is>
      </c>
      <c r="E107" s="7" t="inlineStr">
        <is>
          <t>Technology</t>
        </is>
      </c>
      <c r="F107" s="7" t="inlineStr">
        <is>
          <t>Audio &amp; Accessories</t>
        </is>
      </c>
      <c r="G107" s="7" t="inlineStr">
        <is>
          <t>Central</t>
        </is>
      </c>
      <c r="H107" s="7" t="inlineStr">
        <is>
          <t>Michigan</t>
        </is>
      </c>
      <c r="I107" s="7" t="inlineStr">
        <is>
          <t>Wholesale</t>
        </is>
      </c>
      <c r="J107" s="7" t="inlineStr">
        <is>
          <t>Corporate</t>
        </is>
      </c>
      <c r="K107" s="12" t="n">
        <v>6</v>
      </c>
      <c r="L107" s="9" t="n">
        <v>149.99</v>
      </c>
      <c r="M107" s="10" t="n">
        <v>0.15</v>
      </c>
      <c r="N107" s="9" t="n">
        <v>98.98999999999999</v>
      </c>
      <c r="O107" s="9">
        <f>K107*L107</f>
        <v/>
      </c>
      <c r="P107" s="9">
        <f>O107*M107</f>
        <v/>
      </c>
      <c r="Q107" s="9">
        <f>O107-P107</f>
        <v/>
      </c>
      <c r="R107" s="9">
        <f>K107*N107</f>
        <v/>
      </c>
      <c r="S107" s="9">
        <f>Q107-R107</f>
        <v/>
      </c>
      <c r="T107" s="10">
        <f>IFERROR(S107/Q107, 0)</f>
        <v/>
      </c>
    </row>
    <row r="108">
      <c r="A108" s="11" t="inlineStr">
        <is>
          <t>ORD-2024-1671</t>
        </is>
      </c>
      <c r="B108" s="11" t="inlineStr">
        <is>
          <t>2024-02-16</t>
        </is>
      </c>
      <c r="C108" s="11" t="inlineStr">
        <is>
          <t>OFF-BIN-005</t>
        </is>
      </c>
      <c r="D108" s="7" t="inlineStr">
        <is>
          <t>Heavy-Duty D-Ring Presentation Binder (6-Pk)</t>
        </is>
      </c>
      <c r="E108" s="7" t="inlineStr">
        <is>
          <t>Office Supplies</t>
        </is>
      </c>
      <c r="F108" s="7" t="inlineStr">
        <is>
          <t>Binders &amp; Fasteners</t>
        </is>
      </c>
      <c r="G108" s="7" t="inlineStr">
        <is>
          <t>Central</t>
        </is>
      </c>
      <c r="H108" s="7" t="inlineStr">
        <is>
          <t>Michigan</t>
        </is>
      </c>
      <c r="I108" s="7" t="inlineStr">
        <is>
          <t>Wholesale</t>
        </is>
      </c>
      <c r="J108" s="7" t="inlineStr">
        <is>
          <t>Corporate</t>
        </is>
      </c>
      <c r="K108" s="12" t="n">
        <v>5</v>
      </c>
      <c r="L108" s="9" t="n">
        <v>27.99</v>
      </c>
      <c r="M108" s="10" t="n">
        <v>0.15</v>
      </c>
      <c r="N108" s="9" t="n">
        <v>13.99</v>
      </c>
      <c r="O108" s="9">
        <f>K108*L108</f>
        <v/>
      </c>
      <c r="P108" s="9">
        <f>O108*M108</f>
        <v/>
      </c>
      <c r="Q108" s="9">
        <f>O108-P108</f>
        <v/>
      </c>
      <c r="R108" s="9">
        <f>K108*N108</f>
        <v/>
      </c>
      <c r="S108" s="9">
        <f>Q108-R108</f>
        <v/>
      </c>
      <c r="T108" s="10">
        <f>IFERROR(S108/Q108, 0)</f>
        <v/>
      </c>
    </row>
    <row r="109">
      <c r="A109" s="11" t="inlineStr">
        <is>
          <t>ORD-2024-1689</t>
        </is>
      </c>
      <c r="B109" s="11" t="inlineStr">
        <is>
          <t>2024-02-16</t>
        </is>
      </c>
      <c r="C109" s="11" t="inlineStr">
        <is>
          <t>OFF-BIN-005</t>
        </is>
      </c>
      <c r="D109" s="7" t="inlineStr">
        <is>
          <t>Heavy-Duty D-Ring Presentation Binder (6-Pk)</t>
        </is>
      </c>
      <c r="E109" s="7" t="inlineStr">
        <is>
          <t>Office Supplies</t>
        </is>
      </c>
      <c r="F109" s="7" t="inlineStr">
        <is>
          <t>Binders &amp; Fasteners</t>
        </is>
      </c>
      <c r="G109" s="7" t="inlineStr">
        <is>
          <t>East</t>
        </is>
      </c>
      <c r="H109" s="7" t="inlineStr">
        <is>
          <t>Pennsylvania</t>
        </is>
      </c>
      <c r="I109" s="7" t="inlineStr">
        <is>
          <t>Direct Sales</t>
        </is>
      </c>
      <c r="J109" s="7" t="inlineStr">
        <is>
          <t>Home Office</t>
        </is>
      </c>
      <c r="K109" s="12" t="n">
        <v>3</v>
      </c>
      <c r="L109" s="9" t="n">
        <v>27.99</v>
      </c>
      <c r="M109" s="10" t="n">
        <v>0.15</v>
      </c>
      <c r="N109" s="9" t="n">
        <v>13.99</v>
      </c>
      <c r="O109" s="9">
        <f>K109*L109</f>
        <v/>
      </c>
      <c r="P109" s="9">
        <f>O109*M109</f>
        <v/>
      </c>
      <c r="Q109" s="9">
        <f>O109-P109</f>
        <v/>
      </c>
      <c r="R109" s="9">
        <f>K109*N109</f>
        <v/>
      </c>
      <c r="S109" s="9">
        <f>Q109-R109</f>
        <v/>
      </c>
      <c r="T109" s="10">
        <f>IFERROR(S109/Q109, 0)</f>
        <v/>
      </c>
    </row>
    <row r="110">
      <c r="A110" s="11" t="inlineStr">
        <is>
          <t>ORD-2024-1047</t>
        </is>
      </c>
      <c r="B110" s="11" t="inlineStr">
        <is>
          <t>2024-02-17</t>
        </is>
      </c>
      <c r="C110" s="11" t="inlineStr">
        <is>
          <t>FUR-CHA-001</t>
        </is>
      </c>
      <c r="D110" s="7" t="inlineStr">
        <is>
          <t>ErgoFlex Executive Mesh Chair</t>
        </is>
      </c>
      <c r="E110" s="7" t="inlineStr">
        <is>
          <t>Furniture</t>
        </is>
      </c>
      <c r="F110" s="7" t="inlineStr">
        <is>
          <t>Chairs</t>
        </is>
      </c>
      <c r="G110" s="7" t="inlineStr">
        <is>
          <t>West</t>
        </is>
      </c>
      <c r="H110" s="7" t="inlineStr">
        <is>
          <t>Washington</t>
        </is>
      </c>
      <c r="I110" s="7" t="inlineStr">
        <is>
          <t>Direct Sales</t>
        </is>
      </c>
      <c r="J110" s="7" t="inlineStr">
        <is>
          <t>Corporate</t>
        </is>
      </c>
      <c r="K110" s="12" t="n">
        <v>7</v>
      </c>
      <c r="L110" s="9" t="n">
        <v>389.99</v>
      </c>
      <c r="M110" s="10" t="n">
        <v>0.15</v>
      </c>
      <c r="N110" s="9" t="n">
        <v>331.49</v>
      </c>
      <c r="O110" s="9">
        <f>K110*L110</f>
        <v/>
      </c>
      <c r="P110" s="9">
        <f>O110*M110</f>
        <v/>
      </c>
      <c r="Q110" s="9">
        <f>O110-P110</f>
        <v/>
      </c>
      <c r="R110" s="9">
        <f>K110*N110</f>
        <v/>
      </c>
      <c r="S110" s="9">
        <f>Q110-R110</f>
        <v/>
      </c>
      <c r="T110" s="10">
        <f>IFERROR(S110/Q110, 0)</f>
        <v/>
      </c>
    </row>
    <row r="111">
      <c r="A111" s="11" t="inlineStr">
        <is>
          <t>ORD-2024-1313</t>
        </is>
      </c>
      <c r="B111" s="11" t="inlineStr">
        <is>
          <t>2024-02-17</t>
        </is>
      </c>
      <c r="C111" s="11" t="inlineStr">
        <is>
          <t>FUR-BOK-005</t>
        </is>
      </c>
      <c r="D111" s="7" t="inlineStr">
        <is>
          <t>Modular 5-Tier Steel Bookcase</t>
        </is>
      </c>
      <c r="E111" s="7" t="inlineStr">
        <is>
          <t>Furniture</t>
        </is>
      </c>
      <c r="F111" s="7" t="inlineStr">
        <is>
          <t>Bookcases</t>
        </is>
      </c>
      <c r="G111" s="7" t="inlineStr">
        <is>
          <t>West</t>
        </is>
      </c>
      <c r="H111" s="7" t="inlineStr">
        <is>
          <t>Washington</t>
        </is>
      </c>
      <c r="I111" s="7" t="inlineStr">
        <is>
          <t>Online</t>
        </is>
      </c>
      <c r="J111" s="7" t="inlineStr">
        <is>
          <t>Consumer</t>
        </is>
      </c>
      <c r="K111" s="12" t="n">
        <v>4</v>
      </c>
      <c r="L111" s="9" t="n">
        <v>189.99</v>
      </c>
      <c r="M111" s="10" t="n">
        <v>0.1</v>
      </c>
      <c r="N111" s="9" t="n">
        <v>142.49</v>
      </c>
      <c r="O111" s="9">
        <f>K111*L111</f>
        <v/>
      </c>
      <c r="P111" s="9">
        <f>O111*M111</f>
        <v/>
      </c>
      <c r="Q111" s="9">
        <f>O111-P111</f>
        <v/>
      </c>
      <c r="R111" s="9">
        <f>K111*N111</f>
        <v/>
      </c>
      <c r="S111" s="9">
        <f>Q111-R111</f>
        <v/>
      </c>
      <c r="T111" s="10">
        <f>IFERROR(S111/Q111, 0)</f>
        <v/>
      </c>
    </row>
    <row r="112">
      <c r="A112" s="11" t="inlineStr">
        <is>
          <t>ORD-2024-1406</t>
        </is>
      </c>
      <c r="B112" s="11" t="inlineStr">
        <is>
          <t>2024-02-18</t>
        </is>
      </c>
      <c r="C112" s="11" t="inlineStr">
        <is>
          <t>FUR-DSK-003</t>
        </is>
      </c>
      <c r="D112" s="7" t="inlineStr">
        <is>
          <t>ApexMotor Dual-Motor Standing Desk</t>
        </is>
      </c>
      <c r="E112" s="7" t="inlineStr">
        <is>
          <t>Furniture</t>
        </is>
      </c>
      <c r="F112" s="7" t="inlineStr">
        <is>
          <t>Desks &amp; Workstations</t>
        </is>
      </c>
      <c r="G112" s="7" t="inlineStr">
        <is>
          <t>Central</t>
        </is>
      </c>
      <c r="H112" s="7" t="inlineStr">
        <is>
          <t>Ohio</t>
        </is>
      </c>
      <c r="I112" s="7" t="inlineStr">
        <is>
          <t>Online</t>
        </is>
      </c>
      <c r="J112" s="7" t="inlineStr">
        <is>
          <t>Corporate</t>
        </is>
      </c>
      <c r="K112" s="12" t="n">
        <v>2</v>
      </c>
      <c r="L112" s="9" t="n">
        <v>549.99</v>
      </c>
      <c r="M112" s="10" t="n">
        <v>0.1</v>
      </c>
      <c r="N112" s="9" t="n">
        <v>439.99</v>
      </c>
      <c r="O112" s="9">
        <f>K112*L112</f>
        <v/>
      </c>
      <c r="P112" s="9">
        <f>O112*M112</f>
        <v/>
      </c>
      <c r="Q112" s="9">
        <f>O112-P112</f>
        <v/>
      </c>
      <c r="R112" s="9">
        <f>K112*N112</f>
        <v/>
      </c>
      <c r="S112" s="9">
        <f>Q112-R112</f>
        <v/>
      </c>
      <c r="T112" s="10">
        <f>IFERROR(S112/Q112, 0)</f>
        <v/>
      </c>
    </row>
    <row r="113">
      <c r="A113" s="11" t="inlineStr">
        <is>
          <t>ORD-2024-1406</t>
        </is>
      </c>
      <c r="B113" s="11" t="inlineStr">
        <is>
          <t>2024-02-18</t>
        </is>
      </c>
      <c r="C113" s="11" t="inlineStr">
        <is>
          <t>TEC-TAB-003</t>
        </is>
      </c>
      <c r="D113" s="7" t="inlineStr">
        <is>
          <t>VisionPad Pro 11"</t>
        </is>
      </c>
      <c r="E113" s="7" t="inlineStr">
        <is>
          <t>Technology</t>
        </is>
      </c>
      <c r="F113" s="7" t="inlineStr">
        <is>
          <t>Phones &amp; Tablets</t>
        </is>
      </c>
      <c r="G113" s="7" t="inlineStr">
        <is>
          <t>Central</t>
        </is>
      </c>
      <c r="H113" s="7" t="inlineStr">
        <is>
          <t>Ohio</t>
        </is>
      </c>
      <c r="I113" s="7" t="inlineStr">
        <is>
          <t>Online</t>
        </is>
      </c>
      <c r="J113" s="7" t="inlineStr">
        <is>
          <t>Corporate</t>
        </is>
      </c>
      <c r="K113" s="12" t="n">
        <v>4</v>
      </c>
      <c r="L113" s="9" t="n">
        <v>649.99</v>
      </c>
      <c r="M113" s="10" t="n">
        <v>0.05</v>
      </c>
      <c r="N113" s="9" t="n">
        <v>487.49</v>
      </c>
      <c r="O113" s="9">
        <f>K113*L113</f>
        <v/>
      </c>
      <c r="P113" s="9">
        <f>O113*M113</f>
        <v/>
      </c>
      <c r="Q113" s="9">
        <f>O113-P113</f>
        <v/>
      </c>
      <c r="R113" s="9">
        <f>K113*N113</f>
        <v/>
      </c>
      <c r="S113" s="9">
        <f>Q113-R113</f>
        <v/>
      </c>
      <c r="T113" s="10">
        <f>IFERROR(S113/Q113, 0)</f>
        <v/>
      </c>
    </row>
    <row r="114">
      <c r="A114" s="11" t="inlineStr">
        <is>
          <t>ORD-2024-1304</t>
        </is>
      </c>
      <c r="B114" s="11" t="inlineStr">
        <is>
          <t>2024-02-20</t>
        </is>
      </c>
      <c r="C114" s="11" t="inlineStr">
        <is>
          <t>FUR-DSK-004</t>
        </is>
      </c>
      <c r="D114" s="7" t="inlineStr">
        <is>
          <t>Metro Compact Corner Workstation</t>
        </is>
      </c>
      <c r="E114" s="7" t="inlineStr">
        <is>
          <t>Furniture</t>
        </is>
      </c>
      <c r="F114" s="7" t="inlineStr">
        <is>
          <t>Desks &amp; Workstations</t>
        </is>
      </c>
      <c r="G114" s="7" t="inlineStr">
        <is>
          <t>East</t>
        </is>
      </c>
      <c r="H114" s="7" t="inlineStr">
        <is>
          <t>Massachusetts</t>
        </is>
      </c>
      <c r="I114" s="7" t="inlineStr">
        <is>
          <t>Retail Partner</t>
        </is>
      </c>
      <c r="J114" s="7" t="inlineStr">
        <is>
          <t>Corporate</t>
        </is>
      </c>
      <c r="K114" s="12" t="n">
        <v>2</v>
      </c>
      <c r="L114" s="9" t="n">
        <v>329.99</v>
      </c>
      <c r="M114" s="10" t="n">
        <v>0</v>
      </c>
      <c r="N114" s="9" t="n">
        <v>250.79</v>
      </c>
      <c r="O114" s="9">
        <f>K114*L114</f>
        <v/>
      </c>
      <c r="P114" s="9">
        <f>O114*M114</f>
        <v/>
      </c>
      <c r="Q114" s="9">
        <f>O114-P114</f>
        <v/>
      </c>
      <c r="R114" s="9">
        <f>K114*N114</f>
        <v/>
      </c>
      <c r="S114" s="9">
        <f>Q114-R114</f>
        <v/>
      </c>
      <c r="T114" s="10">
        <f>IFERROR(S114/Q114, 0)</f>
        <v/>
      </c>
    </row>
    <row r="115">
      <c r="A115" s="11" t="inlineStr">
        <is>
          <t>ORD-2024-1304</t>
        </is>
      </c>
      <c r="B115" s="11" t="inlineStr">
        <is>
          <t>2024-02-20</t>
        </is>
      </c>
      <c r="C115" s="11" t="inlineStr">
        <is>
          <t>OFF-BIN-005</t>
        </is>
      </c>
      <c r="D115" s="7" t="inlineStr">
        <is>
          <t>Heavy-Duty D-Ring Presentation Binder (6-Pk)</t>
        </is>
      </c>
      <c r="E115" s="7" t="inlineStr">
        <is>
          <t>Office Supplies</t>
        </is>
      </c>
      <c r="F115" s="7" t="inlineStr">
        <is>
          <t>Binders &amp; Fasteners</t>
        </is>
      </c>
      <c r="G115" s="7" t="inlineStr">
        <is>
          <t>East</t>
        </is>
      </c>
      <c r="H115" s="7" t="inlineStr">
        <is>
          <t>Massachusetts</t>
        </is>
      </c>
      <c r="I115" s="7" t="inlineStr">
        <is>
          <t>Retail Partner</t>
        </is>
      </c>
      <c r="J115" s="7" t="inlineStr">
        <is>
          <t>Corporate</t>
        </is>
      </c>
      <c r="K115" s="12" t="n">
        <v>6</v>
      </c>
      <c r="L115" s="9" t="n">
        <v>27.99</v>
      </c>
      <c r="M115" s="10" t="n">
        <v>0</v>
      </c>
      <c r="N115" s="9" t="n">
        <v>13.99</v>
      </c>
      <c r="O115" s="9">
        <f>K115*L115</f>
        <v/>
      </c>
      <c r="P115" s="9">
        <f>O115*M115</f>
        <v/>
      </c>
      <c r="Q115" s="9">
        <f>O115-P115</f>
        <v/>
      </c>
      <c r="R115" s="9">
        <f>K115*N115</f>
        <v/>
      </c>
      <c r="S115" s="9">
        <f>Q115-R115</f>
        <v/>
      </c>
      <c r="T115" s="10">
        <f>IFERROR(S115/Q115, 0)</f>
        <v/>
      </c>
    </row>
    <row r="116">
      <c r="A116" s="11" t="inlineStr">
        <is>
          <t>ORD-2024-1438</t>
        </is>
      </c>
      <c r="B116" s="11" t="inlineStr">
        <is>
          <t>2024-02-20</t>
        </is>
      </c>
      <c r="C116" s="11" t="inlineStr">
        <is>
          <t>OFF-BIN-005</t>
        </is>
      </c>
      <c r="D116" s="7" t="inlineStr">
        <is>
          <t>Heavy-Duty D-Ring Presentation Binder (6-Pk)</t>
        </is>
      </c>
      <c r="E116" s="7" t="inlineStr">
        <is>
          <t>Office Supplies</t>
        </is>
      </c>
      <c r="F116" s="7" t="inlineStr">
        <is>
          <t>Binders &amp; Fasteners</t>
        </is>
      </c>
      <c r="G116" s="7" t="inlineStr">
        <is>
          <t>East</t>
        </is>
      </c>
      <c r="H116" s="7" t="inlineStr">
        <is>
          <t>Massachusetts</t>
        </is>
      </c>
      <c r="I116" s="7" t="inlineStr">
        <is>
          <t>Wholesale</t>
        </is>
      </c>
      <c r="J116" s="7" t="inlineStr">
        <is>
          <t>Consumer</t>
        </is>
      </c>
      <c r="K116" s="12" t="n">
        <v>5</v>
      </c>
      <c r="L116" s="9" t="n">
        <v>27.99</v>
      </c>
      <c r="M116" s="10" t="n">
        <v>0.2</v>
      </c>
      <c r="N116" s="9" t="n">
        <v>13.99</v>
      </c>
      <c r="O116" s="9">
        <f>K116*L116</f>
        <v/>
      </c>
      <c r="P116" s="9">
        <f>O116*M116</f>
        <v/>
      </c>
      <c r="Q116" s="9">
        <f>O116-P116</f>
        <v/>
      </c>
      <c r="R116" s="9">
        <f>K116*N116</f>
        <v/>
      </c>
      <c r="S116" s="9">
        <f>Q116-R116</f>
        <v/>
      </c>
      <c r="T116" s="10">
        <f>IFERROR(S116/Q116, 0)</f>
        <v/>
      </c>
    </row>
    <row r="117">
      <c r="A117" s="11" t="inlineStr">
        <is>
          <t>ORD-2024-1438</t>
        </is>
      </c>
      <c r="B117" s="11" t="inlineStr">
        <is>
          <t>2024-02-20</t>
        </is>
      </c>
      <c r="C117" s="11" t="inlineStr">
        <is>
          <t>TEC-LAP-001</t>
        </is>
      </c>
      <c r="D117" s="7" t="inlineStr">
        <is>
          <t>ProBook Elite 15.6"</t>
        </is>
      </c>
      <c r="E117" s="7" t="inlineStr">
        <is>
          <t>Technology</t>
        </is>
      </c>
      <c r="F117" s="7" t="inlineStr">
        <is>
          <t>Laptops</t>
        </is>
      </c>
      <c r="G117" s="7" t="inlineStr">
        <is>
          <t>East</t>
        </is>
      </c>
      <c r="H117" s="7" t="inlineStr">
        <is>
          <t>Massachusetts</t>
        </is>
      </c>
      <c r="I117" s="7" t="inlineStr">
        <is>
          <t>Wholesale</t>
        </is>
      </c>
      <c r="J117" s="7" t="inlineStr">
        <is>
          <t>Consumer</t>
        </is>
      </c>
      <c r="K117" s="12" t="n">
        <v>6</v>
      </c>
      <c r="L117" s="9" t="n">
        <v>1199.99</v>
      </c>
      <c r="M117" s="10" t="n">
        <v>0.2</v>
      </c>
      <c r="N117" s="9" t="n">
        <v>863.99</v>
      </c>
      <c r="O117" s="9">
        <f>K117*L117</f>
        <v/>
      </c>
      <c r="P117" s="9">
        <f>O117*M117</f>
        <v/>
      </c>
      <c r="Q117" s="9">
        <f>O117-P117</f>
        <v/>
      </c>
      <c r="R117" s="9">
        <f>K117*N117</f>
        <v/>
      </c>
      <c r="S117" s="9">
        <f>Q117-R117</f>
        <v/>
      </c>
      <c r="T117" s="10">
        <f>IFERROR(S117/Q117, 0)</f>
        <v/>
      </c>
    </row>
    <row r="118">
      <c r="A118" s="11" t="inlineStr">
        <is>
          <t>ORD-2024-1105</t>
        </is>
      </c>
      <c r="B118" s="11" t="inlineStr">
        <is>
          <t>2024-02-22</t>
        </is>
      </c>
      <c r="C118" s="11" t="inlineStr">
        <is>
          <t>OFF-ART-006</t>
        </is>
      </c>
      <c r="D118" s="7" t="inlineStr">
        <is>
          <t>Professional Presentation Dry Erase Board</t>
        </is>
      </c>
      <c r="E118" s="7" t="inlineStr">
        <is>
          <t>Office Supplies</t>
        </is>
      </c>
      <c r="F118" s="7" t="inlineStr">
        <is>
          <t>Presentation &amp; Art</t>
        </is>
      </c>
      <c r="G118" s="7" t="inlineStr">
        <is>
          <t>East</t>
        </is>
      </c>
      <c r="H118" s="7" t="inlineStr">
        <is>
          <t>Pennsylvania</t>
        </is>
      </c>
      <c r="I118" s="7" t="inlineStr">
        <is>
          <t>Online</t>
        </is>
      </c>
      <c r="J118" s="7" t="inlineStr">
        <is>
          <t>Home Office</t>
        </is>
      </c>
      <c r="K118" s="12" t="n">
        <v>3</v>
      </c>
      <c r="L118" s="9" t="n">
        <v>89.98999999999999</v>
      </c>
      <c r="M118" s="10" t="n">
        <v>0</v>
      </c>
      <c r="N118" s="9" t="n">
        <v>53.99</v>
      </c>
      <c r="O118" s="9">
        <f>K118*L118</f>
        <v/>
      </c>
      <c r="P118" s="9">
        <f>O118*M118</f>
        <v/>
      </c>
      <c r="Q118" s="9">
        <f>O118-P118</f>
        <v/>
      </c>
      <c r="R118" s="9">
        <f>K118*N118</f>
        <v/>
      </c>
      <c r="S118" s="9">
        <f>Q118-R118</f>
        <v/>
      </c>
      <c r="T118" s="10">
        <f>IFERROR(S118/Q118, 0)</f>
        <v/>
      </c>
    </row>
    <row r="119">
      <c r="A119" s="11" t="inlineStr">
        <is>
          <t>ORD-2024-1311</t>
        </is>
      </c>
      <c r="B119" s="11" t="inlineStr">
        <is>
          <t>2024-02-22</t>
        </is>
      </c>
      <c r="C119" s="11" t="inlineStr">
        <is>
          <t>TEC-TAB-003</t>
        </is>
      </c>
      <c r="D119" s="7" t="inlineStr">
        <is>
          <t>VisionPad Pro 11"</t>
        </is>
      </c>
      <c r="E119" s="7" t="inlineStr">
        <is>
          <t>Technology</t>
        </is>
      </c>
      <c r="F119" s="7" t="inlineStr">
        <is>
          <t>Phones &amp; Tablets</t>
        </is>
      </c>
      <c r="G119" s="7" t="inlineStr">
        <is>
          <t>Central</t>
        </is>
      </c>
      <c r="H119" s="7" t="inlineStr">
        <is>
          <t>Michigan</t>
        </is>
      </c>
      <c r="I119" s="7" t="inlineStr">
        <is>
          <t>Direct Sales</t>
        </is>
      </c>
      <c r="J119" s="7" t="inlineStr">
        <is>
          <t>Consumer</t>
        </is>
      </c>
      <c r="K119" s="12" t="n">
        <v>2</v>
      </c>
      <c r="L119" s="9" t="n">
        <v>649.99</v>
      </c>
      <c r="M119" s="10" t="n">
        <v>0.05</v>
      </c>
      <c r="N119" s="9" t="n">
        <v>487.49</v>
      </c>
      <c r="O119" s="9">
        <f>K119*L119</f>
        <v/>
      </c>
      <c r="P119" s="9">
        <f>O119*M119</f>
        <v/>
      </c>
      <c r="Q119" s="9">
        <f>O119-P119</f>
        <v/>
      </c>
      <c r="R119" s="9">
        <f>K119*N119</f>
        <v/>
      </c>
      <c r="S119" s="9">
        <f>Q119-R119</f>
        <v/>
      </c>
      <c r="T119" s="10">
        <f>IFERROR(S119/Q119, 0)</f>
        <v/>
      </c>
    </row>
    <row r="120">
      <c r="A120" s="11" t="inlineStr">
        <is>
          <t>ORD-2024-1486</t>
        </is>
      </c>
      <c r="B120" s="11" t="inlineStr">
        <is>
          <t>2024-02-22</t>
        </is>
      </c>
      <c r="C120" s="11" t="inlineStr">
        <is>
          <t>FUR-BOK-005</t>
        </is>
      </c>
      <c r="D120" s="7" t="inlineStr">
        <is>
          <t>Modular 5-Tier Steel Bookcase</t>
        </is>
      </c>
      <c r="E120" s="7" t="inlineStr">
        <is>
          <t>Furniture</t>
        </is>
      </c>
      <c r="F120" s="7" t="inlineStr">
        <is>
          <t>Bookcases</t>
        </is>
      </c>
      <c r="G120" s="7" t="inlineStr">
        <is>
          <t>Central</t>
        </is>
      </c>
      <c r="H120" s="7" t="inlineStr">
        <is>
          <t>Michigan</t>
        </is>
      </c>
      <c r="I120" s="7" t="inlineStr">
        <is>
          <t>Wholesale</t>
        </is>
      </c>
      <c r="J120" s="7" t="inlineStr">
        <is>
          <t>Consumer</t>
        </is>
      </c>
      <c r="K120" s="12" t="n">
        <v>10</v>
      </c>
      <c r="L120" s="9" t="n">
        <v>189.99</v>
      </c>
      <c r="M120" s="10" t="n">
        <v>0.15</v>
      </c>
      <c r="N120" s="9" t="n">
        <v>142.49</v>
      </c>
      <c r="O120" s="9">
        <f>K120*L120</f>
        <v/>
      </c>
      <c r="P120" s="9">
        <f>O120*M120</f>
        <v/>
      </c>
      <c r="Q120" s="9">
        <f>O120-P120</f>
        <v/>
      </c>
      <c r="R120" s="9">
        <f>K120*N120</f>
        <v/>
      </c>
      <c r="S120" s="9">
        <f>Q120-R120</f>
        <v/>
      </c>
      <c r="T120" s="10">
        <f>IFERROR(S120/Q120, 0)</f>
        <v/>
      </c>
    </row>
    <row r="121">
      <c r="A121" s="11" t="inlineStr">
        <is>
          <t>ORD-2024-1049</t>
        </is>
      </c>
      <c r="B121" s="11" t="inlineStr">
        <is>
          <t>2024-02-24</t>
        </is>
      </c>
      <c r="C121" s="11" t="inlineStr">
        <is>
          <t>TEC-ACC-008</t>
        </is>
      </c>
      <c r="D121" s="7" t="inlineStr">
        <is>
          <t>Precision Laser Bluetooth Mouse</t>
        </is>
      </c>
      <c r="E121" s="7" t="inlineStr">
        <is>
          <t>Technology</t>
        </is>
      </c>
      <c r="F121" s="7" t="inlineStr">
        <is>
          <t>Audio &amp; Accessories</t>
        </is>
      </c>
      <c r="G121" s="7" t="inlineStr">
        <is>
          <t>West</t>
        </is>
      </c>
      <c r="H121" s="7" t="inlineStr">
        <is>
          <t>Colorado</t>
        </is>
      </c>
      <c r="I121" s="7" t="inlineStr">
        <is>
          <t>Wholesale</t>
        </is>
      </c>
      <c r="J121" s="7" t="inlineStr">
        <is>
          <t>Home Office</t>
        </is>
      </c>
      <c r="K121" s="12" t="n">
        <v>12</v>
      </c>
      <c r="L121" s="9" t="n">
        <v>49.99</v>
      </c>
      <c r="M121" s="10" t="n">
        <v>0.15</v>
      </c>
      <c r="N121" s="9" t="n">
        <v>27.49</v>
      </c>
      <c r="O121" s="9">
        <f>K121*L121</f>
        <v/>
      </c>
      <c r="P121" s="9">
        <f>O121*M121</f>
        <v/>
      </c>
      <c r="Q121" s="9">
        <f>O121-P121</f>
        <v/>
      </c>
      <c r="R121" s="9">
        <f>K121*N121</f>
        <v/>
      </c>
      <c r="S121" s="9">
        <f>Q121-R121</f>
        <v/>
      </c>
      <c r="T121" s="10">
        <f>IFERROR(S121/Q121, 0)</f>
        <v/>
      </c>
    </row>
    <row r="122">
      <c r="A122" s="11" t="inlineStr">
        <is>
          <t>ORD-2024-1198</t>
        </is>
      </c>
      <c r="B122" s="11" t="inlineStr">
        <is>
          <t>2024-02-25</t>
        </is>
      </c>
      <c r="C122" s="11" t="inlineStr">
        <is>
          <t>OFF-STR-002</t>
        </is>
      </c>
      <c r="D122" s="7" t="inlineStr">
        <is>
          <t>Stackable Heavy-Duty Storage Bins (4-Pk)</t>
        </is>
      </c>
      <c r="E122" s="7" t="inlineStr">
        <is>
          <t>Office Supplies</t>
        </is>
      </c>
      <c r="F122" s="7" t="inlineStr">
        <is>
          <t>Storage &amp; Organizers</t>
        </is>
      </c>
      <c r="G122" s="7" t="inlineStr">
        <is>
          <t>East</t>
        </is>
      </c>
      <c r="H122" s="7" t="inlineStr">
        <is>
          <t>Pennsylvania</t>
        </is>
      </c>
      <c r="I122" s="7" t="inlineStr">
        <is>
          <t>Direct Sales</t>
        </is>
      </c>
      <c r="J122" s="7" t="inlineStr">
        <is>
          <t>Corporate</t>
        </is>
      </c>
      <c r="K122" s="12" t="n">
        <v>6</v>
      </c>
      <c r="L122" s="9" t="n">
        <v>44.99</v>
      </c>
      <c r="M122" s="10" t="n">
        <v>0.05</v>
      </c>
      <c r="N122" s="9" t="n">
        <v>24.74</v>
      </c>
      <c r="O122" s="9">
        <f>K122*L122</f>
        <v/>
      </c>
      <c r="P122" s="9">
        <f>O122*M122</f>
        <v/>
      </c>
      <c r="Q122" s="9">
        <f>O122-P122</f>
        <v/>
      </c>
      <c r="R122" s="9">
        <f>K122*N122</f>
        <v/>
      </c>
      <c r="S122" s="9">
        <f>Q122-R122</f>
        <v/>
      </c>
      <c r="T122" s="10">
        <f>IFERROR(S122/Q122, 0)</f>
        <v/>
      </c>
    </row>
    <row r="123">
      <c r="A123" s="11" t="inlineStr">
        <is>
          <t>ORD-2024-1552</t>
        </is>
      </c>
      <c r="B123" s="11" t="inlineStr">
        <is>
          <t>2024-02-26</t>
        </is>
      </c>
      <c r="C123" s="11" t="inlineStr">
        <is>
          <t>FUR-LGT-006</t>
        </is>
      </c>
      <c r="D123" s="7" t="inlineStr">
        <is>
          <t>Architect LED Desk Task Lamp</t>
        </is>
      </c>
      <c r="E123" s="7" t="inlineStr">
        <is>
          <t>Furniture</t>
        </is>
      </c>
      <c r="F123" s="7" t="inlineStr">
        <is>
          <t>Lighting</t>
        </is>
      </c>
      <c r="G123" s="7" t="inlineStr">
        <is>
          <t>South</t>
        </is>
      </c>
      <c r="H123" s="7" t="inlineStr">
        <is>
          <t>North Carolina</t>
        </is>
      </c>
      <c r="I123" s="7" t="inlineStr">
        <is>
          <t>Retail Partner</t>
        </is>
      </c>
      <c r="J123" s="7" t="inlineStr">
        <is>
          <t>Home Office</t>
        </is>
      </c>
      <c r="K123" s="12" t="n">
        <v>4</v>
      </c>
      <c r="L123" s="9" t="n">
        <v>69.98999999999999</v>
      </c>
      <c r="M123" s="10" t="n">
        <v>0</v>
      </c>
      <c r="N123" s="9" t="n">
        <v>43.39</v>
      </c>
      <c r="O123" s="9">
        <f>K123*L123</f>
        <v/>
      </c>
      <c r="P123" s="9">
        <f>O123*M123</f>
        <v/>
      </c>
      <c r="Q123" s="9">
        <f>O123-P123</f>
        <v/>
      </c>
      <c r="R123" s="9">
        <f>K123*N123</f>
        <v/>
      </c>
      <c r="S123" s="9">
        <f>Q123-R123</f>
        <v/>
      </c>
      <c r="T123" s="10">
        <f>IFERROR(S123/Q123, 0)</f>
        <v/>
      </c>
    </row>
    <row r="124">
      <c r="A124" s="11" t="inlineStr">
        <is>
          <t>ORD-2024-1552</t>
        </is>
      </c>
      <c r="B124" s="11" t="inlineStr">
        <is>
          <t>2024-02-26</t>
        </is>
      </c>
      <c r="C124" s="11" t="inlineStr">
        <is>
          <t>TEC-ACC-005</t>
        </is>
      </c>
      <c r="D124" s="7" t="inlineStr">
        <is>
          <t>UltraWireless Noise-Canceling Headset</t>
        </is>
      </c>
      <c r="E124" s="7" t="inlineStr">
        <is>
          <t>Technology</t>
        </is>
      </c>
      <c r="F124" s="7" t="inlineStr">
        <is>
          <t>Audio &amp; Accessories</t>
        </is>
      </c>
      <c r="G124" s="7" t="inlineStr">
        <is>
          <t>South</t>
        </is>
      </c>
      <c r="H124" s="7" t="inlineStr">
        <is>
          <t>North Carolina</t>
        </is>
      </c>
      <c r="I124" s="7" t="inlineStr">
        <is>
          <t>Retail Partner</t>
        </is>
      </c>
      <c r="J124" s="7" t="inlineStr">
        <is>
          <t>Home Office</t>
        </is>
      </c>
      <c r="K124" s="12" t="n">
        <v>3</v>
      </c>
      <c r="L124" s="9" t="n">
        <v>179.99</v>
      </c>
      <c r="M124" s="10" t="n">
        <v>0</v>
      </c>
      <c r="N124" s="9" t="n">
        <v>111.59</v>
      </c>
      <c r="O124" s="9">
        <f>K124*L124</f>
        <v/>
      </c>
      <c r="P124" s="9">
        <f>O124*M124</f>
        <v/>
      </c>
      <c r="Q124" s="9">
        <f>O124-P124</f>
        <v/>
      </c>
      <c r="R124" s="9">
        <f>K124*N124</f>
        <v/>
      </c>
      <c r="S124" s="9">
        <f>Q124-R124</f>
        <v/>
      </c>
      <c r="T124" s="10">
        <f>IFERROR(S124/Q124, 0)</f>
        <v/>
      </c>
    </row>
    <row r="125">
      <c r="A125" s="11" t="inlineStr">
        <is>
          <t>ORD-2024-1552</t>
        </is>
      </c>
      <c r="B125" s="11" t="inlineStr">
        <is>
          <t>2024-02-26</t>
        </is>
      </c>
      <c r="C125" s="11" t="inlineStr">
        <is>
          <t>FUR-BOK-005</t>
        </is>
      </c>
      <c r="D125" s="7" t="inlineStr">
        <is>
          <t>Modular 5-Tier Steel Bookcase</t>
        </is>
      </c>
      <c r="E125" s="7" t="inlineStr">
        <is>
          <t>Furniture</t>
        </is>
      </c>
      <c r="F125" s="7" t="inlineStr">
        <is>
          <t>Bookcases</t>
        </is>
      </c>
      <c r="G125" s="7" t="inlineStr">
        <is>
          <t>South</t>
        </is>
      </c>
      <c r="H125" s="7" t="inlineStr">
        <is>
          <t>North Carolina</t>
        </is>
      </c>
      <c r="I125" s="7" t="inlineStr">
        <is>
          <t>Retail Partner</t>
        </is>
      </c>
      <c r="J125" s="7" t="inlineStr">
        <is>
          <t>Home Office</t>
        </is>
      </c>
      <c r="K125" s="12" t="n">
        <v>2</v>
      </c>
      <c r="L125" s="9" t="n">
        <v>189.99</v>
      </c>
      <c r="M125" s="10" t="n">
        <v>0</v>
      </c>
      <c r="N125" s="9" t="n">
        <v>142.49</v>
      </c>
      <c r="O125" s="9">
        <f>K125*L125</f>
        <v/>
      </c>
      <c r="P125" s="9">
        <f>O125*M125</f>
        <v/>
      </c>
      <c r="Q125" s="9">
        <f>O125-P125</f>
        <v/>
      </c>
      <c r="R125" s="9">
        <f>K125*N125</f>
        <v/>
      </c>
      <c r="S125" s="9">
        <f>Q125-R125</f>
        <v/>
      </c>
      <c r="T125" s="10">
        <f>IFERROR(S125/Q125, 0)</f>
        <v/>
      </c>
    </row>
    <row r="126">
      <c r="A126" s="11" t="inlineStr">
        <is>
          <t>ORD-2024-1560</t>
        </is>
      </c>
      <c r="B126" s="11" t="inlineStr">
        <is>
          <t>2024-02-26</t>
        </is>
      </c>
      <c r="C126" s="11" t="inlineStr">
        <is>
          <t>OFF-STR-002</t>
        </is>
      </c>
      <c r="D126" s="7" t="inlineStr">
        <is>
          <t>Stackable Heavy-Duty Storage Bins (4-Pk)</t>
        </is>
      </c>
      <c r="E126" s="7" t="inlineStr">
        <is>
          <t>Office Supplies</t>
        </is>
      </c>
      <c r="F126" s="7" t="inlineStr">
        <is>
          <t>Storage &amp; Organizers</t>
        </is>
      </c>
      <c r="G126" s="7" t="inlineStr">
        <is>
          <t>East</t>
        </is>
      </c>
      <c r="H126" s="7" t="inlineStr">
        <is>
          <t>Pennsylvania</t>
        </is>
      </c>
      <c r="I126" s="7" t="inlineStr">
        <is>
          <t>Direct Sales</t>
        </is>
      </c>
      <c r="J126" s="7" t="inlineStr">
        <is>
          <t>Corporate</t>
        </is>
      </c>
      <c r="K126" s="12" t="n">
        <v>3</v>
      </c>
      <c r="L126" s="9" t="n">
        <v>44.99</v>
      </c>
      <c r="M126" s="10" t="n">
        <v>0.05</v>
      </c>
      <c r="N126" s="9" t="n">
        <v>24.74</v>
      </c>
      <c r="O126" s="9">
        <f>K126*L126</f>
        <v/>
      </c>
      <c r="P126" s="9">
        <f>O126*M126</f>
        <v/>
      </c>
      <c r="Q126" s="9">
        <f>O126-P126</f>
        <v/>
      </c>
      <c r="R126" s="9">
        <f>K126*N126</f>
        <v/>
      </c>
      <c r="S126" s="9">
        <f>Q126-R126</f>
        <v/>
      </c>
      <c r="T126" s="10">
        <f>IFERROR(S126/Q126, 0)</f>
        <v/>
      </c>
    </row>
    <row r="127">
      <c r="A127" s="11" t="inlineStr">
        <is>
          <t>ORD-2024-1082</t>
        </is>
      </c>
      <c r="B127" s="11" t="inlineStr">
        <is>
          <t>2024-02-27</t>
        </is>
      </c>
      <c r="C127" s="11" t="inlineStr">
        <is>
          <t>OFF-BIN-005</t>
        </is>
      </c>
      <c r="D127" s="7" t="inlineStr">
        <is>
          <t>Heavy-Duty D-Ring Presentation Binder (6-Pk)</t>
        </is>
      </c>
      <c r="E127" s="7" t="inlineStr">
        <is>
          <t>Office Supplies</t>
        </is>
      </c>
      <c r="F127" s="7" t="inlineStr">
        <is>
          <t>Binders &amp; Fasteners</t>
        </is>
      </c>
      <c r="G127" s="7" t="inlineStr">
        <is>
          <t>South</t>
        </is>
      </c>
      <c r="H127" s="7" t="inlineStr">
        <is>
          <t>North Carolina</t>
        </is>
      </c>
      <c r="I127" s="7" t="inlineStr">
        <is>
          <t>Retail Partner</t>
        </is>
      </c>
      <c r="J127" s="7" t="inlineStr">
        <is>
          <t>Home Office</t>
        </is>
      </c>
      <c r="K127" s="12" t="n">
        <v>2</v>
      </c>
      <c r="L127" s="9" t="n">
        <v>27.99</v>
      </c>
      <c r="M127" s="10" t="n">
        <v>0.05</v>
      </c>
      <c r="N127" s="9" t="n">
        <v>13.99</v>
      </c>
      <c r="O127" s="9">
        <f>K127*L127</f>
        <v/>
      </c>
      <c r="P127" s="9">
        <f>O127*M127</f>
        <v/>
      </c>
      <c r="Q127" s="9">
        <f>O127-P127</f>
        <v/>
      </c>
      <c r="R127" s="9">
        <f>K127*N127</f>
        <v/>
      </c>
      <c r="S127" s="9">
        <f>Q127-R127</f>
        <v/>
      </c>
      <c r="T127" s="10">
        <f>IFERROR(S127/Q127, 0)</f>
        <v/>
      </c>
    </row>
    <row r="128">
      <c r="A128" s="11" t="inlineStr">
        <is>
          <t>ORD-2024-1082</t>
        </is>
      </c>
      <c r="B128" s="11" t="inlineStr">
        <is>
          <t>2024-02-27</t>
        </is>
      </c>
      <c r="C128" s="11" t="inlineStr">
        <is>
          <t>FUR-LGT-006</t>
        </is>
      </c>
      <c r="D128" s="7" t="inlineStr">
        <is>
          <t>Architect LED Desk Task Lamp</t>
        </is>
      </c>
      <c r="E128" s="7" t="inlineStr">
        <is>
          <t>Furniture</t>
        </is>
      </c>
      <c r="F128" s="7" t="inlineStr">
        <is>
          <t>Lighting</t>
        </is>
      </c>
      <c r="G128" s="7" t="inlineStr">
        <is>
          <t>South</t>
        </is>
      </c>
      <c r="H128" s="7" t="inlineStr">
        <is>
          <t>North Carolina</t>
        </is>
      </c>
      <c r="I128" s="7" t="inlineStr">
        <is>
          <t>Retail Partner</t>
        </is>
      </c>
      <c r="J128" s="7" t="inlineStr">
        <is>
          <t>Home Office</t>
        </is>
      </c>
      <c r="K128" s="12" t="n">
        <v>2</v>
      </c>
      <c r="L128" s="9" t="n">
        <v>69.98999999999999</v>
      </c>
      <c r="M128" s="10" t="n">
        <v>0.05</v>
      </c>
      <c r="N128" s="9" t="n">
        <v>43.39</v>
      </c>
      <c r="O128" s="9">
        <f>K128*L128</f>
        <v/>
      </c>
      <c r="P128" s="9">
        <f>O128*M128</f>
        <v/>
      </c>
      <c r="Q128" s="9">
        <f>O128-P128</f>
        <v/>
      </c>
      <c r="R128" s="9">
        <f>K128*N128</f>
        <v/>
      </c>
      <c r="S128" s="9">
        <f>Q128-R128</f>
        <v/>
      </c>
      <c r="T128" s="10">
        <f>IFERROR(S128/Q128, 0)</f>
        <v/>
      </c>
    </row>
    <row r="129">
      <c r="A129" s="11" t="inlineStr">
        <is>
          <t>ORD-2024-1082</t>
        </is>
      </c>
      <c r="B129" s="11" t="inlineStr">
        <is>
          <t>2024-02-27</t>
        </is>
      </c>
      <c r="C129" s="11" t="inlineStr">
        <is>
          <t>TEC-LAP-002</t>
        </is>
      </c>
      <c r="D129" s="7" t="inlineStr">
        <is>
          <t>Apex Gaming Laptop 17"</t>
        </is>
      </c>
      <c r="E129" s="7" t="inlineStr">
        <is>
          <t>Technology</t>
        </is>
      </c>
      <c r="F129" s="7" t="inlineStr">
        <is>
          <t>Laptops</t>
        </is>
      </c>
      <c r="G129" s="7" t="inlineStr">
        <is>
          <t>South</t>
        </is>
      </c>
      <c r="H129" s="7" t="inlineStr">
        <is>
          <t>North Carolina</t>
        </is>
      </c>
      <c r="I129" s="7" t="inlineStr">
        <is>
          <t>Retail Partner</t>
        </is>
      </c>
      <c r="J129" s="7" t="inlineStr">
        <is>
          <t>Home Office</t>
        </is>
      </c>
      <c r="K129" s="12" t="n">
        <v>3</v>
      </c>
      <c r="L129" s="9" t="n">
        <v>1499.99</v>
      </c>
      <c r="M129" s="10" t="n">
        <v>0.25</v>
      </c>
      <c r="N129" s="9" t="n">
        <v>1259.99</v>
      </c>
      <c r="O129" s="9">
        <f>K129*L129</f>
        <v/>
      </c>
      <c r="P129" s="9">
        <f>O129*M129</f>
        <v/>
      </c>
      <c r="Q129" s="9">
        <f>O129-P129</f>
        <v/>
      </c>
      <c r="R129" s="9">
        <f>K129*N129</f>
        <v/>
      </c>
      <c r="S129" s="9">
        <f>Q129-R129</f>
        <v/>
      </c>
      <c r="T129" s="10">
        <f>IFERROR(S129/Q129, 0)</f>
        <v/>
      </c>
    </row>
    <row r="130">
      <c r="A130" s="11" t="inlineStr">
        <is>
          <t>ORD-2024-1082</t>
        </is>
      </c>
      <c r="B130" s="11" t="inlineStr">
        <is>
          <t>2024-02-27</t>
        </is>
      </c>
      <c r="C130" s="11" t="inlineStr">
        <is>
          <t>FUR-DSK-004</t>
        </is>
      </c>
      <c r="D130" s="7" t="inlineStr">
        <is>
          <t>Metro Compact Corner Workstation</t>
        </is>
      </c>
      <c r="E130" s="7" t="inlineStr">
        <is>
          <t>Furniture</t>
        </is>
      </c>
      <c r="F130" s="7" t="inlineStr">
        <is>
          <t>Desks &amp; Workstations</t>
        </is>
      </c>
      <c r="G130" s="7" t="inlineStr">
        <is>
          <t>South</t>
        </is>
      </c>
      <c r="H130" s="7" t="inlineStr">
        <is>
          <t>North Carolina</t>
        </is>
      </c>
      <c r="I130" s="7" t="inlineStr">
        <is>
          <t>Retail Partner</t>
        </is>
      </c>
      <c r="J130" s="7" t="inlineStr">
        <is>
          <t>Home Office</t>
        </is>
      </c>
      <c r="K130" s="12" t="n">
        <v>1</v>
      </c>
      <c r="L130" s="9" t="n">
        <v>329.99</v>
      </c>
      <c r="M130" s="10" t="n">
        <v>0.1</v>
      </c>
      <c r="N130" s="9" t="n">
        <v>250.79</v>
      </c>
      <c r="O130" s="9">
        <f>K130*L130</f>
        <v/>
      </c>
      <c r="P130" s="9">
        <f>O130*M130</f>
        <v/>
      </c>
      <c r="Q130" s="9">
        <f>O130-P130</f>
        <v/>
      </c>
      <c r="R130" s="9">
        <f>K130*N130</f>
        <v/>
      </c>
      <c r="S130" s="9">
        <f>Q130-R130</f>
        <v/>
      </c>
      <c r="T130" s="10">
        <f>IFERROR(S130/Q130, 0)</f>
        <v/>
      </c>
    </row>
    <row r="131">
      <c r="A131" s="11" t="inlineStr">
        <is>
          <t>ORD-2024-1677</t>
        </is>
      </c>
      <c r="B131" s="11" t="inlineStr">
        <is>
          <t>2024-02-27</t>
        </is>
      </c>
      <c r="C131" s="11" t="inlineStr">
        <is>
          <t>OFF-PAP-004</t>
        </is>
      </c>
      <c r="D131" s="7" t="inlineStr">
        <is>
          <t>EcoRecycled Copy Paper (5 Reams)</t>
        </is>
      </c>
      <c r="E131" s="7" t="inlineStr">
        <is>
          <t>Office Supplies</t>
        </is>
      </c>
      <c r="F131" s="7" t="inlineStr">
        <is>
          <t>Paper Products</t>
        </is>
      </c>
      <c r="G131" s="7" t="inlineStr">
        <is>
          <t>East</t>
        </is>
      </c>
      <c r="H131" s="7" t="inlineStr">
        <is>
          <t>Massachusetts</t>
        </is>
      </c>
      <c r="I131" s="7" t="inlineStr">
        <is>
          <t>Direct Sales</t>
        </is>
      </c>
      <c r="J131" s="7" t="inlineStr">
        <is>
          <t>Home Office</t>
        </is>
      </c>
      <c r="K131" s="12" t="n">
        <v>1</v>
      </c>
      <c r="L131" s="9" t="n">
        <v>32.99</v>
      </c>
      <c r="M131" s="10" t="n">
        <v>0</v>
      </c>
      <c r="N131" s="9" t="n">
        <v>19.79</v>
      </c>
      <c r="O131" s="9">
        <f>K131*L131</f>
        <v/>
      </c>
      <c r="P131" s="9">
        <f>O131*M131</f>
        <v/>
      </c>
      <c r="Q131" s="9">
        <f>O131-P131</f>
        <v/>
      </c>
      <c r="R131" s="9">
        <f>K131*N131</f>
        <v/>
      </c>
      <c r="S131" s="9">
        <f>Q131-R131</f>
        <v/>
      </c>
      <c r="T131" s="10">
        <f>IFERROR(S131/Q131, 0)</f>
        <v/>
      </c>
    </row>
    <row r="132">
      <c r="A132" s="11" t="inlineStr">
        <is>
          <t>ORD-2024-1677</t>
        </is>
      </c>
      <c r="B132" s="11" t="inlineStr">
        <is>
          <t>2024-02-27</t>
        </is>
      </c>
      <c r="C132" s="11" t="inlineStr">
        <is>
          <t>OFF-STR-001</t>
        </is>
      </c>
      <c r="D132" s="7" t="inlineStr">
        <is>
          <t>SteelLock 3-Drawer File Cabinet</t>
        </is>
      </c>
      <c r="E132" s="7" t="inlineStr">
        <is>
          <t>Office Supplies</t>
        </is>
      </c>
      <c r="F132" s="7" t="inlineStr">
        <is>
          <t>Storage &amp; Organizers</t>
        </is>
      </c>
      <c r="G132" s="7" t="inlineStr">
        <is>
          <t>East</t>
        </is>
      </c>
      <c r="H132" s="7" t="inlineStr">
        <is>
          <t>Massachusetts</t>
        </is>
      </c>
      <c r="I132" s="7" t="inlineStr">
        <is>
          <t>Direct Sales</t>
        </is>
      </c>
      <c r="J132" s="7" t="inlineStr">
        <is>
          <t>Home Office</t>
        </is>
      </c>
      <c r="K132" s="12" t="n">
        <v>2</v>
      </c>
      <c r="L132" s="9" t="n">
        <v>169.99</v>
      </c>
      <c r="M132" s="10" t="n">
        <v>0.1</v>
      </c>
      <c r="N132" s="9" t="n">
        <v>115.59</v>
      </c>
      <c r="O132" s="9">
        <f>K132*L132</f>
        <v/>
      </c>
      <c r="P132" s="9">
        <f>O132*M132</f>
        <v/>
      </c>
      <c r="Q132" s="9">
        <f>O132-P132</f>
        <v/>
      </c>
      <c r="R132" s="9">
        <f>K132*N132</f>
        <v/>
      </c>
      <c r="S132" s="9">
        <f>Q132-R132</f>
        <v/>
      </c>
      <c r="T132" s="10">
        <f>IFERROR(S132/Q132, 0)</f>
        <v/>
      </c>
    </row>
    <row r="133">
      <c r="A133" s="11" t="inlineStr">
        <is>
          <t>ORD-2024-1320</t>
        </is>
      </c>
      <c r="B133" s="11" t="inlineStr">
        <is>
          <t>2024-03-02</t>
        </is>
      </c>
      <c r="C133" s="11" t="inlineStr">
        <is>
          <t>FUR-BOK-005</t>
        </is>
      </c>
      <c r="D133" s="7" t="inlineStr">
        <is>
          <t>Modular 5-Tier Steel Bookcase</t>
        </is>
      </c>
      <c r="E133" s="7" t="inlineStr">
        <is>
          <t>Furniture</t>
        </is>
      </c>
      <c r="F133" s="7" t="inlineStr">
        <is>
          <t>Bookcases</t>
        </is>
      </c>
      <c r="G133" s="7" t="inlineStr">
        <is>
          <t>South</t>
        </is>
      </c>
      <c r="H133" s="7" t="inlineStr">
        <is>
          <t>Georgia</t>
        </is>
      </c>
      <c r="I133" s="7" t="inlineStr">
        <is>
          <t>Retail Partner</t>
        </is>
      </c>
      <c r="J133" s="7" t="inlineStr">
        <is>
          <t>Consumer</t>
        </is>
      </c>
      <c r="K133" s="12" t="n">
        <v>1</v>
      </c>
      <c r="L133" s="9" t="n">
        <v>189.99</v>
      </c>
      <c r="M133" s="10" t="n">
        <v>0</v>
      </c>
      <c r="N133" s="9" t="n">
        <v>142.49</v>
      </c>
      <c r="O133" s="9">
        <f>K133*L133</f>
        <v/>
      </c>
      <c r="P133" s="9">
        <f>O133*M133</f>
        <v/>
      </c>
      <c r="Q133" s="9">
        <f>O133-P133</f>
        <v/>
      </c>
      <c r="R133" s="9">
        <f>K133*N133</f>
        <v/>
      </c>
      <c r="S133" s="9">
        <f>Q133-R133</f>
        <v/>
      </c>
      <c r="T133" s="10">
        <f>IFERROR(S133/Q133, 0)</f>
        <v/>
      </c>
    </row>
    <row r="134">
      <c r="A134" s="11" t="inlineStr">
        <is>
          <t>ORD-2024-1544</t>
        </is>
      </c>
      <c r="B134" s="11" t="inlineStr">
        <is>
          <t>2024-03-02</t>
        </is>
      </c>
      <c r="C134" s="11" t="inlineStr">
        <is>
          <t>OFF-STR-001</t>
        </is>
      </c>
      <c r="D134" s="7" t="inlineStr">
        <is>
          <t>SteelLock 3-Drawer File Cabinet</t>
        </is>
      </c>
      <c r="E134" s="7" t="inlineStr">
        <is>
          <t>Office Supplies</t>
        </is>
      </c>
      <c r="F134" s="7" t="inlineStr">
        <is>
          <t>Storage &amp; Organizers</t>
        </is>
      </c>
      <c r="G134" s="7" t="inlineStr">
        <is>
          <t>Central</t>
        </is>
      </c>
      <c r="H134" s="7" t="inlineStr">
        <is>
          <t>Michigan</t>
        </is>
      </c>
      <c r="I134" s="7" t="inlineStr">
        <is>
          <t>Direct Sales</t>
        </is>
      </c>
      <c r="J134" s="7" t="inlineStr">
        <is>
          <t>Consumer</t>
        </is>
      </c>
      <c r="K134" s="12" t="n">
        <v>2</v>
      </c>
      <c r="L134" s="9" t="n">
        <v>169.99</v>
      </c>
      <c r="M134" s="10" t="n">
        <v>0</v>
      </c>
      <c r="N134" s="9" t="n">
        <v>115.59</v>
      </c>
      <c r="O134" s="9">
        <f>K134*L134</f>
        <v/>
      </c>
      <c r="P134" s="9">
        <f>O134*M134</f>
        <v/>
      </c>
      <c r="Q134" s="9">
        <f>O134-P134</f>
        <v/>
      </c>
      <c r="R134" s="9">
        <f>K134*N134</f>
        <v/>
      </c>
      <c r="S134" s="9">
        <f>Q134-R134</f>
        <v/>
      </c>
      <c r="T134" s="10">
        <f>IFERROR(S134/Q134, 0)</f>
        <v/>
      </c>
    </row>
    <row r="135">
      <c r="A135" s="11" t="inlineStr">
        <is>
          <t>ORD-2024-1196</t>
        </is>
      </c>
      <c r="B135" s="11" t="inlineStr">
        <is>
          <t>2024-03-03</t>
        </is>
      </c>
      <c r="C135" s="11" t="inlineStr">
        <is>
          <t>OFF-DSK-008</t>
        </is>
      </c>
      <c r="D135" s="7" t="inlineStr">
        <is>
          <t>Steel Desktop Mesh Organizer Caddy</t>
        </is>
      </c>
      <c r="E135" s="7" t="inlineStr">
        <is>
          <t>Office Supplies</t>
        </is>
      </c>
      <c r="F135" s="7" t="inlineStr">
        <is>
          <t>Desk Supplies</t>
        </is>
      </c>
      <c r="G135" s="7" t="inlineStr">
        <is>
          <t>Central</t>
        </is>
      </c>
      <c r="H135" s="7" t="inlineStr">
        <is>
          <t>Texas</t>
        </is>
      </c>
      <c r="I135" s="7" t="inlineStr">
        <is>
          <t>Direct Sales</t>
        </is>
      </c>
      <c r="J135" s="7" t="inlineStr">
        <is>
          <t>Consumer</t>
        </is>
      </c>
      <c r="K135" s="12" t="n">
        <v>1</v>
      </c>
      <c r="L135" s="9" t="n">
        <v>18.99</v>
      </c>
      <c r="M135" s="10" t="n">
        <v>0</v>
      </c>
      <c r="N135" s="9" t="n">
        <v>8.550000000000001</v>
      </c>
      <c r="O135" s="9">
        <f>K135*L135</f>
        <v/>
      </c>
      <c r="P135" s="9">
        <f>O135*M135</f>
        <v/>
      </c>
      <c r="Q135" s="9">
        <f>O135-P135</f>
        <v/>
      </c>
      <c r="R135" s="9">
        <f>K135*N135</f>
        <v/>
      </c>
      <c r="S135" s="9">
        <f>Q135-R135</f>
        <v/>
      </c>
      <c r="T135" s="10">
        <f>IFERROR(S135/Q135, 0)</f>
        <v/>
      </c>
    </row>
    <row r="136">
      <c r="A136" s="11" t="inlineStr">
        <is>
          <t>ORD-2024-1214</t>
        </is>
      </c>
      <c r="B136" s="11" t="inlineStr">
        <is>
          <t>2024-03-03</t>
        </is>
      </c>
      <c r="C136" s="11" t="inlineStr">
        <is>
          <t>TEC-TAB-004</t>
        </is>
      </c>
      <c r="D136" s="7" t="inlineStr">
        <is>
          <t>VisionPad Lite 8.5"</t>
        </is>
      </c>
      <c r="E136" s="7" t="inlineStr">
        <is>
          <t>Technology</t>
        </is>
      </c>
      <c r="F136" s="7" t="inlineStr">
        <is>
          <t>Phones &amp; Tablets</t>
        </is>
      </c>
      <c r="G136" s="7" t="inlineStr">
        <is>
          <t>Central</t>
        </is>
      </c>
      <c r="H136" s="7" t="inlineStr">
        <is>
          <t>Texas</t>
        </is>
      </c>
      <c r="I136" s="7" t="inlineStr">
        <is>
          <t>Wholesale</t>
        </is>
      </c>
      <c r="J136" s="7" t="inlineStr">
        <is>
          <t>Consumer</t>
        </is>
      </c>
      <c r="K136" s="12" t="n">
        <v>12</v>
      </c>
      <c r="L136" s="9" t="n">
        <v>299.99</v>
      </c>
      <c r="M136" s="10" t="n">
        <v>0.2</v>
      </c>
      <c r="N136" s="9" t="n">
        <v>245.99</v>
      </c>
      <c r="O136" s="9">
        <f>K136*L136</f>
        <v/>
      </c>
      <c r="P136" s="9">
        <f>O136*M136</f>
        <v/>
      </c>
      <c r="Q136" s="9">
        <f>O136-P136</f>
        <v/>
      </c>
      <c r="R136" s="9">
        <f>K136*N136</f>
        <v/>
      </c>
      <c r="S136" s="9">
        <f>Q136-R136</f>
        <v/>
      </c>
      <c r="T136" s="10">
        <f>IFERROR(S136/Q136, 0)</f>
        <v/>
      </c>
    </row>
    <row r="137">
      <c r="A137" s="11" t="inlineStr">
        <is>
          <t>ORD-2024-1701</t>
        </is>
      </c>
      <c r="B137" s="11" t="inlineStr">
        <is>
          <t>2024-03-03</t>
        </is>
      </c>
      <c r="C137" s="11" t="inlineStr">
        <is>
          <t>FUR-CHA-001</t>
        </is>
      </c>
      <c r="D137" s="7" t="inlineStr">
        <is>
          <t>ErgoFlex Executive Mesh Chair</t>
        </is>
      </c>
      <c r="E137" s="7" t="inlineStr">
        <is>
          <t>Furniture</t>
        </is>
      </c>
      <c r="F137" s="7" t="inlineStr">
        <is>
          <t>Chairs</t>
        </is>
      </c>
      <c r="G137" s="7" t="inlineStr">
        <is>
          <t>East</t>
        </is>
      </c>
      <c r="H137" s="7" t="inlineStr">
        <is>
          <t>Massachusetts</t>
        </is>
      </c>
      <c r="I137" s="7" t="inlineStr">
        <is>
          <t>Direct Sales</t>
        </is>
      </c>
      <c r="J137" s="7" t="inlineStr">
        <is>
          <t>Consumer</t>
        </is>
      </c>
      <c r="K137" s="12" t="n">
        <v>1</v>
      </c>
      <c r="L137" s="9" t="n">
        <v>389.99</v>
      </c>
      <c r="M137" s="10" t="n">
        <v>0.2</v>
      </c>
      <c r="N137" s="9" t="n">
        <v>331.49</v>
      </c>
      <c r="O137" s="9">
        <f>K137*L137</f>
        <v/>
      </c>
      <c r="P137" s="9">
        <f>O137*M137</f>
        <v/>
      </c>
      <c r="Q137" s="9">
        <f>O137-P137</f>
        <v/>
      </c>
      <c r="R137" s="9">
        <f>K137*N137</f>
        <v/>
      </c>
      <c r="S137" s="9">
        <f>Q137-R137</f>
        <v/>
      </c>
      <c r="T137" s="10">
        <f>IFERROR(S137/Q137, 0)</f>
        <v/>
      </c>
    </row>
    <row r="138">
      <c r="A138" s="11" t="inlineStr">
        <is>
          <t>ORD-2024-1319</t>
        </is>
      </c>
      <c r="B138" s="11" t="inlineStr">
        <is>
          <t>2024-03-04</t>
        </is>
      </c>
      <c r="C138" s="11" t="inlineStr">
        <is>
          <t>OFF-DSK-008</t>
        </is>
      </c>
      <c r="D138" s="7" t="inlineStr">
        <is>
          <t>Steel Desktop Mesh Organizer Caddy</t>
        </is>
      </c>
      <c r="E138" s="7" t="inlineStr">
        <is>
          <t>Office Supplies</t>
        </is>
      </c>
      <c r="F138" s="7" t="inlineStr">
        <is>
          <t>Desk Supplies</t>
        </is>
      </c>
      <c r="G138" s="7" t="inlineStr">
        <is>
          <t>West</t>
        </is>
      </c>
      <c r="H138" s="7" t="inlineStr">
        <is>
          <t>Oregon</t>
        </is>
      </c>
      <c r="I138" s="7" t="inlineStr">
        <is>
          <t>Online</t>
        </is>
      </c>
      <c r="J138" s="7" t="inlineStr">
        <is>
          <t>Consumer</t>
        </is>
      </c>
      <c r="K138" s="12" t="n">
        <v>4</v>
      </c>
      <c r="L138" s="9" t="n">
        <v>18.99</v>
      </c>
      <c r="M138" s="10" t="n">
        <v>0.05</v>
      </c>
      <c r="N138" s="9" t="n">
        <v>8.550000000000001</v>
      </c>
      <c r="O138" s="9">
        <f>K138*L138</f>
        <v/>
      </c>
      <c r="P138" s="9">
        <f>O138*M138</f>
        <v/>
      </c>
      <c r="Q138" s="9">
        <f>O138-P138</f>
        <v/>
      </c>
      <c r="R138" s="9">
        <f>K138*N138</f>
        <v/>
      </c>
      <c r="S138" s="9">
        <f>Q138-R138</f>
        <v/>
      </c>
      <c r="T138" s="10">
        <f>IFERROR(S138/Q138, 0)</f>
        <v/>
      </c>
    </row>
    <row r="139">
      <c r="A139" s="11" t="inlineStr">
        <is>
          <t>ORD-2024-1319</t>
        </is>
      </c>
      <c r="B139" s="11" t="inlineStr">
        <is>
          <t>2024-03-04</t>
        </is>
      </c>
      <c r="C139" s="11" t="inlineStr">
        <is>
          <t>OFF-PAP-003</t>
        </is>
      </c>
      <c r="D139" s="7" t="inlineStr">
        <is>
          <t>UltraWhite Premium Multipurpose Paper (Case)</t>
        </is>
      </c>
      <c r="E139" s="7" t="inlineStr">
        <is>
          <t>Office Supplies</t>
        </is>
      </c>
      <c r="F139" s="7" t="inlineStr">
        <is>
          <t>Paper Products</t>
        </is>
      </c>
      <c r="G139" s="7" t="inlineStr">
        <is>
          <t>West</t>
        </is>
      </c>
      <c r="H139" s="7" t="inlineStr">
        <is>
          <t>Oregon</t>
        </is>
      </c>
      <c r="I139" s="7" t="inlineStr">
        <is>
          <t>Online</t>
        </is>
      </c>
      <c r="J139" s="7" t="inlineStr">
        <is>
          <t>Consumer</t>
        </is>
      </c>
      <c r="K139" s="12" t="n">
        <v>3</v>
      </c>
      <c r="L139" s="9" t="n">
        <v>54.99</v>
      </c>
      <c r="M139" s="10" t="n">
        <v>0</v>
      </c>
      <c r="N139" s="9" t="n">
        <v>31.89</v>
      </c>
      <c r="O139" s="9">
        <f>K139*L139</f>
        <v/>
      </c>
      <c r="P139" s="9">
        <f>O139*M139</f>
        <v/>
      </c>
      <c r="Q139" s="9">
        <f>O139-P139</f>
        <v/>
      </c>
      <c r="R139" s="9">
        <f>K139*N139</f>
        <v/>
      </c>
      <c r="S139" s="9">
        <f>Q139-R139</f>
        <v/>
      </c>
      <c r="T139" s="10">
        <f>IFERROR(S139/Q139, 0)</f>
        <v/>
      </c>
    </row>
    <row r="140">
      <c r="A140" s="11" t="inlineStr">
        <is>
          <t>ORD-2024-1386</t>
        </is>
      </c>
      <c r="B140" s="11" t="inlineStr">
        <is>
          <t>2024-03-04</t>
        </is>
      </c>
      <c r="C140" s="11" t="inlineStr">
        <is>
          <t>TEC-ACC-008</t>
        </is>
      </c>
      <c r="D140" s="7" t="inlineStr">
        <is>
          <t>Precision Laser Bluetooth Mouse</t>
        </is>
      </c>
      <c r="E140" s="7" t="inlineStr">
        <is>
          <t>Technology</t>
        </is>
      </c>
      <c r="F140" s="7" t="inlineStr">
        <is>
          <t>Audio &amp; Accessories</t>
        </is>
      </c>
      <c r="G140" s="7" t="inlineStr">
        <is>
          <t>East</t>
        </is>
      </c>
      <c r="H140" s="7" t="inlineStr">
        <is>
          <t>New York</t>
        </is>
      </c>
      <c r="I140" s="7" t="inlineStr">
        <is>
          <t>Direct Sales</t>
        </is>
      </c>
      <c r="J140" s="7" t="inlineStr">
        <is>
          <t>Corporate</t>
        </is>
      </c>
      <c r="K140" s="12" t="n">
        <v>5</v>
      </c>
      <c r="L140" s="9" t="n">
        <v>49.99</v>
      </c>
      <c r="M140" s="10" t="n">
        <v>0.15</v>
      </c>
      <c r="N140" s="9" t="n">
        <v>27.49</v>
      </c>
      <c r="O140" s="9">
        <f>K140*L140</f>
        <v/>
      </c>
      <c r="P140" s="9">
        <f>O140*M140</f>
        <v/>
      </c>
      <c r="Q140" s="9">
        <f>O140-P140</f>
        <v/>
      </c>
      <c r="R140" s="9">
        <f>K140*N140</f>
        <v/>
      </c>
      <c r="S140" s="9">
        <f>Q140-R140</f>
        <v/>
      </c>
      <c r="T140" s="10">
        <f>IFERROR(S140/Q140, 0)</f>
        <v/>
      </c>
    </row>
    <row r="141">
      <c r="A141" s="11" t="inlineStr">
        <is>
          <t>ORD-2024-1118</t>
        </is>
      </c>
      <c r="B141" s="11" t="inlineStr">
        <is>
          <t>2024-03-05</t>
        </is>
      </c>
      <c r="C141" s="11" t="inlineStr">
        <is>
          <t>OFF-DSK-008</t>
        </is>
      </c>
      <c r="D141" s="7" t="inlineStr">
        <is>
          <t>Steel Desktop Mesh Organizer Caddy</t>
        </is>
      </c>
      <c r="E141" s="7" t="inlineStr">
        <is>
          <t>Office Supplies</t>
        </is>
      </c>
      <c r="F141" s="7" t="inlineStr">
        <is>
          <t>Desk Supplies</t>
        </is>
      </c>
      <c r="G141" s="7" t="inlineStr">
        <is>
          <t>Central</t>
        </is>
      </c>
      <c r="H141" s="7" t="inlineStr">
        <is>
          <t>Michigan</t>
        </is>
      </c>
      <c r="I141" s="7" t="inlineStr">
        <is>
          <t>Direct Sales</t>
        </is>
      </c>
      <c r="J141" s="7" t="inlineStr">
        <is>
          <t>Corporate</t>
        </is>
      </c>
      <c r="K141" s="12" t="n">
        <v>6</v>
      </c>
      <c r="L141" s="9" t="n">
        <v>18.99</v>
      </c>
      <c r="M141" s="10" t="n">
        <v>0.05</v>
      </c>
      <c r="N141" s="9" t="n">
        <v>8.550000000000001</v>
      </c>
      <c r="O141" s="9">
        <f>K141*L141</f>
        <v/>
      </c>
      <c r="P141" s="9">
        <f>O141*M141</f>
        <v/>
      </c>
      <c r="Q141" s="9">
        <f>O141-P141</f>
        <v/>
      </c>
      <c r="R141" s="9">
        <f>K141*N141</f>
        <v/>
      </c>
      <c r="S141" s="9">
        <f>Q141-R141</f>
        <v/>
      </c>
      <c r="T141" s="10">
        <f>IFERROR(S141/Q141, 0)</f>
        <v/>
      </c>
    </row>
    <row r="142">
      <c r="A142" s="11" t="inlineStr">
        <is>
          <t>ORD-2024-1118</t>
        </is>
      </c>
      <c r="B142" s="11" t="inlineStr">
        <is>
          <t>2024-03-05</t>
        </is>
      </c>
      <c r="C142" s="11" t="inlineStr">
        <is>
          <t>OFF-PAP-004</t>
        </is>
      </c>
      <c r="D142" s="7" t="inlineStr">
        <is>
          <t>EcoRecycled Copy Paper (5 Reams)</t>
        </is>
      </c>
      <c r="E142" s="7" t="inlineStr">
        <is>
          <t>Office Supplies</t>
        </is>
      </c>
      <c r="F142" s="7" t="inlineStr">
        <is>
          <t>Paper Products</t>
        </is>
      </c>
      <c r="G142" s="7" t="inlineStr">
        <is>
          <t>Central</t>
        </is>
      </c>
      <c r="H142" s="7" t="inlineStr">
        <is>
          <t>Michigan</t>
        </is>
      </c>
      <c r="I142" s="7" t="inlineStr">
        <is>
          <t>Direct Sales</t>
        </is>
      </c>
      <c r="J142" s="7" t="inlineStr">
        <is>
          <t>Corporate</t>
        </is>
      </c>
      <c r="K142" s="12" t="n">
        <v>6</v>
      </c>
      <c r="L142" s="9" t="n">
        <v>32.99</v>
      </c>
      <c r="M142" s="10" t="n">
        <v>0</v>
      </c>
      <c r="N142" s="9" t="n">
        <v>19.79</v>
      </c>
      <c r="O142" s="9">
        <f>K142*L142</f>
        <v/>
      </c>
      <c r="P142" s="9">
        <f>O142*M142</f>
        <v/>
      </c>
      <c r="Q142" s="9">
        <f>O142-P142</f>
        <v/>
      </c>
      <c r="R142" s="9">
        <f>K142*N142</f>
        <v/>
      </c>
      <c r="S142" s="9">
        <f>Q142-R142</f>
        <v/>
      </c>
      <c r="T142" s="10">
        <f>IFERROR(S142/Q142, 0)</f>
        <v/>
      </c>
    </row>
    <row r="143">
      <c r="A143" s="11" t="inlineStr">
        <is>
          <t>ORD-2024-1430</t>
        </is>
      </c>
      <c r="B143" s="11" t="inlineStr">
        <is>
          <t>2024-03-05</t>
        </is>
      </c>
      <c r="C143" s="11" t="inlineStr">
        <is>
          <t>OFF-DSK-007</t>
        </is>
      </c>
      <c r="D143" s="7" t="inlineStr">
        <is>
          <t>Gel Ergo Mouse Pad &amp; Wrist Rest Combo</t>
        </is>
      </c>
      <c r="E143" s="7" t="inlineStr">
        <is>
          <t>Office Supplies</t>
        </is>
      </c>
      <c r="F143" s="7" t="inlineStr">
        <is>
          <t>Desk Supplies</t>
        </is>
      </c>
      <c r="G143" s="7" t="inlineStr">
        <is>
          <t>East</t>
        </is>
      </c>
      <c r="H143" s="7" t="inlineStr">
        <is>
          <t>Massachusetts</t>
        </is>
      </c>
      <c r="I143" s="7" t="inlineStr">
        <is>
          <t>Retail Partner</t>
        </is>
      </c>
      <c r="J143" s="7" t="inlineStr">
        <is>
          <t>Corporate</t>
        </is>
      </c>
      <c r="K143" s="12" t="n">
        <v>2</v>
      </c>
      <c r="L143" s="9" t="n">
        <v>21.99</v>
      </c>
      <c r="M143" s="10" t="n">
        <v>0.1</v>
      </c>
      <c r="N143" s="9" t="n">
        <v>10.56</v>
      </c>
      <c r="O143" s="9">
        <f>K143*L143</f>
        <v/>
      </c>
      <c r="P143" s="9">
        <f>O143*M143</f>
        <v/>
      </c>
      <c r="Q143" s="9">
        <f>O143-P143</f>
        <v/>
      </c>
      <c r="R143" s="9">
        <f>K143*N143</f>
        <v/>
      </c>
      <c r="S143" s="9">
        <f>Q143-R143</f>
        <v/>
      </c>
      <c r="T143" s="10">
        <f>IFERROR(S143/Q143, 0)</f>
        <v/>
      </c>
    </row>
    <row r="144">
      <c r="A144" s="11" t="inlineStr">
        <is>
          <t>ORD-2024-1305</t>
        </is>
      </c>
      <c r="B144" s="11" t="inlineStr">
        <is>
          <t>2024-03-07</t>
        </is>
      </c>
      <c r="C144" s="11" t="inlineStr">
        <is>
          <t>OFF-DSK-008</t>
        </is>
      </c>
      <c r="D144" s="7" t="inlineStr">
        <is>
          <t>Steel Desktop Mesh Organizer Caddy</t>
        </is>
      </c>
      <c r="E144" s="7" t="inlineStr">
        <is>
          <t>Office Supplies</t>
        </is>
      </c>
      <c r="F144" s="7" t="inlineStr">
        <is>
          <t>Desk Supplies</t>
        </is>
      </c>
      <c r="G144" s="7" t="inlineStr">
        <is>
          <t>West</t>
        </is>
      </c>
      <c r="H144" s="7" t="inlineStr">
        <is>
          <t>Washington</t>
        </is>
      </c>
      <c r="I144" s="7" t="inlineStr">
        <is>
          <t>Direct Sales</t>
        </is>
      </c>
      <c r="J144" s="7" t="inlineStr">
        <is>
          <t>Consumer</t>
        </is>
      </c>
      <c r="K144" s="12" t="n">
        <v>4</v>
      </c>
      <c r="L144" s="9" t="n">
        <v>18.99</v>
      </c>
      <c r="M144" s="10" t="n">
        <v>0.05</v>
      </c>
      <c r="N144" s="9" t="n">
        <v>8.550000000000001</v>
      </c>
      <c r="O144" s="9">
        <f>K144*L144</f>
        <v/>
      </c>
      <c r="P144" s="9">
        <f>O144*M144</f>
        <v/>
      </c>
      <c r="Q144" s="9">
        <f>O144-P144</f>
        <v/>
      </c>
      <c r="R144" s="9">
        <f>K144*N144</f>
        <v/>
      </c>
      <c r="S144" s="9">
        <f>Q144-R144</f>
        <v/>
      </c>
      <c r="T144" s="10">
        <f>IFERROR(S144/Q144, 0)</f>
        <v/>
      </c>
    </row>
    <row r="145">
      <c r="A145" s="11" t="inlineStr">
        <is>
          <t>ORD-2024-1477</t>
        </is>
      </c>
      <c r="B145" s="11" t="inlineStr">
        <is>
          <t>2024-03-07</t>
        </is>
      </c>
      <c r="C145" s="11" t="inlineStr">
        <is>
          <t>OFF-PAP-003</t>
        </is>
      </c>
      <c r="D145" s="7" t="inlineStr">
        <is>
          <t>UltraWhite Premium Multipurpose Paper (Case)</t>
        </is>
      </c>
      <c r="E145" s="7" t="inlineStr">
        <is>
          <t>Office Supplies</t>
        </is>
      </c>
      <c r="F145" s="7" t="inlineStr">
        <is>
          <t>Paper Products</t>
        </is>
      </c>
      <c r="G145" s="7" t="inlineStr">
        <is>
          <t>East</t>
        </is>
      </c>
      <c r="H145" s="7" t="inlineStr">
        <is>
          <t>New Jersey</t>
        </is>
      </c>
      <c r="I145" s="7" t="inlineStr">
        <is>
          <t>Retail Partner</t>
        </is>
      </c>
      <c r="J145" s="7" t="inlineStr">
        <is>
          <t>Corporate</t>
        </is>
      </c>
      <c r="K145" s="12" t="n">
        <v>8</v>
      </c>
      <c r="L145" s="9" t="n">
        <v>54.99</v>
      </c>
      <c r="M145" s="10" t="n">
        <v>0</v>
      </c>
      <c r="N145" s="9" t="n">
        <v>31.89</v>
      </c>
      <c r="O145" s="9">
        <f>K145*L145</f>
        <v/>
      </c>
      <c r="P145" s="9">
        <f>O145*M145</f>
        <v/>
      </c>
      <c r="Q145" s="9">
        <f>O145-P145</f>
        <v/>
      </c>
      <c r="R145" s="9">
        <f>K145*N145</f>
        <v/>
      </c>
      <c r="S145" s="9">
        <f>Q145-R145</f>
        <v/>
      </c>
      <c r="T145" s="10">
        <f>IFERROR(S145/Q145, 0)</f>
        <v/>
      </c>
    </row>
    <row r="146">
      <c r="A146" s="11" t="inlineStr">
        <is>
          <t>ORD-2024-1658</t>
        </is>
      </c>
      <c r="B146" s="11" t="inlineStr">
        <is>
          <t>2024-03-07</t>
        </is>
      </c>
      <c r="C146" s="11" t="inlineStr">
        <is>
          <t>TEC-TAB-004</t>
        </is>
      </c>
      <c r="D146" s="7" t="inlineStr">
        <is>
          <t>VisionPad Lite 8.5"</t>
        </is>
      </c>
      <c r="E146" s="7" t="inlineStr">
        <is>
          <t>Technology</t>
        </is>
      </c>
      <c r="F146" s="7" t="inlineStr">
        <is>
          <t>Phones &amp; Tablets</t>
        </is>
      </c>
      <c r="G146" s="7" t="inlineStr">
        <is>
          <t>Central</t>
        </is>
      </c>
      <c r="H146" s="7" t="inlineStr">
        <is>
          <t>Michigan</t>
        </is>
      </c>
      <c r="I146" s="7" t="inlineStr">
        <is>
          <t>Online</t>
        </is>
      </c>
      <c r="J146" s="7" t="inlineStr">
        <is>
          <t>Corporate</t>
        </is>
      </c>
      <c r="K146" s="12" t="n">
        <v>4</v>
      </c>
      <c r="L146" s="9" t="n">
        <v>299.99</v>
      </c>
      <c r="M146" s="10" t="n">
        <v>0.05</v>
      </c>
      <c r="N146" s="9" t="n">
        <v>245.99</v>
      </c>
      <c r="O146" s="9">
        <f>K146*L146</f>
        <v/>
      </c>
      <c r="P146" s="9">
        <f>O146*M146</f>
        <v/>
      </c>
      <c r="Q146" s="9">
        <f>O146-P146</f>
        <v/>
      </c>
      <c r="R146" s="9">
        <f>K146*N146</f>
        <v/>
      </c>
      <c r="S146" s="9">
        <f>Q146-R146</f>
        <v/>
      </c>
      <c r="T146" s="10">
        <f>IFERROR(S146/Q146, 0)</f>
        <v/>
      </c>
    </row>
    <row r="147">
      <c r="A147" s="11" t="inlineStr">
        <is>
          <t>ORD-2024-1004</t>
        </is>
      </c>
      <c r="B147" s="11" t="inlineStr">
        <is>
          <t>2024-03-08</t>
        </is>
      </c>
      <c r="C147" s="11" t="inlineStr">
        <is>
          <t>OFF-PAP-004</t>
        </is>
      </c>
      <c r="D147" s="7" t="inlineStr">
        <is>
          <t>EcoRecycled Copy Paper (5 Reams)</t>
        </is>
      </c>
      <c r="E147" s="7" t="inlineStr">
        <is>
          <t>Office Supplies</t>
        </is>
      </c>
      <c r="F147" s="7" t="inlineStr">
        <is>
          <t>Paper Products</t>
        </is>
      </c>
      <c r="G147" s="7" t="inlineStr">
        <is>
          <t>West</t>
        </is>
      </c>
      <c r="H147" s="7" t="inlineStr">
        <is>
          <t>California</t>
        </is>
      </c>
      <c r="I147" s="7" t="inlineStr">
        <is>
          <t>Online</t>
        </is>
      </c>
      <c r="J147" s="7" t="inlineStr">
        <is>
          <t>Corporate</t>
        </is>
      </c>
      <c r="K147" s="12" t="n">
        <v>3</v>
      </c>
      <c r="L147" s="9" t="n">
        <v>32.99</v>
      </c>
      <c r="M147" s="10" t="n">
        <v>0</v>
      </c>
      <c r="N147" s="9" t="n">
        <v>19.79</v>
      </c>
      <c r="O147" s="9">
        <f>K147*L147</f>
        <v/>
      </c>
      <c r="P147" s="9">
        <f>O147*M147</f>
        <v/>
      </c>
      <c r="Q147" s="9">
        <f>O147-P147</f>
        <v/>
      </c>
      <c r="R147" s="9">
        <f>K147*N147</f>
        <v/>
      </c>
      <c r="S147" s="9">
        <f>Q147-R147</f>
        <v/>
      </c>
      <c r="T147" s="10">
        <f>IFERROR(S147/Q147, 0)</f>
        <v/>
      </c>
    </row>
    <row r="148">
      <c r="A148" s="11" t="inlineStr">
        <is>
          <t>ORD-2024-1004</t>
        </is>
      </c>
      <c r="B148" s="11" t="inlineStr">
        <is>
          <t>2024-03-08</t>
        </is>
      </c>
      <c r="C148" s="11" t="inlineStr">
        <is>
          <t>OFF-DSK-007</t>
        </is>
      </c>
      <c r="D148" s="7" t="inlineStr">
        <is>
          <t>Gel Ergo Mouse Pad &amp; Wrist Rest Combo</t>
        </is>
      </c>
      <c r="E148" s="7" t="inlineStr">
        <is>
          <t>Office Supplies</t>
        </is>
      </c>
      <c r="F148" s="7" t="inlineStr">
        <is>
          <t>Desk Supplies</t>
        </is>
      </c>
      <c r="G148" s="7" t="inlineStr">
        <is>
          <t>West</t>
        </is>
      </c>
      <c r="H148" s="7" t="inlineStr">
        <is>
          <t>California</t>
        </is>
      </c>
      <c r="I148" s="7" t="inlineStr">
        <is>
          <t>Online</t>
        </is>
      </c>
      <c r="J148" s="7" t="inlineStr">
        <is>
          <t>Corporate</t>
        </is>
      </c>
      <c r="K148" s="12" t="n">
        <v>7</v>
      </c>
      <c r="L148" s="9" t="n">
        <v>21.99</v>
      </c>
      <c r="M148" s="10" t="n">
        <v>0</v>
      </c>
      <c r="N148" s="9" t="n">
        <v>10.56</v>
      </c>
      <c r="O148" s="9">
        <f>K148*L148</f>
        <v/>
      </c>
      <c r="P148" s="9">
        <f>O148*M148</f>
        <v/>
      </c>
      <c r="Q148" s="9">
        <f>O148-P148</f>
        <v/>
      </c>
      <c r="R148" s="9">
        <f>K148*N148</f>
        <v/>
      </c>
      <c r="S148" s="9">
        <f>Q148-R148</f>
        <v/>
      </c>
      <c r="T148" s="10">
        <f>IFERROR(S148/Q148, 0)</f>
        <v/>
      </c>
    </row>
    <row r="149">
      <c r="A149" s="11" t="inlineStr">
        <is>
          <t>ORD-2024-1038</t>
        </is>
      </c>
      <c r="B149" s="11" t="inlineStr">
        <is>
          <t>2024-03-08</t>
        </is>
      </c>
      <c r="C149" s="11" t="inlineStr">
        <is>
          <t>TEC-TAB-003</t>
        </is>
      </c>
      <c r="D149" s="7" t="inlineStr">
        <is>
          <t>VisionPad Pro 11"</t>
        </is>
      </c>
      <c r="E149" s="7" t="inlineStr">
        <is>
          <t>Technology</t>
        </is>
      </c>
      <c r="F149" s="7" t="inlineStr">
        <is>
          <t>Phones &amp; Tablets</t>
        </is>
      </c>
      <c r="G149" s="7" t="inlineStr">
        <is>
          <t>South</t>
        </is>
      </c>
      <c r="H149" s="7" t="inlineStr">
        <is>
          <t>Florida</t>
        </is>
      </c>
      <c r="I149" s="7" t="inlineStr">
        <is>
          <t>Wholesale</t>
        </is>
      </c>
      <c r="J149" s="7" t="inlineStr">
        <is>
          <t>Home Office</t>
        </is>
      </c>
      <c r="K149" s="12" t="n">
        <v>12</v>
      </c>
      <c r="L149" s="9" t="n">
        <v>649.99</v>
      </c>
      <c r="M149" s="10" t="n">
        <v>0.1</v>
      </c>
      <c r="N149" s="9" t="n">
        <v>487.49</v>
      </c>
      <c r="O149" s="9">
        <f>K149*L149</f>
        <v/>
      </c>
      <c r="P149" s="9">
        <f>O149*M149</f>
        <v/>
      </c>
      <c r="Q149" s="9">
        <f>O149-P149</f>
        <v/>
      </c>
      <c r="R149" s="9">
        <f>K149*N149</f>
        <v/>
      </c>
      <c r="S149" s="9">
        <f>Q149-R149</f>
        <v/>
      </c>
      <c r="T149" s="10">
        <f>IFERROR(S149/Q149, 0)</f>
        <v/>
      </c>
    </row>
    <row r="150">
      <c r="A150" s="11" t="inlineStr">
        <is>
          <t>ORD-2024-1265</t>
        </is>
      </c>
      <c r="B150" s="11" t="inlineStr">
        <is>
          <t>2024-03-08</t>
        </is>
      </c>
      <c r="C150" s="11" t="inlineStr">
        <is>
          <t>TEC-LAP-001</t>
        </is>
      </c>
      <c r="D150" s="7" t="inlineStr">
        <is>
          <t>ProBook Elite 15.6"</t>
        </is>
      </c>
      <c r="E150" s="7" t="inlineStr">
        <is>
          <t>Technology</t>
        </is>
      </c>
      <c r="F150" s="7" t="inlineStr">
        <is>
          <t>Laptops</t>
        </is>
      </c>
      <c r="G150" s="7" t="inlineStr">
        <is>
          <t>East</t>
        </is>
      </c>
      <c r="H150" s="7" t="inlineStr">
        <is>
          <t>New Jersey</t>
        </is>
      </c>
      <c r="I150" s="7" t="inlineStr">
        <is>
          <t>Online</t>
        </is>
      </c>
      <c r="J150" s="7" t="inlineStr">
        <is>
          <t>Consumer</t>
        </is>
      </c>
      <c r="K150" s="12" t="n">
        <v>3</v>
      </c>
      <c r="L150" s="9" t="n">
        <v>1199.99</v>
      </c>
      <c r="M150" s="10" t="n">
        <v>0</v>
      </c>
      <c r="N150" s="9" t="n">
        <v>863.99</v>
      </c>
      <c r="O150" s="9">
        <f>K150*L150</f>
        <v/>
      </c>
      <c r="P150" s="9">
        <f>O150*M150</f>
        <v/>
      </c>
      <c r="Q150" s="9">
        <f>O150-P150</f>
        <v/>
      </c>
      <c r="R150" s="9">
        <f>K150*N150</f>
        <v/>
      </c>
      <c r="S150" s="9">
        <f>Q150-R150</f>
        <v/>
      </c>
      <c r="T150" s="10">
        <f>IFERROR(S150/Q150, 0)</f>
        <v/>
      </c>
    </row>
    <row r="151">
      <c r="A151" s="11" t="inlineStr">
        <is>
          <t>ORD-2024-1364</t>
        </is>
      </c>
      <c r="B151" s="11" t="inlineStr">
        <is>
          <t>2024-03-08</t>
        </is>
      </c>
      <c r="C151" s="11" t="inlineStr">
        <is>
          <t>TEC-ACC-005</t>
        </is>
      </c>
      <c r="D151" s="7" t="inlineStr">
        <is>
          <t>UltraWireless Noise-Canceling Headset</t>
        </is>
      </c>
      <c r="E151" s="7" t="inlineStr">
        <is>
          <t>Technology</t>
        </is>
      </c>
      <c r="F151" s="7" t="inlineStr">
        <is>
          <t>Audio &amp; Accessories</t>
        </is>
      </c>
      <c r="G151" s="7" t="inlineStr">
        <is>
          <t>West</t>
        </is>
      </c>
      <c r="H151" s="7" t="inlineStr">
        <is>
          <t>Washington</t>
        </is>
      </c>
      <c r="I151" s="7" t="inlineStr">
        <is>
          <t>Online</t>
        </is>
      </c>
      <c r="J151" s="7" t="inlineStr">
        <is>
          <t>Consumer</t>
        </is>
      </c>
      <c r="K151" s="12" t="n">
        <v>1</v>
      </c>
      <c r="L151" s="9" t="n">
        <v>179.99</v>
      </c>
      <c r="M151" s="10" t="n">
        <v>0.1</v>
      </c>
      <c r="N151" s="9" t="n">
        <v>111.59</v>
      </c>
      <c r="O151" s="9">
        <f>K151*L151</f>
        <v/>
      </c>
      <c r="P151" s="9">
        <f>O151*M151</f>
        <v/>
      </c>
      <c r="Q151" s="9">
        <f>O151-P151</f>
        <v/>
      </c>
      <c r="R151" s="9">
        <f>K151*N151</f>
        <v/>
      </c>
      <c r="S151" s="9">
        <f>Q151-R151</f>
        <v/>
      </c>
      <c r="T151" s="10">
        <f>IFERROR(S151/Q151, 0)</f>
        <v/>
      </c>
    </row>
    <row r="152">
      <c r="A152" s="11" t="inlineStr">
        <is>
          <t>ORD-2024-1618</t>
        </is>
      </c>
      <c r="B152" s="11" t="inlineStr">
        <is>
          <t>2024-03-09</t>
        </is>
      </c>
      <c r="C152" s="11" t="inlineStr">
        <is>
          <t>TEC-ACC-005</t>
        </is>
      </c>
      <c r="D152" s="7" t="inlineStr">
        <is>
          <t>UltraWireless Noise-Canceling Headset</t>
        </is>
      </c>
      <c r="E152" s="7" t="inlineStr">
        <is>
          <t>Technology</t>
        </is>
      </c>
      <c r="F152" s="7" t="inlineStr">
        <is>
          <t>Audio &amp; Accessories</t>
        </is>
      </c>
      <c r="G152" s="7" t="inlineStr">
        <is>
          <t>South</t>
        </is>
      </c>
      <c r="H152" s="7" t="inlineStr">
        <is>
          <t>Virginia</t>
        </is>
      </c>
      <c r="I152" s="7" t="inlineStr">
        <is>
          <t>Online</t>
        </is>
      </c>
      <c r="J152" s="7" t="inlineStr">
        <is>
          <t>Corporate</t>
        </is>
      </c>
      <c r="K152" s="12" t="n">
        <v>2</v>
      </c>
      <c r="L152" s="9" t="n">
        <v>179.99</v>
      </c>
      <c r="M152" s="10" t="n">
        <v>0</v>
      </c>
      <c r="N152" s="9" t="n">
        <v>111.59</v>
      </c>
      <c r="O152" s="9">
        <f>K152*L152</f>
        <v/>
      </c>
      <c r="P152" s="9">
        <f>O152*M152</f>
        <v/>
      </c>
      <c r="Q152" s="9">
        <f>O152-P152</f>
        <v/>
      </c>
      <c r="R152" s="9">
        <f>K152*N152</f>
        <v/>
      </c>
      <c r="S152" s="9">
        <f>Q152-R152</f>
        <v/>
      </c>
      <c r="T152" s="10">
        <f>IFERROR(S152/Q152, 0)</f>
        <v/>
      </c>
    </row>
    <row r="153">
      <c r="A153" s="11" t="inlineStr">
        <is>
          <t>ORD-2024-1110</t>
        </is>
      </c>
      <c r="B153" s="11" t="inlineStr">
        <is>
          <t>2024-03-10</t>
        </is>
      </c>
      <c r="C153" s="11" t="inlineStr">
        <is>
          <t>TEC-TAB-003</t>
        </is>
      </c>
      <c r="D153" s="7" t="inlineStr">
        <is>
          <t>VisionPad Pro 11"</t>
        </is>
      </c>
      <c r="E153" s="7" t="inlineStr">
        <is>
          <t>Technology</t>
        </is>
      </c>
      <c r="F153" s="7" t="inlineStr">
        <is>
          <t>Phones &amp; Tablets</t>
        </is>
      </c>
      <c r="G153" s="7" t="inlineStr">
        <is>
          <t>West</t>
        </is>
      </c>
      <c r="H153" s="7" t="inlineStr">
        <is>
          <t>Oregon</t>
        </is>
      </c>
      <c r="I153" s="7" t="inlineStr">
        <is>
          <t>Wholesale</t>
        </is>
      </c>
      <c r="J153" s="7" t="inlineStr">
        <is>
          <t>Consumer</t>
        </is>
      </c>
      <c r="K153" s="12" t="n">
        <v>8</v>
      </c>
      <c r="L153" s="9" t="n">
        <v>649.99</v>
      </c>
      <c r="M153" s="10" t="n">
        <v>0.1</v>
      </c>
      <c r="N153" s="9" t="n">
        <v>487.49</v>
      </c>
      <c r="O153" s="9">
        <f>K153*L153</f>
        <v/>
      </c>
      <c r="P153" s="9">
        <f>O153*M153</f>
        <v/>
      </c>
      <c r="Q153" s="9">
        <f>O153-P153</f>
        <v/>
      </c>
      <c r="R153" s="9">
        <f>K153*N153</f>
        <v/>
      </c>
      <c r="S153" s="9">
        <f>Q153-R153</f>
        <v/>
      </c>
      <c r="T153" s="10">
        <f>IFERROR(S153/Q153, 0)</f>
        <v/>
      </c>
    </row>
    <row r="154">
      <c r="A154" s="11" t="inlineStr">
        <is>
          <t>ORD-2024-1110</t>
        </is>
      </c>
      <c r="B154" s="11" t="inlineStr">
        <is>
          <t>2024-03-10</t>
        </is>
      </c>
      <c r="C154" s="11" t="inlineStr">
        <is>
          <t>OFF-DSK-008</t>
        </is>
      </c>
      <c r="D154" s="7" t="inlineStr">
        <is>
          <t>Steel Desktop Mesh Organizer Caddy</t>
        </is>
      </c>
      <c r="E154" s="7" t="inlineStr">
        <is>
          <t>Office Supplies</t>
        </is>
      </c>
      <c r="F154" s="7" t="inlineStr">
        <is>
          <t>Desk Supplies</t>
        </is>
      </c>
      <c r="G154" s="7" t="inlineStr">
        <is>
          <t>West</t>
        </is>
      </c>
      <c r="H154" s="7" t="inlineStr">
        <is>
          <t>Oregon</t>
        </is>
      </c>
      <c r="I154" s="7" t="inlineStr">
        <is>
          <t>Wholesale</t>
        </is>
      </c>
      <c r="J154" s="7" t="inlineStr">
        <is>
          <t>Consumer</t>
        </is>
      </c>
      <c r="K154" s="12" t="n">
        <v>9</v>
      </c>
      <c r="L154" s="9" t="n">
        <v>18.99</v>
      </c>
      <c r="M154" s="10" t="n">
        <v>0.15</v>
      </c>
      <c r="N154" s="9" t="n">
        <v>8.550000000000001</v>
      </c>
      <c r="O154" s="9">
        <f>K154*L154</f>
        <v/>
      </c>
      <c r="P154" s="9">
        <f>O154*M154</f>
        <v/>
      </c>
      <c r="Q154" s="9">
        <f>O154-P154</f>
        <v/>
      </c>
      <c r="R154" s="9">
        <f>K154*N154</f>
        <v/>
      </c>
      <c r="S154" s="9">
        <f>Q154-R154</f>
        <v/>
      </c>
      <c r="T154" s="10">
        <f>IFERROR(S154/Q154, 0)</f>
        <v/>
      </c>
    </row>
    <row r="155">
      <c r="A155" s="11" t="inlineStr">
        <is>
          <t>ORD-2024-1359</t>
        </is>
      </c>
      <c r="B155" s="11" t="inlineStr">
        <is>
          <t>2024-03-10</t>
        </is>
      </c>
      <c r="C155" s="11" t="inlineStr">
        <is>
          <t>OFF-DSK-007</t>
        </is>
      </c>
      <c r="D155" s="7" t="inlineStr">
        <is>
          <t>Gel Ergo Mouse Pad &amp; Wrist Rest Combo</t>
        </is>
      </c>
      <c r="E155" s="7" t="inlineStr">
        <is>
          <t>Office Supplies</t>
        </is>
      </c>
      <c r="F155" s="7" t="inlineStr">
        <is>
          <t>Desk Supplies</t>
        </is>
      </c>
      <c r="G155" s="7" t="inlineStr">
        <is>
          <t>West</t>
        </is>
      </c>
      <c r="H155" s="7" t="inlineStr">
        <is>
          <t>Colorado</t>
        </is>
      </c>
      <c r="I155" s="7" t="inlineStr">
        <is>
          <t>Wholesale</t>
        </is>
      </c>
      <c r="J155" s="7" t="inlineStr">
        <is>
          <t>Consumer</t>
        </is>
      </c>
      <c r="K155" s="12" t="n">
        <v>10</v>
      </c>
      <c r="L155" s="9" t="n">
        <v>21.99</v>
      </c>
      <c r="M155" s="10" t="n">
        <v>0.1</v>
      </c>
      <c r="N155" s="9" t="n">
        <v>10.56</v>
      </c>
      <c r="O155" s="9">
        <f>K155*L155</f>
        <v/>
      </c>
      <c r="P155" s="9">
        <f>O155*M155</f>
        <v/>
      </c>
      <c r="Q155" s="9">
        <f>O155-P155</f>
        <v/>
      </c>
      <c r="R155" s="9">
        <f>K155*N155</f>
        <v/>
      </c>
      <c r="S155" s="9">
        <f>Q155-R155</f>
        <v/>
      </c>
      <c r="T155" s="10">
        <f>IFERROR(S155/Q155, 0)</f>
        <v/>
      </c>
    </row>
    <row r="156">
      <c r="A156" s="11" t="inlineStr">
        <is>
          <t>ORD-2024-1372</t>
        </is>
      </c>
      <c r="B156" s="11" t="inlineStr">
        <is>
          <t>2024-03-10</t>
        </is>
      </c>
      <c r="C156" s="11" t="inlineStr">
        <is>
          <t>OFF-PAP-003</t>
        </is>
      </c>
      <c r="D156" s="7" t="inlineStr">
        <is>
          <t>UltraWhite Premium Multipurpose Paper (Case)</t>
        </is>
      </c>
      <c r="E156" s="7" t="inlineStr">
        <is>
          <t>Office Supplies</t>
        </is>
      </c>
      <c r="F156" s="7" t="inlineStr">
        <is>
          <t>Paper Products</t>
        </is>
      </c>
      <c r="G156" s="7" t="inlineStr">
        <is>
          <t>East</t>
        </is>
      </c>
      <c r="H156" s="7" t="inlineStr">
        <is>
          <t>New Jersey</t>
        </is>
      </c>
      <c r="I156" s="7" t="inlineStr">
        <is>
          <t>Online</t>
        </is>
      </c>
      <c r="J156" s="7" t="inlineStr">
        <is>
          <t>Corporate</t>
        </is>
      </c>
      <c r="K156" s="12" t="n">
        <v>6</v>
      </c>
      <c r="L156" s="9" t="n">
        <v>54.99</v>
      </c>
      <c r="M156" s="10" t="n">
        <v>0.1</v>
      </c>
      <c r="N156" s="9" t="n">
        <v>31.89</v>
      </c>
      <c r="O156" s="9">
        <f>K156*L156</f>
        <v/>
      </c>
      <c r="P156" s="9">
        <f>O156*M156</f>
        <v/>
      </c>
      <c r="Q156" s="9">
        <f>O156-P156</f>
        <v/>
      </c>
      <c r="R156" s="9">
        <f>K156*N156</f>
        <v/>
      </c>
      <c r="S156" s="9">
        <f>Q156-R156</f>
        <v/>
      </c>
      <c r="T156" s="10">
        <f>IFERROR(S156/Q156, 0)</f>
        <v/>
      </c>
    </row>
    <row r="157">
      <c r="A157" s="11" t="inlineStr">
        <is>
          <t>ORD-2024-1554</t>
        </is>
      </c>
      <c r="B157" s="11" t="inlineStr">
        <is>
          <t>2024-03-10</t>
        </is>
      </c>
      <c r="C157" s="11" t="inlineStr">
        <is>
          <t>OFF-STR-001</t>
        </is>
      </c>
      <c r="D157" s="7" t="inlineStr">
        <is>
          <t>SteelLock 3-Drawer File Cabinet</t>
        </is>
      </c>
      <c r="E157" s="7" t="inlineStr">
        <is>
          <t>Office Supplies</t>
        </is>
      </c>
      <c r="F157" s="7" t="inlineStr">
        <is>
          <t>Storage &amp; Organizers</t>
        </is>
      </c>
      <c r="G157" s="7" t="inlineStr">
        <is>
          <t>South</t>
        </is>
      </c>
      <c r="H157" s="7" t="inlineStr">
        <is>
          <t>Georgia</t>
        </is>
      </c>
      <c r="I157" s="7" t="inlineStr">
        <is>
          <t>Retail Partner</t>
        </is>
      </c>
      <c r="J157" s="7" t="inlineStr">
        <is>
          <t>Home Office</t>
        </is>
      </c>
      <c r="K157" s="12" t="n">
        <v>1</v>
      </c>
      <c r="L157" s="9" t="n">
        <v>169.99</v>
      </c>
      <c r="M157" s="10" t="n">
        <v>0</v>
      </c>
      <c r="N157" s="9" t="n">
        <v>115.59</v>
      </c>
      <c r="O157" s="9">
        <f>K157*L157</f>
        <v/>
      </c>
      <c r="P157" s="9">
        <f>O157*M157</f>
        <v/>
      </c>
      <c r="Q157" s="9">
        <f>O157-P157</f>
        <v/>
      </c>
      <c r="R157" s="9">
        <f>K157*N157</f>
        <v/>
      </c>
      <c r="S157" s="9">
        <f>Q157-R157</f>
        <v/>
      </c>
      <c r="T157" s="10">
        <f>IFERROR(S157/Q157, 0)</f>
        <v/>
      </c>
    </row>
    <row r="158">
      <c r="A158" s="11" t="inlineStr">
        <is>
          <t>ORD-2024-1225</t>
        </is>
      </c>
      <c r="B158" s="11" t="inlineStr">
        <is>
          <t>2024-03-11</t>
        </is>
      </c>
      <c r="C158" s="11" t="inlineStr">
        <is>
          <t>FUR-BOK-005</t>
        </is>
      </c>
      <c r="D158" s="7" t="inlineStr">
        <is>
          <t>Modular 5-Tier Steel Bookcase</t>
        </is>
      </c>
      <c r="E158" s="7" t="inlineStr">
        <is>
          <t>Furniture</t>
        </is>
      </c>
      <c r="F158" s="7" t="inlineStr">
        <is>
          <t>Bookcases</t>
        </is>
      </c>
      <c r="G158" s="7" t="inlineStr">
        <is>
          <t>West</t>
        </is>
      </c>
      <c r="H158" s="7" t="inlineStr">
        <is>
          <t>Colorado</t>
        </is>
      </c>
      <c r="I158" s="7" t="inlineStr">
        <is>
          <t>Online</t>
        </is>
      </c>
      <c r="J158" s="7" t="inlineStr">
        <is>
          <t>Corporate</t>
        </is>
      </c>
      <c r="K158" s="12" t="n">
        <v>5</v>
      </c>
      <c r="L158" s="9" t="n">
        <v>189.99</v>
      </c>
      <c r="M158" s="10" t="n">
        <v>0.05</v>
      </c>
      <c r="N158" s="9" t="n">
        <v>142.49</v>
      </c>
      <c r="O158" s="9">
        <f>K158*L158</f>
        <v/>
      </c>
      <c r="P158" s="9">
        <f>O158*M158</f>
        <v/>
      </c>
      <c r="Q158" s="9">
        <f>O158-P158</f>
        <v/>
      </c>
      <c r="R158" s="9">
        <f>K158*N158</f>
        <v/>
      </c>
      <c r="S158" s="9">
        <f>Q158-R158</f>
        <v/>
      </c>
      <c r="T158" s="10">
        <f>IFERROR(S158/Q158, 0)</f>
        <v/>
      </c>
    </row>
    <row r="159">
      <c r="A159" s="11" t="inlineStr">
        <is>
          <t>ORD-2024-1448</t>
        </is>
      </c>
      <c r="B159" s="11" t="inlineStr">
        <is>
          <t>2024-03-11</t>
        </is>
      </c>
      <c r="C159" s="11" t="inlineStr">
        <is>
          <t>OFF-STR-001</t>
        </is>
      </c>
      <c r="D159" s="7" t="inlineStr">
        <is>
          <t>SteelLock 3-Drawer File Cabinet</t>
        </is>
      </c>
      <c r="E159" s="7" t="inlineStr">
        <is>
          <t>Office Supplies</t>
        </is>
      </c>
      <c r="F159" s="7" t="inlineStr">
        <is>
          <t>Storage &amp; Organizers</t>
        </is>
      </c>
      <c r="G159" s="7" t="inlineStr">
        <is>
          <t>South</t>
        </is>
      </c>
      <c r="H159" s="7" t="inlineStr">
        <is>
          <t>Georgia</t>
        </is>
      </c>
      <c r="I159" s="7" t="inlineStr">
        <is>
          <t>Online</t>
        </is>
      </c>
      <c r="J159" s="7" t="inlineStr">
        <is>
          <t>Home Office</t>
        </is>
      </c>
      <c r="K159" s="12" t="n">
        <v>1</v>
      </c>
      <c r="L159" s="9" t="n">
        <v>169.99</v>
      </c>
      <c r="M159" s="10" t="n">
        <v>0</v>
      </c>
      <c r="N159" s="9" t="n">
        <v>115.59</v>
      </c>
      <c r="O159" s="9">
        <f>K159*L159</f>
        <v/>
      </c>
      <c r="P159" s="9">
        <f>O159*M159</f>
        <v/>
      </c>
      <c r="Q159" s="9">
        <f>O159-P159</f>
        <v/>
      </c>
      <c r="R159" s="9">
        <f>K159*N159</f>
        <v/>
      </c>
      <c r="S159" s="9">
        <f>Q159-R159</f>
        <v/>
      </c>
      <c r="T159" s="10">
        <f>IFERROR(S159/Q159, 0)</f>
        <v/>
      </c>
    </row>
    <row r="160">
      <c r="A160" s="11" t="inlineStr">
        <is>
          <t>ORD-2024-1460</t>
        </is>
      </c>
      <c r="B160" s="11" t="inlineStr">
        <is>
          <t>2024-03-12</t>
        </is>
      </c>
      <c r="C160" s="11" t="inlineStr">
        <is>
          <t>TEC-TAB-003</t>
        </is>
      </c>
      <c r="D160" s="7" t="inlineStr">
        <is>
          <t>VisionPad Pro 11"</t>
        </is>
      </c>
      <c r="E160" s="7" t="inlineStr">
        <is>
          <t>Technology</t>
        </is>
      </c>
      <c r="F160" s="7" t="inlineStr">
        <is>
          <t>Phones &amp; Tablets</t>
        </is>
      </c>
      <c r="G160" s="7" t="inlineStr">
        <is>
          <t>Central</t>
        </is>
      </c>
      <c r="H160" s="7" t="inlineStr">
        <is>
          <t>Ohio</t>
        </is>
      </c>
      <c r="I160" s="7" t="inlineStr">
        <is>
          <t>Direct Sales</t>
        </is>
      </c>
      <c r="J160" s="7" t="inlineStr">
        <is>
          <t>Home Office</t>
        </is>
      </c>
      <c r="K160" s="12" t="n">
        <v>4</v>
      </c>
      <c r="L160" s="9" t="n">
        <v>649.99</v>
      </c>
      <c r="M160" s="10" t="n">
        <v>0</v>
      </c>
      <c r="N160" s="9" t="n">
        <v>487.49</v>
      </c>
      <c r="O160" s="9">
        <f>K160*L160</f>
        <v/>
      </c>
      <c r="P160" s="9">
        <f>O160*M160</f>
        <v/>
      </c>
      <c r="Q160" s="9">
        <f>O160-P160</f>
        <v/>
      </c>
      <c r="R160" s="9">
        <f>K160*N160</f>
        <v/>
      </c>
      <c r="S160" s="9">
        <f>Q160-R160</f>
        <v/>
      </c>
      <c r="T160" s="10">
        <f>IFERROR(S160/Q160, 0)</f>
        <v/>
      </c>
    </row>
    <row r="161">
      <c r="A161" s="11" t="inlineStr">
        <is>
          <t>ORD-2024-1629</t>
        </is>
      </c>
      <c r="B161" s="11" t="inlineStr">
        <is>
          <t>2024-03-12</t>
        </is>
      </c>
      <c r="C161" s="11" t="inlineStr">
        <is>
          <t>OFF-BIN-005</t>
        </is>
      </c>
      <c r="D161" s="7" t="inlineStr">
        <is>
          <t>Heavy-Duty D-Ring Presentation Binder (6-Pk)</t>
        </is>
      </c>
      <c r="E161" s="7" t="inlineStr">
        <is>
          <t>Office Supplies</t>
        </is>
      </c>
      <c r="F161" s="7" t="inlineStr">
        <is>
          <t>Binders &amp; Fasteners</t>
        </is>
      </c>
      <c r="G161" s="7" t="inlineStr">
        <is>
          <t>East</t>
        </is>
      </c>
      <c r="H161" s="7" t="inlineStr">
        <is>
          <t>New York</t>
        </is>
      </c>
      <c r="I161" s="7" t="inlineStr">
        <is>
          <t>Retail Partner</t>
        </is>
      </c>
      <c r="J161" s="7" t="inlineStr">
        <is>
          <t>Corporate</t>
        </is>
      </c>
      <c r="K161" s="12" t="n">
        <v>3</v>
      </c>
      <c r="L161" s="9" t="n">
        <v>27.99</v>
      </c>
      <c r="M161" s="10" t="n">
        <v>0</v>
      </c>
      <c r="N161" s="9" t="n">
        <v>13.99</v>
      </c>
      <c r="O161" s="9">
        <f>K161*L161</f>
        <v/>
      </c>
      <c r="P161" s="9">
        <f>O161*M161</f>
        <v/>
      </c>
      <c r="Q161" s="9">
        <f>O161-P161</f>
        <v/>
      </c>
      <c r="R161" s="9">
        <f>K161*N161</f>
        <v/>
      </c>
      <c r="S161" s="9">
        <f>Q161-R161</f>
        <v/>
      </c>
      <c r="T161" s="10">
        <f>IFERROR(S161/Q161, 0)</f>
        <v/>
      </c>
    </row>
    <row r="162">
      <c r="A162" s="11" t="inlineStr">
        <is>
          <t>ORD-2024-1702</t>
        </is>
      </c>
      <c r="B162" s="11" t="inlineStr">
        <is>
          <t>2024-03-12</t>
        </is>
      </c>
      <c r="C162" s="11" t="inlineStr">
        <is>
          <t>TEC-LAP-002</t>
        </is>
      </c>
      <c r="D162" s="7" t="inlineStr">
        <is>
          <t>Apex Gaming Laptop 17"</t>
        </is>
      </c>
      <c r="E162" s="7" t="inlineStr">
        <is>
          <t>Technology</t>
        </is>
      </c>
      <c r="F162" s="7" t="inlineStr">
        <is>
          <t>Laptops</t>
        </is>
      </c>
      <c r="G162" s="7" t="inlineStr">
        <is>
          <t>Central</t>
        </is>
      </c>
      <c r="H162" s="7" t="inlineStr">
        <is>
          <t>Texas</t>
        </is>
      </c>
      <c r="I162" s="7" t="inlineStr">
        <is>
          <t>Online</t>
        </is>
      </c>
      <c r="J162" s="7" t="inlineStr">
        <is>
          <t>Consumer</t>
        </is>
      </c>
      <c r="K162" s="12" t="n">
        <v>4</v>
      </c>
      <c r="L162" s="9" t="n">
        <v>1499.99</v>
      </c>
      <c r="M162" s="10" t="n">
        <v>0.25</v>
      </c>
      <c r="N162" s="9" t="n">
        <v>1259.99</v>
      </c>
      <c r="O162" s="9">
        <f>K162*L162</f>
        <v/>
      </c>
      <c r="P162" s="9">
        <f>O162*M162</f>
        <v/>
      </c>
      <c r="Q162" s="9">
        <f>O162-P162</f>
        <v/>
      </c>
      <c r="R162" s="9">
        <f>K162*N162</f>
        <v/>
      </c>
      <c r="S162" s="9">
        <f>Q162-R162</f>
        <v/>
      </c>
      <c r="T162" s="10">
        <f>IFERROR(S162/Q162, 0)</f>
        <v/>
      </c>
    </row>
    <row r="163">
      <c r="A163" s="11" t="inlineStr">
        <is>
          <t>ORD-2024-1114</t>
        </is>
      </c>
      <c r="B163" s="11" t="inlineStr">
        <is>
          <t>2024-03-13</t>
        </is>
      </c>
      <c r="C163" s="11" t="inlineStr">
        <is>
          <t>TEC-ACC-005</t>
        </is>
      </c>
      <c r="D163" s="7" t="inlineStr">
        <is>
          <t>UltraWireless Noise-Canceling Headset</t>
        </is>
      </c>
      <c r="E163" s="7" t="inlineStr">
        <is>
          <t>Technology</t>
        </is>
      </c>
      <c r="F163" s="7" t="inlineStr">
        <is>
          <t>Audio &amp; Accessories</t>
        </is>
      </c>
      <c r="G163" s="7" t="inlineStr">
        <is>
          <t>Central</t>
        </is>
      </c>
      <c r="H163" s="7" t="inlineStr">
        <is>
          <t>Texas</t>
        </is>
      </c>
      <c r="I163" s="7" t="inlineStr">
        <is>
          <t>Direct Sales</t>
        </is>
      </c>
      <c r="J163" s="7" t="inlineStr">
        <is>
          <t>Corporate</t>
        </is>
      </c>
      <c r="K163" s="12" t="n">
        <v>7</v>
      </c>
      <c r="L163" s="9" t="n">
        <v>179.99</v>
      </c>
      <c r="M163" s="10" t="n">
        <v>0.1</v>
      </c>
      <c r="N163" s="9" t="n">
        <v>111.59</v>
      </c>
      <c r="O163" s="9">
        <f>K163*L163</f>
        <v/>
      </c>
      <c r="P163" s="9">
        <f>O163*M163</f>
        <v/>
      </c>
      <c r="Q163" s="9">
        <f>O163-P163</f>
        <v/>
      </c>
      <c r="R163" s="9">
        <f>K163*N163</f>
        <v/>
      </c>
      <c r="S163" s="9">
        <f>Q163-R163</f>
        <v/>
      </c>
      <c r="T163" s="10">
        <f>IFERROR(S163/Q163, 0)</f>
        <v/>
      </c>
    </row>
    <row r="164">
      <c r="A164" s="11" t="inlineStr">
        <is>
          <t>ORD-2024-1148</t>
        </is>
      </c>
      <c r="B164" s="11" t="inlineStr">
        <is>
          <t>2024-03-13</t>
        </is>
      </c>
      <c r="C164" s="11" t="inlineStr">
        <is>
          <t>TEC-TAB-003</t>
        </is>
      </c>
      <c r="D164" s="7" t="inlineStr">
        <is>
          <t>VisionPad Pro 11"</t>
        </is>
      </c>
      <c r="E164" s="7" t="inlineStr">
        <is>
          <t>Technology</t>
        </is>
      </c>
      <c r="F164" s="7" t="inlineStr">
        <is>
          <t>Phones &amp; Tablets</t>
        </is>
      </c>
      <c r="G164" s="7" t="inlineStr">
        <is>
          <t>South</t>
        </is>
      </c>
      <c r="H164" s="7" t="inlineStr">
        <is>
          <t>Georgia</t>
        </is>
      </c>
      <c r="I164" s="7" t="inlineStr">
        <is>
          <t>Wholesale</t>
        </is>
      </c>
      <c r="J164" s="7" t="inlineStr">
        <is>
          <t>Corporate</t>
        </is>
      </c>
      <c r="K164" s="12" t="n">
        <v>14</v>
      </c>
      <c r="L164" s="9" t="n">
        <v>649.99</v>
      </c>
      <c r="M164" s="10" t="n">
        <v>0.15</v>
      </c>
      <c r="N164" s="9" t="n">
        <v>487.49</v>
      </c>
      <c r="O164" s="9">
        <f>K164*L164</f>
        <v/>
      </c>
      <c r="P164" s="9">
        <f>O164*M164</f>
        <v/>
      </c>
      <c r="Q164" s="9">
        <f>O164-P164</f>
        <v/>
      </c>
      <c r="R164" s="9">
        <f>K164*N164</f>
        <v/>
      </c>
      <c r="S164" s="9">
        <f>Q164-R164</f>
        <v/>
      </c>
      <c r="T164" s="10">
        <f>IFERROR(S164/Q164, 0)</f>
        <v/>
      </c>
    </row>
    <row r="165">
      <c r="A165" s="11" t="inlineStr">
        <is>
          <t>ORD-2024-1405</t>
        </is>
      </c>
      <c r="B165" s="11" t="inlineStr">
        <is>
          <t>2024-03-14</t>
        </is>
      </c>
      <c r="C165" s="11" t="inlineStr">
        <is>
          <t>FUR-LGT-006</t>
        </is>
      </c>
      <c r="D165" s="7" t="inlineStr">
        <is>
          <t>Architect LED Desk Task Lamp</t>
        </is>
      </c>
      <c r="E165" s="7" t="inlineStr">
        <is>
          <t>Furniture</t>
        </is>
      </c>
      <c r="F165" s="7" t="inlineStr">
        <is>
          <t>Lighting</t>
        </is>
      </c>
      <c r="G165" s="7" t="inlineStr">
        <is>
          <t>South</t>
        </is>
      </c>
      <c r="H165" s="7" t="inlineStr">
        <is>
          <t>Florida</t>
        </is>
      </c>
      <c r="I165" s="7" t="inlineStr">
        <is>
          <t>Direct Sales</t>
        </is>
      </c>
      <c r="J165" s="7" t="inlineStr">
        <is>
          <t>Consumer</t>
        </is>
      </c>
      <c r="K165" s="12" t="n">
        <v>2</v>
      </c>
      <c r="L165" s="9" t="n">
        <v>69.98999999999999</v>
      </c>
      <c r="M165" s="10" t="n">
        <v>0.05</v>
      </c>
      <c r="N165" s="9" t="n">
        <v>43.39</v>
      </c>
      <c r="O165" s="9">
        <f>K165*L165</f>
        <v/>
      </c>
      <c r="P165" s="9">
        <f>O165*M165</f>
        <v/>
      </c>
      <c r="Q165" s="9">
        <f>O165-P165</f>
        <v/>
      </c>
      <c r="R165" s="9">
        <f>K165*N165</f>
        <v/>
      </c>
      <c r="S165" s="9">
        <f>Q165-R165</f>
        <v/>
      </c>
      <c r="T165" s="10">
        <f>IFERROR(S165/Q165, 0)</f>
        <v/>
      </c>
    </row>
    <row r="166">
      <c r="A166" s="11" t="inlineStr">
        <is>
          <t>ORD-2024-1678</t>
        </is>
      </c>
      <c r="B166" s="11" t="inlineStr">
        <is>
          <t>2024-03-14</t>
        </is>
      </c>
      <c r="C166" s="11" t="inlineStr">
        <is>
          <t>OFF-DSK-007</t>
        </is>
      </c>
      <c r="D166" s="7" t="inlineStr">
        <is>
          <t>Gel Ergo Mouse Pad &amp; Wrist Rest Combo</t>
        </is>
      </c>
      <c r="E166" s="7" t="inlineStr">
        <is>
          <t>Office Supplies</t>
        </is>
      </c>
      <c r="F166" s="7" t="inlineStr">
        <is>
          <t>Desk Supplies</t>
        </is>
      </c>
      <c r="G166" s="7" t="inlineStr">
        <is>
          <t>South</t>
        </is>
      </c>
      <c r="H166" s="7" t="inlineStr">
        <is>
          <t>Florida</t>
        </is>
      </c>
      <c r="I166" s="7" t="inlineStr">
        <is>
          <t>Wholesale</t>
        </is>
      </c>
      <c r="J166" s="7" t="inlineStr">
        <is>
          <t>Consumer</t>
        </is>
      </c>
      <c r="K166" s="12" t="n">
        <v>8</v>
      </c>
      <c r="L166" s="9" t="n">
        <v>21.99</v>
      </c>
      <c r="M166" s="10" t="n">
        <v>0.1</v>
      </c>
      <c r="N166" s="9" t="n">
        <v>10.56</v>
      </c>
      <c r="O166" s="9">
        <f>K166*L166</f>
        <v/>
      </c>
      <c r="P166" s="9">
        <f>O166*M166</f>
        <v/>
      </c>
      <c r="Q166" s="9">
        <f>O166-P166</f>
        <v/>
      </c>
      <c r="R166" s="9">
        <f>K166*N166</f>
        <v/>
      </c>
      <c r="S166" s="9">
        <f>Q166-R166</f>
        <v/>
      </c>
      <c r="T166" s="10">
        <f>IFERROR(S166/Q166, 0)</f>
        <v/>
      </c>
    </row>
    <row r="167">
      <c r="A167" s="11" t="inlineStr">
        <is>
          <t>ORD-2024-1338</t>
        </is>
      </c>
      <c r="B167" s="11" t="inlineStr">
        <is>
          <t>2024-03-15</t>
        </is>
      </c>
      <c r="C167" s="11" t="inlineStr">
        <is>
          <t>OFF-DSK-008</t>
        </is>
      </c>
      <c r="D167" s="7" t="inlineStr">
        <is>
          <t>Steel Desktop Mesh Organizer Caddy</t>
        </is>
      </c>
      <c r="E167" s="7" t="inlineStr">
        <is>
          <t>Office Supplies</t>
        </is>
      </c>
      <c r="F167" s="7" t="inlineStr">
        <is>
          <t>Desk Supplies</t>
        </is>
      </c>
      <c r="G167" s="7" t="inlineStr">
        <is>
          <t>East</t>
        </is>
      </c>
      <c r="H167" s="7" t="inlineStr">
        <is>
          <t>New Jersey</t>
        </is>
      </c>
      <c r="I167" s="7" t="inlineStr">
        <is>
          <t>Direct Sales</t>
        </is>
      </c>
      <c r="J167" s="7" t="inlineStr">
        <is>
          <t>Corporate</t>
        </is>
      </c>
      <c r="K167" s="12" t="n">
        <v>6</v>
      </c>
      <c r="L167" s="9" t="n">
        <v>18.99</v>
      </c>
      <c r="M167" s="10" t="n">
        <v>0.05</v>
      </c>
      <c r="N167" s="9" t="n">
        <v>8.550000000000001</v>
      </c>
      <c r="O167" s="9">
        <f>K167*L167</f>
        <v/>
      </c>
      <c r="P167" s="9">
        <f>O167*M167</f>
        <v/>
      </c>
      <c r="Q167" s="9">
        <f>O167-P167</f>
        <v/>
      </c>
      <c r="R167" s="9">
        <f>K167*N167</f>
        <v/>
      </c>
      <c r="S167" s="9">
        <f>Q167-R167</f>
        <v/>
      </c>
      <c r="T167" s="10">
        <f>IFERROR(S167/Q167, 0)</f>
        <v/>
      </c>
    </row>
    <row r="168">
      <c r="A168" s="11" t="inlineStr">
        <is>
          <t>ORD-2024-1573</t>
        </is>
      </c>
      <c r="B168" s="11" t="inlineStr">
        <is>
          <t>2024-03-15</t>
        </is>
      </c>
      <c r="C168" s="11" t="inlineStr">
        <is>
          <t>FUR-DSK-004</t>
        </is>
      </c>
      <c r="D168" s="7" t="inlineStr">
        <is>
          <t>Metro Compact Corner Workstation</t>
        </is>
      </c>
      <c r="E168" s="7" t="inlineStr">
        <is>
          <t>Furniture</t>
        </is>
      </c>
      <c r="F168" s="7" t="inlineStr">
        <is>
          <t>Desks &amp; Workstations</t>
        </is>
      </c>
      <c r="G168" s="7" t="inlineStr">
        <is>
          <t>East</t>
        </is>
      </c>
      <c r="H168" s="7" t="inlineStr">
        <is>
          <t>Pennsylvania</t>
        </is>
      </c>
      <c r="I168" s="7" t="inlineStr">
        <is>
          <t>Direct Sales</t>
        </is>
      </c>
      <c r="J168" s="7" t="inlineStr">
        <is>
          <t>Corporate</t>
        </is>
      </c>
      <c r="K168" s="12" t="n">
        <v>3</v>
      </c>
      <c r="L168" s="9" t="n">
        <v>329.99</v>
      </c>
      <c r="M168" s="10" t="n">
        <v>0.05</v>
      </c>
      <c r="N168" s="9" t="n">
        <v>250.79</v>
      </c>
      <c r="O168" s="9">
        <f>K168*L168</f>
        <v/>
      </c>
      <c r="P168" s="9">
        <f>O168*M168</f>
        <v/>
      </c>
      <c r="Q168" s="9">
        <f>O168-P168</f>
        <v/>
      </c>
      <c r="R168" s="9">
        <f>K168*N168</f>
        <v/>
      </c>
      <c r="S168" s="9">
        <f>Q168-R168</f>
        <v/>
      </c>
      <c r="T168" s="10">
        <f>IFERROR(S168/Q168, 0)</f>
        <v/>
      </c>
    </row>
    <row r="169">
      <c r="A169" s="11" t="inlineStr">
        <is>
          <t>ORD-2024-1573</t>
        </is>
      </c>
      <c r="B169" s="11" t="inlineStr">
        <is>
          <t>2024-03-15</t>
        </is>
      </c>
      <c r="C169" s="11" t="inlineStr">
        <is>
          <t>TEC-ACC-005</t>
        </is>
      </c>
      <c r="D169" s="7" t="inlineStr">
        <is>
          <t>UltraWireless Noise-Canceling Headset</t>
        </is>
      </c>
      <c r="E169" s="7" t="inlineStr">
        <is>
          <t>Technology</t>
        </is>
      </c>
      <c r="F169" s="7" t="inlineStr">
        <is>
          <t>Audio &amp; Accessories</t>
        </is>
      </c>
      <c r="G169" s="7" t="inlineStr">
        <is>
          <t>East</t>
        </is>
      </c>
      <c r="H169" s="7" t="inlineStr">
        <is>
          <t>Pennsylvania</t>
        </is>
      </c>
      <c r="I169" s="7" t="inlineStr">
        <is>
          <t>Direct Sales</t>
        </is>
      </c>
      <c r="J169" s="7" t="inlineStr">
        <is>
          <t>Corporate</t>
        </is>
      </c>
      <c r="K169" s="12" t="n">
        <v>7</v>
      </c>
      <c r="L169" s="9" t="n">
        <v>179.99</v>
      </c>
      <c r="M169" s="10" t="n">
        <v>0</v>
      </c>
      <c r="N169" s="9" t="n">
        <v>111.59</v>
      </c>
      <c r="O169" s="9">
        <f>K169*L169</f>
        <v/>
      </c>
      <c r="P169" s="9">
        <f>O169*M169</f>
        <v/>
      </c>
      <c r="Q169" s="9">
        <f>O169-P169</f>
        <v/>
      </c>
      <c r="R169" s="9">
        <f>K169*N169</f>
        <v/>
      </c>
      <c r="S169" s="9">
        <f>Q169-R169</f>
        <v/>
      </c>
      <c r="T169" s="10">
        <f>IFERROR(S169/Q169, 0)</f>
        <v/>
      </c>
    </row>
    <row r="170">
      <c r="A170" s="11" t="inlineStr">
        <is>
          <t>ORD-2024-1573</t>
        </is>
      </c>
      <c r="B170" s="11" t="inlineStr">
        <is>
          <t>2024-03-15</t>
        </is>
      </c>
      <c r="C170" s="11" t="inlineStr">
        <is>
          <t>OFF-PAP-004</t>
        </is>
      </c>
      <c r="D170" s="7" t="inlineStr">
        <is>
          <t>EcoRecycled Copy Paper (5 Reams)</t>
        </is>
      </c>
      <c r="E170" s="7" t="inlineStr">
        <is>
          <t>Office Supplies</t>
        </is>
      </c>
      <c r="F170" s="7" t="inlineStr">
        <is>
          <t>Paper Products</t>
        </is>
      </c>
      <c r="G170" s="7" t="inlineStr">
        <is>
          <t>East</t>
        </is>
      </c>
      <c r="H170" s="7" t="inlineStr">
        <is>
          <t>Pennsylvania</t>
        </is>
      </c>
      <c r="I170" s="7" t="inlineStr">
        <is>
          <t>Direct Sales</t>
        </is>
      </c>
      <c r="J170" s="7" t="inlineStr">
        <is>
          <t>Corporate</t>
        </is>
      </c>
      <c r="K170" s="12" t="n">
        <v>5</v>
      </c>
      <c r="L170" s="9" t="n">
        <v>32.99</v>
      </c>
      <c r="M170" s="10" t="n">
        <v>0.1</v>
      </c>
      <c r="N170" s="9" t="n">
        <v>19.79</v>
      </c>
      <c r="O170" s="9">
        <f>K170*L170</f>
        <v/>
      </c>
      <c r="P170" s="9">
        <f>O170*M170</f>
        <v/>
      </c>
      <c r="Q170" s="9">
        <f>O170-P170</f>
        <v/>
      </c>
      <c r="R170" s="9">
        <f>K170*N170</f>
        <v/>
      </c>
      <c r="S170" s="9">
        <f>Q170-R170</f>
        <v/>
      </c>
      <c r="T170" s="10">
        <f>IFERROR(S170/Q170, 0)</f>
        <v/>
      </c>
    </row>
    <row r="171">
      <c r="A171" s="11" t="inlineStr">
        <is>
          <t>ORD-2024-1573</t>
        </is>
      </c>
      <c r="B171" s="11" t="inlineStr">
        <is>
          <t>2024-03-15</t>
        </is>
      </c>
      <c r="C171" s="11" t="inlineStr">
        <is>
          <t>TEC-ACC-006</t>
        </is>
      </c>
      <c r="D171" s="7" t="inlineStr">
        <is>
          <t>MultiPort Thunderbolt 4 Dock</t>
        </is>
      </c>
      <c r="E171" s="7" t="inlineStr">
        <is>
          <t>Technology</t>
        </is>
      </c>
      <c r="F171" s="7" t="inlineStr">
        <is>
          <t>Audio &amp; Accessories</t>
        </is>
      </c>
      <c r="G171" s="7" t="inlineStr">
        <is>
          <t>East</t>
        </is>
      </c>
      <c r="H171" s="7" t="inlineStr">
        <is>
          <t>Pennsylvania</t>
        </is>
      </c>
      <c r="I171" s="7" t="inlineStr">
        <is>
          <t>Direct Sales</t>
        </is>
      </c>
      <c r="J171" s="7" t="inlineStr">
        <is>
          <t>Corporate</t>
        </is>
      </c>
      <c r="K171" s="12" t="n">
        <v>6</v>
      </c>
      <c r="L171" s="9" t="n">
        <v>149.99</v>
      </c>
      <c r="M171" s="10" t="n">
        <v>0</v>
      </c>
      <c r="N171" s="9" t="n">
        <v>98.98999999999999</v>
      </c>
      <c r="O171" s="9">
        <f>K171*L171</f>
        <v/>
      </c>
      <c r="P171" s="9">
        <f>O171*M171</f>
        <v/>
      </c>
      <c r="Q171" s="9">
        <f>O171-P171</f>
        <v/>
      </c>
      <c r="R171" s="9">
        <f>K171*N171</f>
        <v/>
      </c>
      <c r="S171" s="9">
        <f>Q171-R171</f>
        <v/>
      </c>
      <c r="T171" s="10">
        <f>IFERROR(S171/Q171, 0)</f>
        <v/>
      </c>
    </row>
    <row r="172">
      <c r="A172" s="11" t="inlineStr">
        <is>
          <t>ORD-2024-1183</t>
        </is>
      </c>
      <c r="B172" s="11" t="inlineStr">
        <is>
          <t>2024-03-20</t>
        </is>
      </c>
      <c r="C172" s="11" t="inlineStr">
        <is>
          <t>OFF-PAP-003</t>
        </is>
      </c>
      <c r="D172" s="7" t="inlineStr">
        <is>
          <t>UltraWhite Premium Multipurpose Paper (Case)</t>
        </is>
      </c>
      <c r="E172" s="7" t="inlineStr">
        <is>
          <t>Office Supplies</t>
        </is>
      </c>
      <c r="F172" s="7" t="inlineStr">
        <is>
          <t>Paper Products</t>
        </is>
      </c>
      <c r="G172" s="7" t="inlineStr">
        <is>
          <t>Central</t>
        </is>
      </c>
      <c r="H172" s="7" t="inlineStr">
        <is>
          <t>Texas</t>
        </is>
      </c>
      <c r="I172" s="7" t="inlineStr">
        <is>
          <t>Retail Partner</t>
        </is>
      </c>
      <c r="J172" s="7" t="inlineStr">
        <is>
          <t>Corporate</t>
        </is>
      </c>
      <c r="K172" s="12" t="n">
        <v>5</v>
      </c>
      <c r="L172" s="9" t="n">
        <v>54.99</v>
      </c>
      <c r="M172" s="10" t="n">
        <v>0</v>
      </c>
      <c r="N172" s="9" t="n">
        <v>31.89</v>
      </c>
      <c r="O172" s="9">
        <f>K172*L172</f>
        <v/>
      </c>
      <c r="P172" s="9">
        <f>O172*M172</f>
        <v/>
      </c>
      <c r="Q172" s="9">
        <f>O172-P172</f>
        <v/>
      </c>
      <c r="R172" s="9">
        <f>K172*N172</f>
        <v/>
      </c>
      <c r="S172" s="9">
        <f>Q172-R172</f>
        <v/>
      </c>
      <c r="T172" s="10">
        <f>IFERROR(S172/Q172, 0)</f>
        <v/>
      </c>
    </row>
    <row r="173">
      <c r="A173" s="11" t="inlineStr">
        <is>
          <t>ORD-2024-1408</t>
        </is>
      </c>
      <c r="B173" s="11" t="inlineStr">
        <is>
          <t>2024-03-20</t>
        </is>
      </c>
      <c r="C173" s="11" t="inlineStr">
        <is>
          <t>TEC-ACC-006</t>
        </is>
      </c>
      <c r="D173" s="7" t="inlineStr">
        <is>
          <t>MultiPort Thunderbolt 4 Dock</t>
        </is>
      </c>
      <c r="E173" s="7" t="inlineStr">
        <is>
          <t>Technology</t>
        </is>
      </c>
      <c r="F173" s="7" t="inlineStr">
        <is>
          <t>Audio &amp; Accessories</t>
        </is>
      </c>
      <c r="G173" s="7" t="inlineStr">
        <is>
          <t>East</t>
        </is>
      </c>
      <c r="H173" s="7" t="inlineStr">
        <is>
          <t>New Jersey</t>
        </is>
      </c>
      <c r="I173" s="7" t="inlineStr">
        <is>
          <t>Online</t>
        </is>
      </c>
      <c r="J173" s="7" t="inlineStr">
        <is>
          <t>Corporate</t>
        </is>
      </c>
      <c r="K173" s="12" t="n">
        <v>7</v>
      </c>
      <c r="L173" s="9" t="n">
        <v>149.99</v>
      </c>
      <c r="M173" s="10" t="n">
        <v>0</v>
      </c>
      <c r="N173" s="9" t="n">
        <v>98.98999999999999</v>
      </c>
      <c r="O173" s="9">
        <f>K173*L173</f>
        <v/>
      </c>
      <c r="P173" s="9">
        <f>O173*M173</f>
        <v/>
      </c>
      <c r="Q173" s="9">
        <f>O173-P173</f>
        <v/>
      </c>
      <c r="R173" s="9">
        <f>K173*N173</f>
        <v/>
      </c>
      <c r="S173" s="9">
        <f>Q173-R173</f>
        <v/>
      </c>
      <c r="T173" s="10">
        <f>IFERROR(S173/Q173, 0)</f>
        <v/>
      </c>
    </row>
    <row r="174">
      <c r="A174" s="11" t="inlineStr">
        <is>
          <t>ORD-2024-1013</t>
        </is>
      </c>
      <c r="B174" s="11" t="inlineStr">
        <is>
          <t>2024-03-22</t>
        </is>
      </c>
      <c r="C174" s="11" t="inlineStr">
        <is>
          <t>FUR-CHA-002</t>
        </is>
      </c>
      <c r="D174" s="7" t="inlineStr">
        <is>
          <t>AeroTask Operator Task Chair</t>
        </is>
      </c>
      <c r="E174" s="7" t="inlineStr">
        <is>
          <t>Furniture</t>
        </is>
      </c>
      <c r="F174" s="7" t="inlineStr">
        <is>
          <t>Chairs</t>
        </is>
      </c>
      <c r="G174" s="7" t="inlineStr">
        <is>
          <t>South</t>
        </is>
      </c>
      <c r="H174" s="7" t="inlineStr">
        <is>
          <t>Georgia</t>
        </is>
      </c>
      <c r="I174" s="7" t="inlineStr">
        <is>
          <t>Direct Sales</t>
        </is>
      </c>
      <c r="J174" s="7" t="inlineStr">
        <is>
          <t>Consumer</t>
        </is>
      </c>
      <c r="K174" s="12" t="n">
        <v>1</v>
      </c>
      <c r="L174" s="9" t="n">
        <v>219.99</v>
      </c>
      <c r="M174" s="10" t="n">
        <v>0</v>
      </c>
      <c r="N174" s="9" t="n">
        <v>171.59</v>
      </c>
      <c r="O174" s="9">
        <f>K174*L174</f>
        <v/>
      </c>
      <c r="P174" s="9">
        <f>O174*M174</f>
        <v/>
      </c>
      <c r="Q174" s="9">
        <f>O174-P174</f>
        <v/>
      </c>
      <c r="R174" s="9">
        <f>K174*N174</f>
        <v/>
      </c>
      <c r="S174" s="9">
        <f>Q174-R174</f>
        <v/>
      </c>
      <c r="T174" s="10">
        <f>IFERROR(S174/Q174, 0)</f>
        <v/>
      </c>
    </row>
    <row r="175">
      <c r="A175" s="11" t="inlineStr">
        <is>
          <t>ORD-2024-1067</t>
        </is>
      </c>
      <c r="B175" s="11" t="inlineStr">
        <is>
          <t>2024-03-22</t>
        </is>
      </c>
      <c r="C175" s="11" t="inlineStr">
        <is>
          <t>TEC-ACC-008</t>
        </is>
      </c>
      <c r="D175" s="7" t="inlineStr">
        <is>
          <t>Precision Laser Bluetooth Mouse</t>
        </is>
      </c>
      <c r="E175" s="7" t="inlineStr">
        <is>
          <t>Technology</t>
        </is>
      </c>
      <c r="F175" s="7" t="inlineStr">
        <is>
          <t>Audio &amp; Accessories</t>
        </is>
      </c>
      <c r="G175" s="7" t="inlineStr">
        <is>
          <t>Central</t>
        </is>
      </c>
      <c r="H175" s="7" t="inlineStr">
        <is>
          <t>Ohio</t>
        </is>
      </c>
      <c r="I175" s="7" t="inlineStr">
        <is>
          <t>Direct Sales</t>
        </is>
      </c>
      <c r="J175" s="7" t="inlineStr">
        <is>
          <t>Consumer</t>
        </is>
      </c>
      <c r="K175" s="12" t="n">
        <v>3</v>
      </c>
      <c r="L175" s="9" t="n">
        <v>49.99</v>
      </c>
      <c r="M175" s="10" t="n">
        <v>0.05</v>
      </c>
      <c r="N175" s="9" t="n">
        <v>27.49</v>
      </c>
      <c r="O175" s="9">
        <f>K175*L175</f>
        <v/>
      </c>
      <c r="P175" s="9">
        <f>O175*M175</f>
        <v/>
      </c>
      <c r="Q175" s="9">
        <f>O175-P175</f>
        <v/>
      </c>
      <c r="R175" s="9">
        <f>K175*N175</f>
        <v/>
      </c>
      <c r="S175" s="9">
        <f>Q175-R175</f>
        <v/>
      </c>
      <c r="T175" s="10">
        <f>IFERROR(S175/Q175, 0)</f>
        <v/>
      </c>
    </row>
    <row r="176">
      <c r="A176" s="11" t="inlineStr">
        <is>
          <t>ORD-2024-1263</t>
        </is>
      </c>
      <c r="B176" s="11" t="inlineStr">
        <is>
          <t>2024-03-22</t>
        </is>
      </c>
      <c r="C176" s="11" t="inlineStr">
        <is>
          <t>OFF-BIN-005</t>
        </is>
      </c>
      <c r="D176" s="7" t="inlineStr">
        <is>
          <t>Heavy-Duty D-Ring Presentation Binder (6-Pk)</t>
        </is>
      </c>
      <c r="E176" s="7" t="inlineStr">
        <is>
          <t>Office Supplies</t>
        </is>
      </c>
      <c r="F176" s="7" t="inlineStr">
        <is>
          <t>Binders &amp; Fasteners</t>
        </is>
      </c>
      <c r="G176" s="7" t="inlineStr">
        <is>
          <t>Central</t>
        </is>
      </c>
      <c r="H176" s="7" t="inlineStr">
        <is>
          <t>Ohio</t>
        </is>
      </c>
      <c r="I176" s="7" t="inlineStr">
        <is>
          <t>Online</t>
        </is>
      </c>
      <c r="J176" s="7" t="inlineStr">
        <is>
          <t>Home Office</t>
        </is>
      </c>
      <c r="K176" s="12" t="n">
        <v>4</v>
      </c>
      <c r="L176" s="9" t="n">
        <v>27.99</v>
      </c>
      <c r="M176" s="10" t="n">
        <v>0.1</v>
      </c>
      <c r="N176" s="9" t="n">
        <v>13.99</v>
      </c>
      <c r="O176" s="9">
        <f>K176*L176</f>
        <v/>
      </c>
      <c r="P176" s="9">
        <f>O176*M176</f>
        <v/>
      </c>
      <c r="Q176" s="9">
        <f>O176-P176</f>
        <v/>
      </c>
      <c r="R176" s="9">
        <f>K176*N176</f>
        <v/>
      </c>
      <c r="S176" s="9">
        <f>Q176-R176</f>
        <v/>
      </c>
      <c r="T176" s="10">
        <f>IFERROR(S176/Q176, 0)</f>
        <v/>
      </c>
    </row>
    <row r="177">
      <c r="A177" s="11" t="inlineStr">
        <is>
          <t>ORD-2024-1543</t>
        </is>
      </c>
      <c r="B177" s="11" t="inlineStr">
        <is>
          <t>2024-03-22</t>
        </is>
      </c>
      <c r="C177" s="11" t="inlineStr">
        <is>
          <t>TEC-ACC-008</t>
        </is>
      </c>
      <c r="D177" s="7" t="inlineStr">
        <is>
          <t>Precision Laser Bluetooth Mouse</t>
        </is>
      </c>
      <c r="E177" s="7" t="inlineStr">
        <is>
          <t>Technology</t>
        </is>
      </c>
      <c r="F177" s="7" t="inlineStr">
        <is>
          <t>Audio &amp; Accessories</t>
        </is>
      </c>
      <c r="G177" s="7" t="inlineStr">
        <is>
          <t>East</t>
        </is>
      </c>
      <c r="H177" s="7" t="inlineStr">
        <is>
          <t>New York</t>
        </is>
      </c>
      <c r="I177" s="7" t="inlineStr">
        <is>
          <t>Retail Partner</t>
        </is>
      </c>
      <c r="J177" s="7" t="inlineStr">
        <is>
          <t>Corporate</t>
        </is>
      </c>
      <c r="K177" s="12" t="n">
        <v>7</v>
      </c>
      <c r="L177" s="9" t="n">
        <v>49.99</v>
      </c>
      <c r="M177" s="10" t="n">
        <v>0</v>
      </c>
      <c r="N177" s="9" t="n">
        <v>27.49</v>
      </c>
      <c r="O177" s="9">
        <f>K177*L177</f>
        <v/>
      </c>
      <c r="P177" s="9">
        <f>O177*M177</f>
        <v/>
      </c>
      <c r="Q177" s="9">
        <f>O177-P177</f>
        <v/>
      </c>
      <c r="R177" s="9">
        <f>K177*N177</f>
        <v/>
      </c>
      <c r="S177" s="9">
        <f>Q177-R177</f>
        <v/>
      </c>
      <c r="T177" s="10">
        <f>IFERROR(S177/Q177, 0)</f>
        <v/>
      </c>
    </row>
    <row r="178">
      <c r="A178" s="11" t="inlineStr">
        <is>
          <t>ORD-2024-1007</t>
        </is>
      </c>
      <c r="B178" s="11" t="inlineStr">
        <is>
          <t>2024-03-23</t>
        </is>
      </c>
      <c r="C178" s="11" t="inlineStr">
        <is>
          <t>FUR-DSK-003</t>
        </is>
      </c>
      <c r="D178" s="7" t="inlineStr">
        <is>
          <t>ApexMotor Dual-Motor Standing Desk</t>
        </is>
      </c>
      <c r="E178" s="7" t="inlineStr">
        <is>
          <t>Furniture</t>
        </is>
      </c>
      <c r="F178" s="7" t="inlineStr">
        <is>
          <t>Desks &amp; Workstations</t>
        </is>
      </c>
      <c r="G178" s="7" t="inlineStr">
        <is>
          <t>East</t>
        </is>
      </c>
      <c r="H178" s="7" t="inlineStr">
        <is>
          <t>New Jersey</t>
        </is>
      </c>
      <c r="I178" s="7" t="inlineStr">
        <is>
          <t>Online</t>
        </is>
      </c>
      <c r="J178" s="7" t="inlineStr">
        <is>
          <t>Home Office</t>
        </is>
      </c>
      <c r="K178" s="12" t="n">
        <v>3</v>
      </c>
      <c r="L178" s="9" t="n">
        <v>549.99</v>
      </c>
      <c r="M178" s="10" t="n">
        <v>0.05</v>
      </c>
      <c r="N178" s="9" t="n">
        <v>439.99</v>
      </c>
      <c r="O178" s="9">
        <f>K178*L178</f>
        <v/>
      </c>
      <c r="P178" s="9">
        <f>O178*M178</f>
        <v/>
      </c>
      <c r="Q178" s="9">
        <f>O178-P178</f>
        <v/>
      </c>
      <c r="R178" s="9">
        <f>K178*N178</f>
        <v/>
      </c>
      <c r="S178" s="9">
        <f>Q178-R178</f>
        <v/>
      </c>
      <c r="T178" s="10">
        <f>IFERROR(S178/Q178, 0)</f>
        <v/>
      </c>
    </row>
    <row r="179">
      <c r="A179" s="11" t="inlineStr">
        <is>
          <t>ORD-2024-1149</t>
        </is>
      </c>
      <c r="B179" s="11" t="inlineStr">
        <is>
          <t>2024-03-23</t>
        </is>
      </c>
      <c r="C179" s="11" t="inlineStr">
        <is>
          <t>TEC-TAB-004</t>
        </is>
      </c>
      <c r="D179" s="7" t="inlineStr">
        <is>
          <t>VisionPad Lite 8.5"</t>
        </is>
      </c>
      <c r="E179" s="7" t="inlineStr">
        <is>
          <t>Technology</t>
        </is>
      </c>
      <c r="F179" s="7" t="inlineStr">
        <is>
          <t>Phones &amp; Tablets</t>
        </is>
      </c>
      <c r="G179" s="7" t="inlineStr">
        <is>
          <t>South</t>
        </is>
      </c>
      <c r="H179" s="7" t="inlineStr">
        <is>
          <t>Georgia</t>
        </is>
      </c>
      <c r="I179" s="7" t="inlineStr">
        <is>
          <t>Online</t>
        </is>
      </c>
      <c r="J179" s="7" t="inlineStr">
        <is>
          <t>Consumer</t>
        </is>
      </c>
      <c r="K179" s="12" t="n">
        <v>3</v>
      </c>
      <c r="L179" s="9" t="n">
        <v>299.99</v>
      </c>
      <c r="M179" s="10" t="n">
        <v>0</v>
      </c>
      <c r="N179" s="9" t="n">
        <v>245.99</v>
      </c>
      <c r="O179" s="9">
        <f>K179*L179</f>
        <v/>
      </c>
      <c r="P179" s="9">
        <f>O179*M179</f>
        <v/>
      </c>
      <c r="Q179" s="9">
        <f>O179-P179</f>
        <v/>
      </c>
      <c r="R179" s="9">
        <f>K179*N179</f>
        <v/>
      </c>
      <c r="S179" s="9">
        <f>Q179-R179</f>
        <v/>
      </c>
      <c r="T179" s="10">
        <f>IFERROR(S179/Q179, 0)</f>
        <v/>
      </c>
    </row>
    <row r="180">
      <c r="A180" s="11" t="inlineStr">
        <is>
          <t>ORD-2024-1591</t>
        </is>
      </c>
      <c r="B180" s="11" t="inlineStr">
        <is>
          <t>2024-03-23</t>
        </is>
      </c>
      <c r="C180" s="11" t="inlineStr">
        <is>
          <t>TEC-TAB-003</t>
        </is>
      </c>
      <c r="D180" s="7" t="inlineStr">
        <is>
          <t>VisionPad Pro 11"</t>
        </is>
      </c>
      <c r="E180" s="7" t="inlineStr">
        <is>
          <t>Technology</t>
        </is>
      </c>
      <c r="F180" s="7" t="inlineStr">
        <is>
          <t>Phones &amp; Tablets</t>
        </is>
      </c>
      <c r="G180" s="7" t="inlineStr">
        <is>
          <t>Central</t>
        </is>
      </c>
      <c r="H180" s="7" t="inlineStr">
        <is>
          <t>Texas</t>
        </is>
      </c>
      <c r="I180" s="7" t="inlineStr">
        <is>
          <t>Direct Sales</t>
        </is>
      </c>
      <c r="J180" s="7" t="inlineStr">
        <is>
          <t>Consumer</t>
        </is>
      </c>
      <c r="K180" s="12" t="n">
        <v>4</v>
      </c>
      <c r="L180" s="9" t="n">
        <v>649.99</v>
      </c>
      <c r="M180" s="10" t="n">
        <v>0</v>
      </c>
      <c r="N180" s="9" t="n">
        <v>487.49</v>
      </c>
      <c r="O180" s="9">
        <f>K180*L180</f>
        <v/>
      </c>
      <c r="P180" s="9">
        <f>O180*M180</f>
        <v/>
      </c>
      <c r="Q180" s="9">
        <f>O180-P180</f>
        <v/>
      </c>
      <c r="R180" s="9">
        <f>K180*N180</f>
        <v/>
      </c>
      <c r="S180" s="9">
        <f>Q180-R180</f>
        <v/>
      </c>
      <c r="T180" s="10">
        <f>IFERROR(S180/Q180, 0)</f>
        <v/>
      </c>
    </row>
    <row r="181">
      <c r="A181" s="11" t="inlineStr">
        <is>
          <t>ORD-2024-1692</t>
        </is>
      </c>
      <c r="B181" s="11" t="inlineStr">
        <is>
          <t>2024-03-23</t>
        </is>
      </c>
      <c r="C181" s="11" t="inlineStr">
        <is>
          <t>OFF-STR-001</t>
        </is>
      </c>
      <c r="D181" s="7" t="inlineStr">
        <is>
          <t>SteelLock 3-Drawer File Cabinet</t>
        </is>
      </c>
      <c r="E181" s="7" t="inlineStr">
        <is>
          <t>Office Supplies</t>
        </is>
      </c>
      <c r="F181" s="7" t="inlineStr">
        <is>
          <t>Storage &amp; Organizers</t>
        </is>
      </c>
      <c r="G181" s="7" t="inlineStr">
        <is>
          <t>West</t>
        </is>
      </c>
      <c r="H181" s="7" t="inlineStr">
        <is>
          <t>Oregon</t>
        </is>
      </c>
      <c r="I181" s="7" t="inlineStr">
        <is>
          <t>Direct Sales</t>
        </is>
      </c>
      <c r="J181" s="7" t="inlineStr">
        <is>
          <t>Consumer</t>
        </is>
      </c>
      <c r="K181" s="12" t="n">
        <v>4</v>
      </c>
      <c r="L181" s="9" t="n">
        <v>169.99</v>
      </c>
      <c r="M181" s="10" t="n">
        <v>0.15</v>
      </c>
      <c r="N181" s="9" t="n">
        <v>115.59</v>
      </c>
      <c r="O181" s="9">
        <f>K181*L181</f>
        <v/>
      </c>
      <c r="P181" s="9">
        <f>O181*M181</f>
        <v/>
      </c>
      <c r="Q181" s="9">
        <f>O181-P181</f>
        <v/>
      </c>
      <c r="R181" s="9">
        <f>K181*N181</f>
        <v/>
      </c>
      <c r="S181" s="9">
        <f>Q181-R181</f>
        <v/>
      </c>
      <c r="T181" s="10">
        <f>IFERROR(S181/Q181, 0)</f>
        <v/>
      </c>
    </row>
    <row r="182">
      <c r="A182" s="11" t="inlineStr">
        <is>
          <t>ORD-2024-1172</t>
        </is>
      </c>
      <c r="B182" s="11" t="inlineStr">
        <is>
          <t>2024-03-24</t>
        </is>
      </c>
      <c r="C182" s="11" t="inlineStr">
        <is>
          <t>FUR-CHA-001</t>
        </is>
      </c>
      <c r="D182" s="7" t="inlineStr">
        <is>
          <t>ErgoFlex Executive Mesh Chair</t>
        </is>
      </c>
      <c r="E182" s="7" t="inlineStr">
        <is>
          <t>Furniture</t>
        </is>
      </c>
      <c r="F182" s="7" t="inlineStr">
        <is>
          <t>Chairs</t>
        </is>
      </c>
      <c r="G182" s="7" t="inlineStr">
        <is>
          <t>West</t>
        </is>
      </c>
      <c r="H182" s="7" t="inlineStr">
        <is>
          <t>Colorado</t>
        </is>
      </c>
      <c r="I182" s="7" t="inlineStr">
        <is>
          <t>Online</t>
        </is>
      </c>
      <c r="J182" s="7" t="inlineStr">
        <is>
          <t>Corporate</t>
        </is>
      </c>
      <c r="K182" s="12" t="n">
        <v>7</v>
      </c>
      <c r="L182" s="9" t="n">
        <v>389.99</v>
      </c>
      <c r="M182" s="10" t="n">
        <v>0.05</v>
      </c>
      <c r="N182" s="9" t="n">
        <v>331.49</v>
      </c>
      <c r="O182" s="9">
        <f>K182*L182</f>
        <v/>
      </c>
      <c r="P182" s="9">
        <f>O182*M182</f>
        <v/>
      </c>
      <c r="Q182" s="9">
        <f>O182-P182</f>
        <v/>
      </c>
      <c r="R182" s="9">
        <f>K182*N182</f>
        <v/>
      </c>
      <c r="S182" s="9">
        <f>Q182-R182</f>
        <v/>
      </c>
      <c r="T182" s="10">
        <f>IFERROR(S182/Q182, 0)</f>
        <v/>
      </c>
    </row>
    <row r="183">
      <c r="A183" s="11" t="inlineStr">
        <is>
          <t>ORD-2024-1272</t>
        </is>
      </c>
      <c r="B183" s="11" t="inlineStr">
        <is>
          <t>2024-03-24</t>
        </is>
      </c>
      <c r="C183" s="11" t="inlineStr">
        <is>
          <t>FUR-LGT-006</t>
        </is>
      </c>
      <c r="D183" s="7" t="inlineStr">
        <is>
          <t>Architect LED Desk Task Lamp</t>
        </is>
      </c>
      <c r="E183" s="7" t="inlineStr">
        <is>
          <t>Furniture</t>
        </is>
      </c>
      <c r="F183" s="7" t="inlineStr">
        <is>
          <t>Lighting</t>
        </is>
      </c>
      <c r="G183" s="7" t="inlineStr">
        <is>
          <t>South</t>
        </is>
      </c>
      <c r="H183" s="7" t="inlineStr">
        <is>
          <t>Georgia</t>
        </is>
      </c>
      <c r="I183" s="7" t="inlineStr">
        <is>
          <t>Direct Sales</t>
        </is>
      </c>
      <c r="J183" s="7" t="inlineStr">
        <is>
          <t>Consumer</t>
        </is>
      </c>
      <c r="K183" s="12" t="n">
        <v>1</v>
      </c>
      <c r="L183" s="9" t="n">
        <v>69.98999999999999</v>
      </c>
      <c r="M183" s="10" t="n">
        <v>0</v>
      </c>
      <c r="N183" s="9" t="n">
        <v>43.39</v>
      </c>
      <c r="O183" s="9">
        <f>K183*L183</f>
        <v/>
      </c>
      <c r="P183" s="9">
        <f>O183*M183</f>
        <v/>
      </c>
      <c r="Q183" s="9">
        <f>O183-P183</f>
        <v/>
      </c>
      <c r="R183" s="9">
        <f>K183*N183</f>
        <v/>
      </c>
      <c r="S183" s="9">
        <f>Q183-R183</f>
        <v/>
      </c>
      <c r="T183" s="10">
        <f>IFERROR(S183/Q183, 0)</f>
        <v/>
      </c>
    </row>
    <row r="184">
      <c r="A184" s="11" t="inlineStr">
        <is>
          <t>ORD-2024-1312</t>
        </is>
      </c>
      <c r="B184" s="11" t="inlineStr">
        <is>
          <t>2024-03-24</t>
        </is>
      </c>
      <c r="C184" s="11" t="inlineStr">
        <is>
          <t>TEC-TAB-003</t>
        </is>
      </c>
      <c r="D184" s="7" t="inlineStr">
        <is>
          <t>VisionPad Pro 11"</t>
        </is>
      </c>
      <c r="E184" s="7" t="inlineStr">
        <is>
          <t>Technology</t>
        </is>
      </c>
      <c r="F184" s="7" t="inlineStr">
        <is>
          <t>Phones &amp; Tablets</t>
        </is>
      </c>
      <c r="G184" s="7" t="inlineStr">
        <is>
          <t>East</t>
        </is>
      </c>
      <c r="H184" s="7" t="inlineStr">
        <is>
          <t>New York</t>
        </is>
      </c>
      <c r="I184" s="7" t="inlineStr">
        <is>
          <t>Online</t>
        </is>
      </c>
      <c r="J184" s="7" t="inlineStr">
        <is>
          <t>Corporate</t>
        </is>
      </c>
      <c r="K184" s="12" t="n">
        <v>7</v>
      </c>
      <c r="L184" s="9" t="n">
        <v>649.99</v>
      </c>
      <c r="M184" s="10" t="n">
        <v>0.15</v>
      </c>
      <c r="N184" s="9" t="n">
        <v>487.49</v>
      </c>
      <c r="O184" s="9">
        <f>K184*L184</f>
        <v/>
      </c>
      <c r="P184" s="9">
        <f>O184*M184</f>
        <v/>
      </c>
      <c r="Q184" s="9">
        <f>O184-P184</f>
        <v/>
      </c>
      <c r="R184" s="9">
        <f>K184*N184</f>
        <v/>
      </c>
      <c r="S184" s="9">
        <f>Q184-R184</f>
        <v/>
      </c>
      <c r="T184" s="10">
        <f>IFERROR(S184/Q184, 0)</f>
        <v/>
      </c>
    </row>
    <row r="185">
      <c r="A185" s="11" t="inlineStr">
        <is>
          <t>ORD-2024-1716</t>
        </is>
      </c>
      <c r="B185" s="11" t="inlineStr">
        <is>
          <t>2024-03-24</t>
        </is>
      </c>
      <c r="C185" s="11" t="inlineStr">
        <is>
          <t>FUR-DSK-004</t>
        </is>
      </c>
      <c r="D185" s="7" t="inlineStr">
        <is>
          <t>Metro Compact Corner Workstation</t>
        </is>
      </c>
      <c r="E185" s="7" t="inlineStr">
        <is>
          <t>Furniture</t>
        </is>
      </c>
      <c r="F185" s="7" t="inlineStr">
        <is>
          <t>Desks &amp; Workstations</t>
        </is>
      </c>
      <c r="G185" s="7" t="inlineStr">
        <is>
          <t>South</t>
        </is>
      </c>
      <c r="H185" s="7" t="inlineStr">
        <is>
          <t>Virginia</t>
        </is>
      </c>
      <c r="I185" s="7" t="inlineStr">
        <is>
          <t>Direct Sales</t>
        </is>
      </c>
      <c r="J185" s="7" t="inlineStr">
        <is>
          <t>Corporate</t>
        </is>
      </c>
      <c r="K185" s="12" t="n">
        <v>5</v>
      </c>
      <c r="L185" s="9" t="n">
        <v>329.99</v>
      </c>
      <c r="M185" s="10" t="n">
        <v>0.05</v>
      </c>
      <c r="N185" s="9" t="n">
        <v>250.79</v>
      </c>
      <c r="O185" s="9">
        <f>K185*L185</f>
        <v/>
      </c>
      <c r="P185" s="9">
        <f>O185*M185</f>
        <v/>
      </c>
      <c r="Q185" s="9">
        <f>O185-P185</f>
        <v/>
      </c>
      <c r="R185" s="9">
        <f>K185*N185</f>
        <v/>
      </c>
      <c r="S185" s="9">
        <f>Q185-R185</f>
        <v/>
      </c>
      <c r="T185" s="10">
        <f>IFERROR(S185/Q185, 0)</f>
        <v/>
      </c>
    </row>
    <row r="186">
      <c r="A186" s="11" t="inlineStr">
        <is>
          <t>ORD-2024-1032</t>
        </is>
      </c>
      <c r="B186" s="11" t="inlineStr">
        <is>
          <t>2024-03-25</t>
        </is>
      </c>
      <c r="C186" s="11" t="inlineStr">
        <is>
          <t>OFF-PAP-003</t>
        </is>
      </c>
      <c r="D186" s="7" t="inlineStr">
        <is>
          <t>UltraWhite Premium Multipurpose Paper (Case)</t>
        </is>
      </c>
      <c r="E186" s="7" t="inlineStr">
        <is>
          <t>Office Supplies</t>
        </is>
      </c>
      <c r="F186" s="7" t="inlineStr">
        <is>
          <t>Paper Products</t>
        </is>
      </c>
      <c r="G186" s="7" t="inlineStr">
        <is>
          <t>South</t>
        </is>
      </c>
      <c r="H186" s="7" t="inlineStr">
        <is>
          <t>Georgia</t>
        </is>
      </c>
      <c r="I186" s="7" t="inlineStr">
        <is>
          <t>Direct Sales</t>
        </is>
      </c>
      <c r="J186" s="7" t="inlineStr">
        <is>
          <t>Consumer</t>
        </is>
      </c>
      <c r="K186" s="12" t="n">
        <v>1</v>
      </c>
      <c r="L186" s="9" t="n">
        <v>54.99</v>
      </c>
      <c r="M186" s="10" t="n">
        <v>0.05</v>
      </c>
      <c r="N186" s="9" t="n">
        <v>31.89</v>
      </c>
      <c r="O186" s="9">
        <f>K186*L186</f>
        <v/>
      </c>
      <c r="P186" s="9">
        <f>O186*M186</f>
        <v/>
      </c>
      <c r="Q186" s="9">
        <f>O186-P186</f>
        <v/>
      </c>
      <c r="R186" s="9">
        <f>K186*N186</f>
        <v/>
      </c>
      <c r="S186" s="9">
        <f>Q186-R186</f>
        <v/>
      </c>
      <c r="T186" s="10">
        <f>IFERROR(S186/Q186, 0)</f>
        <v/>
      </c>
    </row>
    <row r="187">
      <c r="A187" s="11" t="inlineStr">
        <is>
          <t>ORD-2024-1146</t>
        </is>
      </c>
      <c r="B187" s="11" t="inlineStr">
        <is>
          <t>2024-03-25</t>
        </is>
      </c>
      <c r="C187" s="11" t="inlineStr">
        <is>
          <t>FUR-CHA-002</t>
        </is>
      </c>
      <c r="D187" s="7" t="inlineStr">
        <is>
          <t>AeroTask Operator Task Chair</t>
        </is>
      </c>
      <c r="E187" s="7" t="inlineStr">
        <is>
          <t>Furniture</t>
        </is>
      </c>
      <c r="F187" s="7" t="inlineStr">
        <is>
          <t>Chairs</t>
        </is>
      </c>
      <c r="G187" s="7" t="inlineStr">
        <is>
          <t>West</t>
        </is>
      </c>
      <c r="H187" s="7" t="inlineStr">
        <is>
          <t>Washington</t>
        </is>
      </c>
      <c r="I187" s="7" t="inlineStr">
        <is>
          <t>Online</t>
        </is>
      </c>
      <c r="J187" s="7" t="inlineStr">
        <is>
          <t>Home Office</t>
        </is>
      </c>
      <c r="K187" s="12" t="n">
        <v>1</v>
      </c>
      <c r="L187" s="9" t="n">
        <v>219.99</v>
      </c>
      <c r="M187" s="10" t="n">
        <v>0.05</v>
      </c>
      <c r="N187" s="9" t="n">
        <v>171.59</v>
      </c>
      <c r="O187" s="9">
        <f>K187*L187</f>
        <v/>
      </c>
      <c r="P187" s="9">
        <f>O187*M187</f>
        <v/>
      </c>
      <c r="Q187" s="9">
        <f>O187-P187</f>
        <v/>
      </c>
      <c r="R187" s="9">
        <f>K187*N187</f>
        <v/>
      </c>
      <c r="S187" s="9">
        <f>Q187-R187</f>
        <v/>
      </c>
      <c r="T187" s="10">
        <f>IFERROR(S187/Q187, 0)</f>
        <v/>
      </c>
    </row>
    <row r="188">
      <c r="A188" s="11" t="inlineStr">
        <is>
          <t>ORD-2024-1218</t>
        </is>
      </c>
      <c r="B188" s="11" t="inlineStr">
        <is>
          <t>2024-03-25</t>
        </is>
      </c>
      <c r="C188" s="11" t="inlineStr">
        <is>
          <t>FUR-DSK-003</t>
        </is>
      </c>
      <c r="D188" s="7" t="inlineStr">
        <is>
          <t>ApexMotor Dual-Motor Standing Desk</t>
        </is>
      </c>
      <c r="E188" s="7" t="inlineStr">
        <is>
          <t>Furniture</t>
        </is>
      </c>
      <c r="F188" s="7" t="inlineStr">
        <is>
          <t>Desks &amp; Workstations</t>
        </is>
      </c>
      <c r="G188" s="7" t="inlineStr">
        <is>
          <t>East</t>
        </is>
      </c>
      <c r="H188" s="7" t="inlineStr">
        <is>
          <t>New Jersey</t>
        </is>
      </c>
      <c r="I188" s="7" t="inlineStr">
        <is>
          <t>Online</t>
        </is>
      </c>
      <c r="J188" s="7" t="inlineStr">
        <is>
          <t>Home Office</t>
        </is>
      </c>
      <c r="K188" s="12" t="n">
        <v>3</v>
      </c>
      <c r="L188" s="9" t="n">
        <v>549.99</v>
      </c>
      <c r="M188" s="10" t="n">
        <v>0</v>
      </c>
      <c r="N188" s="9" t="n">
        <v>439.99</v>
      </c>
      <c r="O188" s="9">
        <f>K188*L188</f>
        <v/>
      </c>
      <c r="P188" s="9">
        <f>O188*M188</f>
        <v/>
      </c>
      <c r="Q188" s="9">
        <f>O188-P188</f>
        <v/>
      </c>
      <c r="R188" s="9">
        <f>K188*N188</f>
        <v/>
      </c>
      <c r="S188" s="9">
        <f>Q188-R188</f>
        <v/>
      </c>
      <c r="T188" s="10">
        <f>IFERROR(S188/Q188, 0)</f>
        <v/>
      </c>
    </row>
    <row r="189">
      <c r="A189" s="11" t="inlineStr">
        <is>
          <t>ORD-2024-1281</t>
        </is>
      </c>
      <c r="B189" s="11" t="inlineStr">
        <is>
          <t>2024-03-25</t>
        </is>
      </c>
      <c r="C189" s="11" t="inlineStr">
        <is>
          <t>OFF-BIN-005</t>
        </is>
      </c>
      <c r="D189" s="7" t="inlineStr">
        <is>
          <t>Heavy-Duty D-Ring Presentation Binder (6-Pk)</t>
        </is>
      </c>
      <c r="E189" s="7" t="inlineStr">
        <is>
          <t>Office Supplies</t>
        </is>
      </c>
      <c r="F189" s="7" t="inlineStr">
        <is>
          <t>Binders &amp; Fasteners</t>
        </is>
      </c>
      <c r="G189" s="7" t="inlineStr">
        <is>
          <t>Central</t>
        </is>
      </c>
      <c r="H189" s="7" t="inlineStr">
        <is>
          <t>Texas</t>
        </is>
      </c>
      <c r="I189" s="7" t="inlineStr">
        <is>
          <t>Direct Sales</t>
        </is>
      </c>
      <c r="J189" s="7" t="inlineStr">
        <is>
          <t>Corporate</t>
        </is>
      </c>
      <c r="K189" s="12" t="n">
        <v>3</v>
      </c>
      <c r="L189" s="9" t="n">
        <v>27.99</v>
      </c>
      <c r="M189" s="10" t="n">
        <v>0</v>
      </c>
      <c r="N189" s="9" t="n">
        <v>13.99</v>
      </c>
      <c r="O189" s="9">
        <f>K189*L189</f>
        <v/>
      </c>
      <c r="P189" s="9">
        <f>O189*M189</f>
        <v/>
      </c>
      <c r="Q189" s="9">
        <f>O189-P189</f>
        <v/>
      </c>
      <c r="R189" s="9">
        <f>K189*N189</f>
        <v/>
      </c>
      <c r="S189" s="9">
        <f>Q189-R189</f>
        <v/>
      </c>
      <c r="T189" s="10">
        <f>IFERROR(S189/Q189, 0)</f>
        <v/>
      </c>
    </row>
    <row r="190">
      <c r="A190" s="11" t="inlineStr">
        <is>
          <t>ORD-2024-1376</t>
        </is>
      </c>
      <c r="B190" s="11" t="inlineStr">
        <is>
          <t>2024-03-25</t>
        </is>
      </c>
      <c r="C190" s="11" t="inlineStr">
        <is>
          <t>FUR-CHA-001</t>
        </is>
      </c>
      <c r="D190" s="7" t="inlineStr">
        <is>
          <t>ErgoFlex Executive Mesh Chair</t>
        </is>
      </c>
      <c r="E190" s="7" t="inlineStr">
        <is>
          <t>Furniture</t>
        </is>
      </c>
      <c r="F190" s="7" t="inlineStr">
        <is>
          <t>Chairs</t>
        </is>
      </c>
      <c r="G190" s="7" t="inlineStr">
        <is>
          <t>East</t>
        </is>
      </c>
      <c r="H190" s="7" t="inlineStr">
        <is>
          <t>Pennsylvania</t>
        </is>
      </c>
      <c r="I190" s="7" t="inlineStr">
        <is>
          <t>Online</t>
        </is>
      </c>
      <c r="J190" s="7" t="inlineStr">
        <is>
          <t>Home Office</t>
        </is>
      </c>
      <c r="K190" s="12" t="n">
        <v>4</v>
      </c>
      <c r="L190" s="9" t="n">
        <v>389.99</v>
      </c>
      <c r="M190" s="10" t="n">
        <v>0.05</v>
      </c>
      <c r="N190" s="9" t="n">
        <v>331.49</v>
      </c>
      <c r="O190" s="9">
        <f>K190*L190</f>
        <v/>
      </c>
      <c r="P190" s="9">
        <f>O190*M190</f>
        <v/>
      </c>
      <c r="Q190" s="9">
        <f>O190-P190</f>
        <v/>
      </c>
      <c r="R190" s="9">
        <f>K190*N190</f>
        <v/>
      </c>
      <c r="S190" s="9">
        <f>Q190-R190</f>
        <v/>
      </c>
      <c r="T190" s="10">
        <f>IFERROR(S190/Q190, 0)</f>
        <v/>
      </c>
    </row>
    <row r="191">
      <c r="A191" s="11" t="inlineStr">
        <is>
          <t>ORD-2024-1547</t>
        </is>
      </c>
      <c r="B191" s="11" t="inlineStr">
        <is>
          <t>2024-03-25</t>
        </is>
      </c>
      <c r="C191" s="11" t="inlineStr">
        <is>
          <t>TEC-ACC-008</t>
        </is>
      </c>
      <c r="D191" s="7" t="inlineStr">
        <is>
          <t>Precision Laser Bluetooth Mouse</t>
        </is>
      </c>
      <c r="E191" s="7" t="inlineStr">
        <is>
          <t>Technology</t>
        </is>
      </c>
      <c r="F191" s="7" t="inlineStr">
        <is>
          <t>Audio &amp; Accessories</t>
        </is>
      </c>
      <c r="G191" s="7" t="inlineStr">
        <is>
          <t>East</t>
        </is>
      </c>
      <c r="H191" s="7" t="inlineStr">
        <is>
          <t>Massachusetts</t>
        </is>
      </c>
      <c r="I191" s="7" t="inlineStr">
        <is>
          <t>Online</t>
        </is>
      </c>
      <c r="J191" s="7" t="inlineStr">
        <is>
          <t>Home Office</t>
        </is>
      </c>
      <c r="K191" s="12" t="n">
        <v>3</v>
      </c>
      <c r="L191" s="9" t="n">
        <v>49.99</v>
      </c>
      <c r="M191" s="10" t="n">
        <v>0.05</v>
      </c>
      <c r="N191" s="9" t="n">
        <v>27.49</v>
      </c>
      <c r="O191" s="9">
        <f>K191*L191</f>
        <v/>
      </c>
      <c r="P191" s="9">
        <f>O191*M191</f>
        <v/>
      </c>
      <c r="Q191" s="9">
        <f>O191-P191</f>
        <v/>
      </c>
      <c r="R191" s="9">
        <f>K191*N191</f>
        <v/>
      </c>
      <c r="S191" s="9">
        <f>Q191-R191</f>
        <v/>
      </c>
      <c r="T191" s="10">
        <f>IFERROR(S191/Q191, 0)</f>
        <v/>
      </c>
    </row>
    <row r="192">
      <c r="A192" s="11" t="inlineStr">
        <is>
          <t>ORD-2024-1597</t>
        </is>
      </c>
      <c r="B192" s="11" t="inlineStr">
        <is>
          <t>2024-03-25</t>
        </is>
      </c>
      <c r="C192" s="11" t="inlineStr">
        <is>
          <t>TEC-TAB-003</t>
        </is>
      </c>
      <c r="D192" s="7" t="inlineStr">
        <is>
          <t>VisionPad Pro 11"</t>
        </is>
      </c>
      <c r="E192" s="7" t="inlineStr">
        <is>
          <t>Technology</t>
        </is>
      </c>
      <c r="F192" s="7" t="inlineStr">
        <is>
          <t>Phones &amp; Tablets</t>
        </is>
      </c>
      <c r="G192" s="7" t="inlineStr">
        <is>
          <t>East</t>
        </is>
      </c>
      <c r="H192" s="7" t="inlineStr">
        <is>
          <t>New Jersey</t>
        </is>
      </c>
      <c r="I192" s="7" t="inlineStr">
        <is>
          <t>Online</t>
        </is>
      </c>
      <c r="J192" s="7" t="inlineStr">
        <is>
          <t>Home Office</t>
        </is>
      </c>
      <c r="K192" s="12" t="n">
        <v>3</v>
      </c>
      <c r="L192" s="9" t="n">
        <v>649.99</v>
      </c>
      <c r="M192" s="10" t="n">
        <v>0.15</v>
      </c>
      <c r="N192" s="9" t="n">
        <v>487.49</v>
      </c>
      <c r="O192" s="9">
        <f>K192*L192</f>
        <v/>
      </c>
      <c r="P192" s="9">
        <f>O192*M192</f>
        <v/>
      </c>
      <c r="Q192" s="9">
        <f>O192-P192</f>
        <v/>
      </c>
      <c r="R192" s="9">
        <f>K192*N192</f>
        <v/>
      </c>
      <c r="S192" s="9">
        <f>Q192-R192</f>
        <v/>
      </c>
      <c r="T192" s="10">
        <f>IFERROR(S192/Q192, 0)</f>
        <v/>
      </c>
    </row>
    <row r="193">
      <c r="A193" s="11" t="inlineStr">
        <is>
          <t>ORD-2024-1597</t>
        </is>
      </c>
      <c r="B193" s="11" t="inlineStr">
        <is>
          <t>2024-03-25</t>
        </is>
      </c>
      <c r="C193" s="11" t="inlineStr">
        <is>
          <t>TEC-ACC-006</t>
        </is>
      </c>
      <c r="D193" s="7" t="inlineStr">
        <is>
          <t>MultiPort Thunderbolt 4 Dock</t>
        </is>
      </c>
      <c r="E193" s="7" t="inlineStr">
        <is>
          <t>Technology</t>
        </is>
      </c>
      <c r="F193" s="7" t="inlineStr">
        <is>
          <t>Audio &amp; Accessories</t>
        </is>
      </c>
      <c r="G193" s="7" t="inlineStr">
        <is>
          <t>East</t>
        </is>
      </c>
      <c r="H193" s="7" t="inlineStr">
        <is>
          <t>New Jersey</t>
        </is>
      </c>
      <c r="I193" s="7" t="inlineStr">
        <is>
          <t>Online</t>
        </is>
      </c>
      <c r="J193" s="7" t="inlineStr">
        <is>
          <t>Home Office</t>
        </is>
      </c>
      <c r="K193" s="12" t="n">
        <v>2</v>
      </c>
      <c r="L193" s="9" t="n">
        <v>149.99</v>
      </c>
      <c r="M193" s="10" t="n">
        <v>0</v>
      </c>
      <c r="N193" s="9" t="n">
        <v>98.98999999999999</v>
      </c>
      <c r="O193" s="9">
        <f>K193*L193</f>
        <v/>
      </c>
      <c r="P193" s="9">
        <f>O193*M193</f>
        <v/>
      </c>
      <c r="Q193" s="9">
        <f>O193-P193</f>
        <v/>
      </c>
      <c r="R193" s="9">
        <f>K193*N193</f>
        <v/>
      </c>
      <c r="S193" s="9">
        <f>Q193-R193</f>
        <v/>
      </c>
      <c r="T193" s="10">
        <f>IFERROR(S193/Q193, 0)</f>
        <v/>
      </c>
    </row>
    <row r="194">
      <c r="A194" s="11" t="inlineStr">
        <is>
          <t>ORD-2024-1050</t>
        </is>
      </c>
      <c r="B194" s="11" t="inlineStr">
        <is>
          <t>2024-03-26</t>
        </is>
      </c>
      <c r="C194" s="11" t="inlineStr">
        <is>
          <t>TEC-ACC-007</t>
        </is>
      </c>
      <c r="D194" s="7" t="inlineStr">
        <is>
          <t>ErgoMechanical Wireless Keyboard</t>
        </is>
      </c>
      <c r="E194" s="7" t="inlineStr">
        <is>
          <t>Technology</t>
        </is>
      </c>
      <c r="F194" s="7" t="inlineStr">
        <is>
          <t>Audio &amp; Accessories</t>
        </is>
      </c>
      <c r="G194" s="7" t="inlineStr">
        <is>
          <t>West</t>
        </is>
      </c>
      <c r="H194" s="7" t="inlineStr">
        <is>
          <t>Colorado</t>
        </is>
      </c>
      <c r="I194" s="7" t="inlineStr">
        <is>
          <t>Online</t>
        </is>
      </c>
      <c r="J194" s="7" t="inlineStr">
        <is>
          <t>Corporate</t>
        </is>
      </c>
      <c r="K194" s="12" t="n">
        <v>2</v>
      </c>
      <c r="L194" s="9" t="n">
        <v>109.99</v>
      </c>
      <c r="M194" s="10" t="n">
        <v>0.05</v>
      </c>
      <c r="N194" s="9" t="n">
        <v>65.98999999999999</v>
      </c>
      <c r="O194" s="9">
        <f>K194*L194</f>
        <v/>
      </c>
      <c r="P194" s="9">
        <f>O194*M194</f>
        <v/>
      </c>
      <c r="Q194" s="9">
        <f>O194-P194</f>
        <v/>
      </c>
      <c r="R194" s="9">
        <f>K194*N194</f>
        <v/>
      </c>
      <c r="S194" s="9">
        <f>Q194-R194</f>
        <v/>
      </c>
      <c r="T194" s="10">
        <f>IFERROR(S194/Q194, 0)</f>
        <v/>
      </c>
    </row>
    <row r="195">
      <c r="A195" s="11" t="inlineStr">
        <is>
          <t>ORD-2024-1506</t>
        </is>
      </c>
      <c r="B195" s="11" t="inlineStr">
        <is>
          <t>2024-03-26</t>
        </is>
      </c>
      <c r="C195" s="11" t="inlineStr">
        <is>
          <t>OFF-BIN-005</t>
        </is>
      </c>
      <c r="D195" s="7" t="inlineStr">
        <is>
          <t>Heavy-Duty D-Ring Presentation Binder (6-Pk)</t>
        </is>
      </c>
      <c r="E195" s="7" t="inlineStr">
        <is>
          <t>Office Supplies</t>
        </is>
      </c>
      <c r="F195" s="7" t="inlineStr">
        <is>
          <t>Binders &amp; Fasteners</t>
        </is>
      </c>
      <c r="G195" s="7" t="inlineStr">
        <is>
          <t>South</t>
        </is>
      </c>
      <c r="H195" s="7" t="inlineStr">
        <is>
          <t>North Carolina</t>
        </is>
      </c>
      <c r="I195" s="7" t="inlineStr">
        <is>
          <t>Online</t>
        </is>
      </c>
      <c r="J195" s="7" t="inlineStr">
        <is>
          <t>Consumer</t>
        </is>
      </c>
      <c r="K195" s="12" t="n">
        <v>2</v>
      </c>
      <c r="L195" s="9" t="n">
        <v>27.99</v>
      </c>
      <c r="M195" s="10" t="n">
        <v>0</v>
      </c>
      <c r="N195" s="9" t="n">
        <v>13.99</v>
      </c>
      <c r="O195" s="9">
        <f>K195*L195</f>
        <v/>
      </c>
      <c r="P195" s="9">
        <f>O195*M195</f>
        <v/>
      </c>
      <c r="Q195" s="9">
        <f>O195-P195</f>
        <v/>
      </c>
      <c r="R195" s="9">
        <f>K195*N195</f>
        <v/>
      </c>
      <c r="S195" s="9">
        <f>Q195-R195</f>
        <v/>
      </c>
      <c r="T195" s="10">
        <f>IFERROR(S195/Q195, 0)</f>
        <v/>
      </c>
    </row>
    <row r="196">
      <c r="A196" s="11" t="inlineStr">
        <is>
          <t>ORD-2024-1586</t>
        </is>
      </c>
      <c r="B196" s="11" t="inlineStr">
        <is>
          <t>2024-03-26</t>
        </is>
      </c>
      <c r="C196" s="11" t="inlineStr">
        <is>
          <t>TEC-TAB-003</t>
        </is>
      </c>
      <c r="D196" s="7" t="inlineStr">
        <is>
          <t>VisionPad Pro 11"</t>
        </is>
      </c>
      <c r="E196" s="7" t="inlineStr">
        <is>
          <t>Technology</t>
        </is>
      </c>
      <c r="F196" s="7" t="inlineStr">
        <is>
          <t>Phones &amp; Tablets</t>
        </is>
      </c>
      <c r="G196" s="7" t="inlineStr">
        <is>
          <t>East</t>
        </is>
      </c>
      <c r="H196" s="7" t="inlineStr">
        <is>
          <t>New Jersey</t>
        </is>
      </c>
      <c r="I196" s="7" t="inlineStr">
        <is>
          <t>Online</t>
        </is>
      </c>
      <c r="J196" s="7" t="inlineStr">
        <is>
          <t>Home Office</t>
        </is>
      </c>
      <c r="K196" s="12" t="n">
        <v>3</v>
      </c>
      <c r="L196" s="9" t="n">
        <v>649.99</v>
      </c>
      <c r="M196" s="10" t="n">
        <v>0</v>
      </c>
      <c r="N196" s="9" t="n">
        <v>487.49</v>
      </c>
      <c r="O196" s="9">
        <f>K196*L196</f>
        <v/>
      </c>
      <c r="P196" s="9">
        <f>O196*M196</f>
        <v/>
      </c>
      <c r="Q196" s="9">
        <f>O196-P196</f>
        <v/>
      </c>
      <c r="R196" s="9">
        <f>K196*N196</f>
        <v/>
      </c>
      <c r="S196" s="9">
        <f>Q196-R196</f>
        <v/>
      </c>
      <c r="T196" s="10">
        <f>IFERROR(S196/Q196, 0)</f>
        <v/>
      </c>
    </row>
    <row r="197">
      <c r="A197" s="11" t="inlineStr">
        <is>
          <t>ORD-2024-1264</t>
        </is>
      </c>
      <c r="B197" s="11" t="inlineStr">
        <is>
          <t>2024-03-27</t>
        </is>
      </c>
      <c r="C197" s="11" t="inlineStr">
        <is>
          <t>TEC-TAB-004</t>
        </is>
      </c>
      <c r="D197" s="7" t="inlineStr">
        <is>
          <t>VisionPad Lite 8.5"</t>
        </is>
      </c>
      <c r="E197" s="7" t="inlineStr">
        <is>
          <t>Technology</t>
        </is>
      </c>
      <c r="F197" s="7" t="inlineStr">
        <is>
          <t>Phones &amp; Tablets</t>
        </is>
      </c>
      <c r="G197" s="7" t="inlineStr">
        <is>
          <t>South</t>
        </is>
      </c>
      <c r="H197" s="7" t="inlineStr">
        <is>
          <t>North Carolina</t>
        </is>
      </c>
      <c r="I197" s="7" t="inlineStr">
        <is>
          <t>Wholesale</t>
        </is>
      </c>
      <c r="J197" s="7" t="inlineStr">
        <is>
          <t>Corporate</t>
        </is>
      </c>
      <c r="K197" s="12" t="n">
        <v>15</v>
      </c>
      <c r="L197" s="9" t="n">
        <v>299.99</v>
      </c>
      <c r="M197" s="10" t="n">
        <v>0.15</v>
      </c>
      <c r="N197" s="9" t="n">
        <v>245.99</v>
      </c>
      <c r="O197" s="9">
        <f>K197*L197</f>
        <v/>
      </c>
      <c r="P197" s="9">
        <f>O197*M197</f>
        <v/>
      </c>
      <c r="Q197" s="9">
        <f>O197-P197</f>
        <v/>
      </c>
      <c r="R197" s="9">
        <f>K197*N197</f>
        <v/>
      </c>
      <c r="S197" s="9">
        <f>Q197-R197</f>
        <v/>
      </c>
      <c r="T197" s="10">
        <f>IFERROR(S197/Q197, 0)</f>
        <v/>
      </c>
    </row>
    <row r="198">
      <c r="A198" s="11" t="inlineStr">
        <is>
          <t>ORD-2024-1150</t>
        </is>
      </c>
      <c r="B198" s="11" t="inlineStr">
        <is>
          <t>2024-03-28</t>
        </is>
      </c>
      <c r="C198" s="11" t="inlineStr">
        <is>
          <t>OFF-BIN-005</t>
        </is>
      </c>
      <c r="D198" s="7" t="inlineStr">
        <is>
          <t>Heavy-Duty D-Ring Presentation Binder (6-Pk)</t>
        </is>
      </c>
      <c r="E198" s="7" t="inlineStr">
        <is>
          <t>Office Supplies</t>
        </is>
      </c>
      <c r="F198" s="7" t="inlineStr">
        <is>
          <t>Binders &amp; Fasteners</t>
        </is>
      </c>
      <c r="G198" s="7" t="inlineStr">
        <is>
          <t>Central</t>
        </is>
      </c>
      <c r="H198" s="7" t="inlineStr">
        <is>
          <t>Illinois</t>
        </is>
      </c>
      <c r="I198" s="7" t="inlineStr">
        <is>
          <t>Online</t>
        </is>
      </c>
      <c r="J198" s="7" t="inlineStr">
        <is>
          <t>Corporate</t>
        </is>
      </c>
      <c r="K198" s="12" t="n">
        <v>8</v>
      </c>
      <c r="L198" s="9" t="n">
        <v>27.99</v>
      </c>
      <c r="M198" s="10" t="n">
        <v>0</v>
      </c>
      <c r="N198" s="9" t="n">
        <v>13.99</v>
      </c>
      <c r="O198" s="9">
        <f>K198*L198</f>
        <v/>
      </c>
      <c r="P198" s="9">
        <f>O198*M198</f>
        <v/>
      </c>
      <c r="Q198" s="9">
        <f>O198-P198</f>
        <v/>
      </c>
      <c r="R198" s="9">
        <f>K198*N198</f>
        <v/>
      </c>
      <c r="S198" s="9">
        <f>Q198-R198</f>
        <v/>
      </c>
      <c r="T198" s="10">
        <f>IFERROR(S198/Q198, 0)</f>
        <v/>
      </c>
    </row>
    <row r="199">
      <c r="A199" s="11" t="inlineStr">
        <is>
          <t>ORD-2024-1195</t>
        </is>
      </c>
      <c r="B199" s="11" t="inlineStr">
        <is>
          <t>2024-03-29</t>
        </is>
      </c>
      <c r="C199" s="11" t="inlineStr">
        <is>
          <t>FUR-DSK-003</t>
        </is>
      </c>
      <c r="D199" s="7" t="inlineStr">
        <is>
          <t>ApexMotor Dual-Motor Standing Desk</t>
        </is>
      </c>
      <c r="E199" s="7" t="inlineStr">
        <is>
          <t>Furniture</t>
        </is>
      </c>
      <c r="F199" s="7" t="inlineStr">
        <is>
          <t>Desks &amp; Workstations</t>
        </is>
      </c>
      <c r="G199" s="7" t="inlineStr">
        <is>
          <t>West</t>
        </is>
      </c>
      <c r="H199" s="7" t="inlineStr">
        <is>
          <t>Colorado</t>
        </is>
      </c>
      <c r="I199" s="7" t="inlineStr">
        <is>
          <t>Wholesale</t>
        </is>
      </c>
      <c r="J199" s="7" t="inlineStr">
        <is>
          <t>Corporate</t>
        </is>
      </c>
      <c r="K199" s="12" t="n">
        <v>14</v>
      </c>
      <c r="L199" s="9" t="n">
        <v>549.99</v>
      </c>
      <c r="M199" s="10" t="n">
        <v>0.15</v>
      </c>
      <c r="N199" s="9" t="n">
        <v>439.99</v>
      </c>
      <c r="O199" s="9">
        <f>K199*L199</f>
        <v/>
      </c>
      <c r="P199" s="9">
        <f>O199*M199</f>
        <v/>
      </c>
      <c r="Q199" s="9">
        <f>O199-P199</f>
        <v/>
      </c>
      <c r="R199" s="9">
        <f>K199*N199</f>
        <v/>
      </c>
      <c r="S199" s="9">
        <f>Q199-R199</f>
        <v/>
      </c>
      <c r="T199" s="10">
        <f>IFERROR(S199/Q199, 0)</f>
        <v/>
      </c>
    </row>
    <row r="200">
      <c r="A200" s="11" t="inlineStr">
        <is>
          <t>ORD-2024-1195</t>
        </is>
      </c>
      <c r="B200" s="11" t="inlineStr">
        <is>
          <t>2024-03-29</t>
        </is>
      </c>
      <c r="C200" s="11" t="inlineStr">
        <is>
          <t>FUR-CHA-001</t>
        </is>
      </c>
      <c r="D200" s="7" t="inlineStr">
        <is>
          <t>ErgoFlex Executive Mesh Chair</t>
        </is>
      </c>
      <c r="E200" s="7" t="inlineStr">
        <is>
          <t>Furniture</t>
        </is>
      </c>
      <c r="F200" s="7" t="inlineStr">
        <is>
          <t>Chairs</t>
        </is>
      </c>
      <c r="G200" s="7" t="inlineStr">
        <is>
          <t>West</t>
        </is>
      </c>
      <c r="H200" s="7" t="inlineStr">
        <is>
          <t>Colorado</t>
        </is>
      </c>
      <c r="I200" s="7" t="inlineStr">
        <is>
          <t>Wholesale</t>
        </is>
      </c>
      <c r="J200" s="7" t="inlineStr">
        <is>
          <t>Corporate</t>
        </is>
      </c>
      <c r="K200" s="12" t="n">
        <v>5</v>
      </c>
      <c r="L200" s="9" t="n">
        <v>389.99</v>
      </c>
      <c r="M200" s="10" t="n">
        <v>0.05</v>
      </c>
      <c r="N200" s="9" t="n">
        <v>331.49</v>
      </c>
      <c r="O200" s="9">
        <f>K200*L200</f>
        <v/>
      </c>
      <c r="P200" s="9">
        <f>O200*M200</f>
        <v/>
      </c>
      <c r="Q200" s="9">
        <f>O200-P200</f>
        <v/>
      </c>
      <c r="R200" s="9">
        <f>K200*N200</f>
        <v/>
      </c>
      <c r="S200" s="9">
        <f>Q200-R200</f>
        <v/>
      </c>
      <c r="T200" s="10">
        <f>IFERROR(S200/Q200, 0)</f>
        <v/>
      </c>
    </row>
    <row r="201">
      <c r="A201" s="11" t="inlineStr">
        <is>
          <t>ORD-2024-1011</t>
        </is>
      </c>
      <c r="B201" s="11" t="inlineStr">
        <is>
          <t>2024-03-30</t>
        </is>
      </c>
      <c r="C201" s="11" t="inlineStr">
        <is>
          <t>TEC-TAB-003</t>
        </is>
      </c>
      <c r="D201" s="7" t="inlineStr">
        <is>
          <t>VisionPad Pro 11"</t>
        </is>
      </c>
      <c r="E201" s="7" t="inlineStr">
        <is>
          <t>Technology</t>
        </is>
      </c>
      <c r="F201" s="7" t="inlineStr">
        <is>
          <t>Phones &amp; Tablets</t>
        </is>
      </c>
      <c r="G201" s="7" t="inlineStr">
        <is>
          <t>Central</t>
        </is>
      </c>
      <c r="H201" s="7" t="inlineStr">
        <is>
          <t>Michigan</t>
        </is>
      </c>
      <c r="I201" s="7" t="inlineStr">
        <is>
          <t>Online</t>
        </is>
      </c>
      <c r="J201" s="7" t="inlineStr">
        <is>
          <t>Home Office</t>
        </is>
      </c>
      <c r="K201" s="12" t="n">
        <v>3</v>
      </c>
      <c r="L201" s="9" t="n">
        <v>649.99</v>
      </c>
      <c r="M201" s="10" t="n">
        <v>0</v>
      </c>
      <c r="N201" s="9" t="n">
        <v>487.49</v>
      </c>
      <c r="O201" s="9">
        <f>K201*L201</f>
        <v/>
      </c>
      <c r="P201" s="9">
        <f>O201*M201</f>
        <v/>
      </c>
      <c r="Q201" s="9">
        <f>O201-P201</f>
        <v/>
      </c>
      <c r="R201" s="9">
        <f>K201*N201</f>
        <v/>
      </c>
      <c r="S201" s="9">
        <f>Q201-R201</f>
        <v/>
      </c>
      <c r="T201" s="10">
        <f>IFERROR(S201/Q201, 0)</f>
        <v/>
      </c>
    </row>
    <row r="202">
      <c r="A202" s="11" t="inlineStr">
        <is>
          <t>ORD-2024-1011</t>
        </is>
      </c>
      <c r="B202" s="11" t="inlineStr">
        <is>
          <t>2024-03-30</t>
        </is>
      </c>
      <c r="C202" s="11" t="inlineStr">
        <is>
          <t>OFF-DSK-007</t>
        </is>
      </c>
      <c r="D202" s="7" t="inlineStr">
        <is>
          <t>Gel Ergo Mouse Pad &amp; Wrist Rest Combo</t>
        </is>
      </c>
      <c r="E202" s="7" t="inlineStr">
        <is>
          <t>Office Supplies</t>
        </is>
      </c>
      <c r="F202" s="7" t="inlineStr">
        <is>
          <t>Desk Supplies</t>
        </is>
      </c>
      <c r="G202" s="7" t="inlineStr">
        <is>
          <t>Central</t>
        </is>
      </c>
      <c r="H202" s="7" t="inlineStr">
        <is>
          <t>Michigan</t>
        </is>
      </c>
      <c r="I202" s="7" t="inlineStr">
        <is>
          <t>Online</t>
        </is>
      </c>
      <c r="J202" s="7" t="inlineStr">
        <is>
          <t>Home Office</t>
        </is>
      </c>
      <c r="K202" s="12" t="n">
        <v>3</v>
      </c>
      <c r="L202" s="9" t="n">
        <v>21.99</v>
      </c>
      <c r="M202" s="10" t="n">
        <v>0</v>
      </c>
      <c r="N202" s="9" t="n">
        <v>10.56</v>
      </c>
      <c r="O202" s="9">
        <f>K202*L202</f>
        <v/>
      </c>
      <c r="P202" s="9">
        <f>O202*M202</f>
        <v/>
      </c>
      <c r="Q202" s="9">
        <f>O202-P202</f>
        <v/>
      </c>
      <c r="R202" s="9">
        <f>K202*N202</f>
        <v/>
      </c>
      <c r="S202" s="9">
        <f>Q202-R202</f>
        <v/>
      </c>
      <c r="T202" s="10">
        <f>IFERROR(S202/Q202, 0)</f>
        <v/>
      </c>
    </row>
    <row r="203">
      <c r="A203" s="11" t="inlineStr">
        <is>
          <t>ORD-2024-1094</t>
        </is>
      </c>
      <c r="B203" s="11" t="inlineStr">
        <is>
          <t>2024-03-31</t>
        </is>
      </c>
      <c r="C203" s="11" t="inlineStr">
        <is>
          <t>TEC-TAB-004</t>
        </is>
      </c>
      <c r="D203" s="7" t="inlineStr">
        <is>
          <t>VisionPad Lite 8.5"</t>
        </is>
      </c>
      <c r="E203" s="7" t="inlineStr">
        <is>
          <t>Technology</t>
        </is>
      </c>
      <c r="F203" s="7" t="inlineStr">
        <is>
          <t>Phones &amp; Tablets</t>
        </is>
      </c>
      <c r="G203" s="7" t="inlineStr">
        <is>
          <t>East</t>
        </is>
      </c>
      <c r="H203" s="7" t="inlineStr">
        <is>
          <t>New York</t>
        </is>
      </c>
      <c r="I203" s="7" t="inlineStr">
        <is>
          <t>Online</t>
        </is>
      </c>
      <c r="J203" s="7" t="inlineStr">
        <is>
          <t>Consumer</t>
        </is>
      </c>
      <c r="K203" s="12" t="n">
        <v>3</v>
      </c>
      <c r="L203" s="9" t="n">
        <v>299.99</v>
      </c>
      <c r="M203" s="10" t="n">
        <v>0.05</v>
      </c>
      <c r="N203" s="9" t="n">
        <v>245.99</v>
      </c>
      <c r="O203" s="9">
        <f>K203*L203</f>
        <v/>
      </c>
      <c r="P203" s="9">
        <f>O203*M203</f>
        <v/>
      </c>
      <c r="Q203" s="9">
        <f>O203-P203</f>
        <v/>
      </c>
      <c r="R203" s="9">
        <f>K203*N203</f>
        <v/>
      </c>
      <c r="S203" s="9">
        <f>Q203-R203</f>
        <v/>
      </c>
      <c r="T203" s="10">
        <f>IFERROR(S203/Q203, 0)</f>
        <v/>
      </c>
    </row>
    <row r="204">
      <c r="A204" s="11" t="inlineStr">
        <is>
          <t>ORD-2024-1268</t>
        </is>
      </c>
      <c r="B204" s="11" t="inlineStr">
        <is>
          <t>2024-03-31</t>
        </is>
      </c>
      <c r="C204" s="11" t="inlineStr">
        <is>
          <t>FUR-CHA-002</t>
        </is>
      </c>
      <c r="D204" s="7" t="inlineStr">
        <is>
          <t>AeroTask Operator Task Chair</t>
        </is>
      </c>
      <c r="E204" s="7" t="inlineStr">
        <is>
          <t>Furniture</t>
        </is>
      </c>
      <c r="F204" s="7" t="inlineStr">
        <is>
          <t>Chairs</t>
        </is>
      </c>
      <c r="G204" s="7" t="inlineStr">
        <is>
          <t>West</t>
        </is>
      </c>
      <c r="H204" s="7" t="inlineStr">
        <is>
          <t>California</t>
        </is>
      </c>
      <c r="I204" s="7" t="inlineStr">
        <is>
          <t>Retail Partner</t>
        </is>
      </c>
      <c r="J204" s="7" t="inlineStr">
        <is>
          <t>Corporate</t>
        </is>
      </c>
      <c r="K204" s="12" t="n">
        <v>5</v>
      </c>
      <c r="L204" s="9" t="n">
        <v>219.99</v>
      </c>
      <c r="M204" s="10" t="n">
        <v>0.15</v>
      </c>
      <c r="N204" s="9" t="n">
        <v>171.59</v>
      </c>
      <c r="O204" s="9">
        <f>K204*L204</f>
        <v/>
      </c>
      <c r="P204" s="9">
        <f>O204*M204</f>
        <v/>
      </c>
      <c r="Q204" s="9">
        <f>O204-P204</f>
        <v/>
      </c>
      <c r="R204" s="9">
        <f>K204*N204</f>
        <v/>
      </c>
      <c r="S204" s="9">
        <f>Q204-R204</f>
        <v/>
      </c>
      <c r="T204" s="10">
        <f>IFERROR(S204/Q204, 0)</f>
        <v/>
      </c>
    </row>
    <row r="205">
      <c r="A205" s="11" t="inlineStr">
        <is>
          <t>ORD-2024-1325</t>
        </is>
      </c>
      <c r="B205" s="11" t="inlineStr">
        <is>
          <t>2024-04-01</t>
        </is>
      </c>
      <c r="C205" s="11" t="inlineStr">
        <is>
          <t>TEC-TAB-003</t>
        </is>
      </c>
      <c r="D205" s="7" t="inlineStr">
        <is>
          <t>VisionPad Pro 11"</t>
        </is>
      </c>
      <c r="E205" s="7" t="inlineStr">
        <is>
          <t>Technology</t>
        </is>
      </c>
      <c r="F205" s="7" t="inlineStr">
        <is>
          <t>Phones &amp; Tablets</t>
        </is>
      </c>
      <c r="G205" s="7" t="inlineStr">
        <is>
          <t>East</t>
        </is>
      </c>
      <c r="H205" s="7" t="inlineStr">
        <is>
          <t>New Jersey</t>
        </is>
      </c>
      <c r="I205" s="7" t="inlineStr">
        <is>
          <t>Wholesale</t>
        </is>
      </c>
      <c r="J205" s="7" t="inlineStr">
        <is>
          <t>Corporate</t>
        </is>
      </c>
      <c r="K205" s="12" t="n">
        <v>10</v>
      </c>
      <c r="L205" s="9" t="n">
        <v>649.99</v>
      </c>
      <c r="M205" s="10" t="n">
        <v>0.1</v>
      </c>
      <c r="N205" s="9" t="n">
        <v>487.49</v>
      </c>
      <c r="O205" s="9">
        <f>K205*L205</f>
        <v/>
      </c>
      <c r="P205" s="9">
        <f>O205*M205</f>
        <v/>
      </c>
      <c r="Q205" s="9">
        <f>O205-P205</f>
        <v/>
      </c>
      <c r="R205" s="9">
        <f>K205*N205</f>
        <v/>
      </c>
      <c r="S205" s="9">
        <f>Q205-R205</f>
        <v/>
      </c>
      <c r="T205" s="10">
        <f>IFERROR(S205/Q205, 0)</f>
        <v/>
      </c>
    </row>
    <row r="206">
      <c r="A206" s="11" t="inlineStr">
        <is>
          <t>ORD-2024-1003</t>
        </is>
      </c>
      <c r="B206" s="11" t="inlineStr">
        <is>
          <t>2024-04-02</t>
        </is>
      </c>
      <c r="C206" s="11" t="inlineStr">
        <is>
          <t>TEC-TAB-003</t>
        </is>
      </c>
      <c r="D206" s="7" t="inlineStr">
        <is>
          <t>VisionPad Pro 11"</t>
        </is>
      </c>
      <c r="E206" s="7" t="inlineStr">
        <is>
          <t>Technology</t>
        </is>
      </c>
      <c r="F206" s="7" t="inlineStr">
        <is>
          <t>Phones &amp; Tablets</t>
        </is>
      </c>
      <c r="G206" s="7" t="inlineStr">
        <is>
          <t>West</t>
        </is>
      </c>
      <c r="H206" s="7" t="inlineStr">
        <is>
          <t>California</t>
        </is>
      </c>
      <c r="I206" s="7" t="inlineStr">
        <is>
          <t>Direct Sales</t>
        </is>
      </c>
      <c r="J206" s="7" t="inlineStr">
        <is>
          <t>Consumer</t>
        </is>
      </c>
      <c r="K206" s="12" t="n">
        <v>2</v>
      </c>
      <c r="L206" s="9" t="n">
        <v>649.99</v>
      </c>
      <c r="M206" s="10" t="n">
        <v>0.05</v>
      </c>
      <c r="N206" s="9" t="n">
        <v>487.49</v>
      </c>
      <c r="O206" s="9">
        <f>K206*L206</f>
        <v/>
      </c>
      <c r="P206" s="9">
        <f>O206*M206</f>
        <v/>
      </c>
      <c r="Q206" s="9">
        <f>O206-P206</f>
        <v/>
      </c>
      <c r="R206" s="9">
        <f>K206*N206</f>
        <v/>
      </c>
      <c r="S206" s="9">
        <f>Q206-R206</f>
        <v/>
      </c>
      <c r="T206" s="10">
        <f>IFERROR(S206/Q206, 0)</f>
        <v/>
      </c>
    </row>
    <row r="207">
      <c r="A207" s="11" t="inlineStr">
        <is>
          <t>ORD-2024-1255</t>
        </is>
      </c>
      <c r="B207" s="11" t="inlineStr">
        <is>
          <t>2024-04-02</t>
        </is>
      </c>
      <c r="C207" s="11" t="inlineStr">
        <is>
          <t>TEC-ACC-005</t>
        </is>
      </c>
      <c r="D207" s="7" t="inlineStr">
        <is>
          <t>UltraWireless Noise-Canceling Headset</t>
        </is>
      </c>
      <c r="E207" s="7" t="inlineStr">
        <is>
          <t>Technology</t>
        </is>
      </c>
      <c r="F207" s="7" t="inlineStr">
        <is>
          <t>Audio &amp; Accessories</t>
        </is>
      </c>
      <c r="G207" s="7" t="inlineStr">
        <is>
          <t>East</t>
        </is>
      </c>
      <c r="H207" s="7" t="inlineStr">
        <is>
          <t>Massachusetts</t>
        </is>
      </c>
      <c r="I207" s="7" t="inlineStr">
        <is>
          <t>Online</t>
        </is>
      </c>
      <c r="J207" s="7" t="inlineStr">
        <is>
          <t>Corporate</t>
        </is>
      </c>
      <c r="K207" s="12" t="n">
        <v>2</v>
      </c>
      <c r="L207" s="9" t="n">
        <v>179.99</v>
      </c>
      <c r="M207" s="10" t="n">
        <v>0</v>
      </c>
      <c r="N207" s="9" t="n">
        <v>111.59</v>
      </c>
      <c r="O207" s="9">
        <f>K207*L207</f>
        <v/>
      </c>
      <c r="P207" s="9">
        <f>O207*M207</f>
        <v/>
      </c>
      <c r="Q207" s="9">
        <f>O207-P207</f>
        <v/>
      </c>
      <c r="R207" s="9">
        <f>K207*N207</f>
        <v/>
      </c>
      <c r="S207" s="9">
        <f>Q207-R207</f>
        <v/>
      </c>
      <c r="T207" s="10">
        <f>IFERROR(S207/Q207, 0)</f>
        <v/>
      </c>
    </row>
    <row r="208">
      <c r="A208" s="11" t="inlineStr">
        <is>
          <t>ORD-2024-1255</t>
        </is>
      </c>
      <c r="B208" s="11" t="inlineStr">
        <is>
          <t>2024-04-02</t>
        </is>
      </c>
      <c r="C208" s="11" t="inlineStr">
        <is>
          <t>FUR-CHA-002</t>
        </is>
      </c>
      <c r="D208" s="7" t="inlineStr">
        <is>
          <t>AeroTask Operator Task Chair</t>
        </is>
      </c>
      <c r="E208" s="7" t="inlineStr">
        <is>
          <t>Furniture</t>
        </is>
      </c>
      <c r="F208" s="7" t="inlineStr">
        <is>
          <t>Chairs</t>
        </is>
      </c>
      <c r="G208" s="7" t="inlineStr">
        <is>
          <t>East</t>
        </is>
      </c>
      <c r="H208" s="7" t="inlineStr">
        <is>
          <t>Massachusetts</t>
        </is>
      </c>
      <c r="I208" s="7" t="inlineStr">
        <is>
          <t>Online</t>
        </is>
      </c>
      <c r="J208" s="7" t="inlineStr">
        <is>
          <t>Corporate</t>
        </is>
      </c>
      <c r="K208" s="12" t="n">
        <v>4</v>
      </c>
      <c r="L208" s="9" t="n">
        <v>219.99</v>
      </c>
      <c r="M208" s="10" t="n">
        <v>0.05</v>
      </c>
      <c r="N208" s="9" t="n">
        <v>171.59</v>
      </c>
      <c r="O208" s="9">
        <f>K208*L208</f>
        <v/>
      </c>
      <c r="P208" s="9">
        <f>O208*M208</f>
        <v/>
      </c>
      <c r="Q208" s="9">
        <f>O208-P208</f>
        <v/>
      </c>
      <c r="R208" s="9">
        <f>K208*N208</f>
        <v/>
      </c>
      <c r="S208" s="9">
        <f>Q208-R208</f>
        <v/>
      </c>
      <c r="T208" s="10">
        <f>IFERROR(S208/Q208, 0)</f>
        <v/>
      </c>
    </row>
    <row r="209">
      <c r="A209" s="11" t="inlineStr">
        <is>
          <t>ORD-2024-1508</t>
        </is>
      </c>
      <c r="B209" s="11" t="inlineStr">
        <is>
          <t>2024-04-03</t>
        </is>
      </c>
      <c r="C209" s="11" t="inlineStr">
        <is>
          <t>OFF-DSK-008</t>
        </is>
      </c>
      <c r="D209" s="7" t="inlineStr">
        <is>
          <t>Steel Desktop Mesh Organizer Caddy</t>
        </is>
      </c>
      <c r="E209" s="7" t="inlineStr">
        <is>
          <t>Office Supplies</t>
        </is>
      </c>
      <c r="F209" s="7" t="inlineStr">
        <is>
          <t>Desk Supplies</t>
        </is>
      </c>
      <c r="G209" s="7" t="inlineStr">
        <is>
          <t>South</t>
        </is>
      </c>
      <c r="H209" s="7" t="inlineStr">
        <is>
          <t>Virginia</t>
        </is>
      </c>
      <c r="I209" s="7" t="inlineStr">
        <is>
          <t>Direct Sales</t>
        </is>
      </c>
      <c r="J209" s="7" t="inlineStr">
        <is>
          <t>Corporate</t>
        </is>
      </c>
      <c r="K209" s="12" t="n">
        <v>2</v>
      </c>
      <c r="L209" s="9" t="n">
        <v>18.99</v>
      </c>
      <c r="M209" s="10" t="n">
        <v>0</v>
      </c>
      <c r="N209" s="9" t="n">
        <v>8.550000000000001</v>
      </c>
      <c r="O209" s="9">
        <f>K209*L209</f>
        <v/>
      </c>
      <c r="P209" s="9">
        <f>O209*M209</f>
        <v/>
      </c>
      <c r="Q209" s="9">
        <f>O209-P209</f>
        <v/>
      </c>
      <c r="R209" s="9">
        <f>K209*N209</f>
        <v/>
      </c>
      <c r="S209" s="9">
        <f>Q209-R209</f>
        <v/>
      </c>
      <c r="T209" s="10">
        <f>IFERROR(S209/Q209, 0)</f>
        <v/>
      </c>
    </row>
    <row r="210">
      <c r="A210" s="11" t="inlineStr">
        <is>
          <t>ORD-2024-1203</t>
        </is>
      </c>
      <c r="B210" s="11" t="inlineStr">
        <is>
          <t>2024-04-04</t>
        </is>
      </c>
      <c r="C210" s="11" t="inlineStr">
        <is>
          <t>FUR-DSK-003</t>
        </is>
      </c>
      <c r="D210" s="7" t="inlineStr">
        <is>
          <t>ApexMotor Dual-Motor Standing Desk</t>
        </is>
      </c>
      <c r="E210" s="7" t="inlineStr">
        <is>
          <t>Furniture</t>
        </is>
      </c>
      <c r="F210" s="7" t="inlineStr">
        <is>
          <t>Desks &amp; Workstations</t>
        </is>
      </c>
      <c r="G210" s="7" t="inlineStr">
        <is>
          <t>West</t>
        </is>
      </c>
      <c r="H210" s="7" t="inlineStr">
        <is>
          <t>Washington</t>
        </is>
      </c>
      <c r="I210" s="7" t="inlineStr">
        <is>
          <t>Online</t>
        </is>
      </c>
      <c r="J210" s="7" t="inlineStr">
        <is>
          <t>Corporate</t>
        </is>
      </c>
      <c r="K210" s="12" t="n">
        <v>5</v>
      </c>
      <c r="L210" s="9" t="n">
        <v>549.99</v>
      </c>
      <c r="M210" s="10" t="n">
        <v>0</v>
      </c>
      <c r="N210" s="9" t="n">
        <v>439.99</v>
      </c>
      <c r="O210" s="9">
        <f>K210*L210</f>
        <v/>
      </c>
      <c r="P210" s="9">
        <f>O210*M210</f>
        <v/>
      </c>
      <c r="Q210" s="9">
        <f>O210-P210</f>
        <v/>
      </c>
      <c r="R210" s="9">
        <f>K210*N210</f>
        <v/>
      </c>
      <c r="S210" s="9">
        <f>Q210-R210</f>
        <v/>
      </c>
      <c r="T210" s="10">
        <f>IFERROR(S210/Q210, 0)</f>
        <v/>
      </c>
    </row>
    <row r="211">
      <c r="A211" s="11" t="inlineStr">
        <is>
          <t>ORD-2024-1215</t>
        </is>
      </c>
      <c r="B211" s="11" t="inlineStr">
        <is>
          <t>2024-04-04</t>
        </is>
      </c>
      <c r="C211" s="11" t="inlineStr">
        <is>
          <t>OFF-STR-002</t>
        </is>
      </c>
      <c r="D211" s="7" t="inlineStr">
        <is>
          <t>Stackable Heavy-Duty Storage Bins (4-Pk)</t>
        </is>
      </c>
      <c r="E211" s="7" t="inlineStr">
        <is>
          <t>Office Supplies</t>
        </is>
      </c>
      <c r="F211" s="7" t="inlineStr">
        <is>
          <t>Storage &amp; Organizers</t>
        </is>
      </c>
      <c r="G211" s="7" t="inlineStr">
        <is>
          <t>South</t>
        </is>
      </c>
      <c r="H211" s="7" t="inlineStr">
        <is>
          <t>Georgia</t>
        </is>
      </c>
      <c r="I211" s="7" t="inlineStr">
        <is>
          <t>Direct Sales</t>
        </is>
      </c>
      <c r="J211" s="7" t="inlineStr">
        <is>
          <t>Consumer</t>
        </is>
      </c>
      <c r="K211" s="12" t="n">
        <v>3</v>
      </c>
      <c r="L211" s="9" t="n">
        <v>44.99</v>
      </c>
      <c r="M211" s="10" t="n">
        <v>0</v>
      </c>
      <c r="N211" s="9" t="n">
        <v>24.74</v>
      </c>
      <c r="O211" s="9">
        <f>K211*L211</f>
        <v/>
      </c>
      <c r="P211" s="9">
        <f>O211*M211</f>
        <v/>
      </c>
      <c r="Q211" s="9">
        <f>O211-P211</f>
        <v/>
      </c>
      <c r="R211" s="9">
        <f>K211*N211</f>
        <v/>
      </c>
      <c r="S211" s="9">
        <f>Q211-R211</f>
        <v/>
      </c>
      <c r="T211" s="10">
        <f>IFERROR(S211/Q211, 0)</f>
        <v/>
      </c>
    </row>
    <row r="212">
      <c r="A212" s="11" t="inlineStr">
        <is>
          <t>ORD-2024-1215</t>
        </is>
      </c>
      <c r="B212" s="11" t="inlineStr">
        <is>
          <t>2024-04-04</t>
        </is>
      </c>
      <c r="C212" s="11" t="inlineStr">
        <is>
          <t>OFF-PAP-003</t>
        </is>
      </c>
      <c r="D212" s="7" t="inlineStr">
        <is>
          <t>UltraWhite Premium Multipurpose Paper (Case)</t>
        </is>
      </c>
      <c r="E212" s="7" t="inlineStr">
        <is>
          <t>Office Supplies</t>
        </is>
      </c>
      <c r="F212" s="7" t="inlineStr">
        <is>
          <t>Paper Products</t>
        </is>
      </c>
      <c r="G212" s="7" t="inlineStr">
        <is>
          <t>South</t>
        </is>
      </c>
      <c r="H212" s="7" t="inlineStr">
        <is>
          <t>Georgia</t>
        </is>
      </c>
      <c r="I212" s="7" t="inlineStr">
        <is>
          <t>Direct Sales</t>
        </is>
      </c>
      <c r="J212" s="7" t="inlineStr">
        <is>
          <t>Consumer</t>
        </is>
      </c>
      <c r="K212" s="12" t="n">
        <v>3</v>
      </c>
      <c r="L212" s="9" t="n">
        <v>54.99</v>
      </c>
      <c r="M212" s="10" t="n">
        <v>0</v>
      </c>
      <c r="N212" s="9" t="n">
        <v>31.89</v>
      </c>
      <c r="O212" s="9">
        <f>K212*L212</f>
        <v/>
      </c>
      <c r="P212" s="9">
        <f>O212*M212</f>
        <v/>
      </c>
      <c r="Q212" s="9">
        <f>O212-P212</f>
        <v/>
      </c>
      <c r="R212" s="9">
        <f>K212*N212</f>
        <v/>
      </c>
      <c r="S212" s="9">
        <f>Q212-R212</f>
        <v/>
      </c>
      <c r="T212" s="10">
        <f>IFERROR(S212/Q212, 0)</f>
        <v/>
      </c>
    </row>
    <row r="213">
      <c r="A213" s="11" t="inlineStr">
        <is>
          <t>ORD-2024-1335</t>
        </is>
      </c>
      <c r="B213" s="11" t="inlineStr">
        <is>
          <t>2024-04-05</t>
        </is>
      </c>
      <c r="C213" s="11" t="inlineStr">
        <is>
          <t>TEC-TAB-004</t>
        </is>
      </c>
      <c r="D213" s="7" t="inlineStr">
        <is>
          <t>VisionPad Lite 8.5"</t>
        </is>
      </c>
      <c r="E213" s="7" t="inlineStr">
        <is>
          <t>Technology</t>
        </is>
      </c>
      <c r="F213" s="7" t="inlineStr">
        <is>
          <t>Phones &amp; Tablets</t>
        </is>
      </c>
      <c r="G213" s="7" t="inlineStr">
        <is>
          <t>South</t>
        </is>
      </c>
      <c r="H213" s="7" t="inlineStr">
        <is>
          <t>Georgia</t>
        </is>
      </c>
      <c r="I213" s="7" t="inlineStr">
        <is>
          <t>Retail Partner</t>
        </is>
      </c>
      <c r="J213" s="7" t="inlineStr">
        <is>
          <t>Corporate</t>
        </is>
      </c>
      <c r="K213" s="12" t="n">
        <v>3</v>
      </c>
      <c r="L213" s="9" t="n">
        <v>299.99</v>
      </c>
      <c r="M213" s="10" t="n">
        <v>0</v>
      </c>
      <c r="N213" s="9" t="n">
        <v>245.99</v>
      </c>
      <c r="O213" s="9">
        <f>K213*L213</f>
        <v/>
      </c>
      <c r="P213" s="9">
        <f>O213*M213</f>
        <v/>
      </c>
      <c r="Q213" s="9">
        <f>O213-P213</f>
        <v/>
      </c>
      <c r="R213" s="9">
        <f>K213*N213</f>
        <v/>
      </c>
      <c r="S213" s="9">
        <f>Q213-R213</f>
        <v/>
      </c>
      <c r="T213" s="10">
        <f>IFERROR(S213/Q213, 0)</f>
        <v/>
      </c>
    </row>
    <row r="214">
      <c r="A214" s="11" t="inlineStr">
        <is>
          <t>ORD-2024-1464</t>
        </is>
      </c>
      <c r="B214" s="11" t="inlineStr">
        <is>
          <t>2024-04-05</t>
        </is>
      </c>
      <c r="C214" s="11" t="inlineStr">
        <is>
          <t>OFF-ART-006</t>
        </is>
      </c>
      <c r="D214" s="7" t="inlineStr">
        <is>
          <t>Professional Presentation Dry Erase Board</t>
        </is>
      </c>
      <c r="E214" s="7" t="inlineStr">
        <is>
          <t>Office Supplies</t>
        </is>
      </c>
      <c r="F214" s="7" t="inlineStr">
        <is>
          <t>Presentation &amp; Art</t>
        </is>
      </c>
      <c r="G214" s="7" t="inlineStr">
        <is>
          <t>East</t>
        </is>
      </c>
      <c r="H214" s="7" t="inlineStr">
        <is>
          <t>Pennsylvania</t>
        </is>
      </c>
      <c r="I214" s="7" t="inlineStr">
        <is>
          <t>Online</t>
        </is>
      </c>
      <c r="J214" s="7" t="inlineStr">
        <is>
          <t>Home Office</t>
        </is>
      </c>
      <c r="K214" s="12" t="n">
        <v>4</v>
      </c>
      <c r="L214" s="9" t="n">
        <v>89.98999999999999</v>
      </c>
      <c r="M214" s="10" t="n">
        <v>0.05</v>
      </c>
      <c r="N214" s="9" t="n">
        <v>53.99</v>
      </c>
      <c r="O214" s="9">
        <f>K214*L214</f>
        <v/>
      </c>
      <c r="P214" s="9">
        <f>O214*M214</f>
        <v/>
      </c>
      <c r="Q214" s="9">
        <f>O214-P214</f>
        <v/>
      </c>
      <c r="R214" s="9">
        <f>K214*N214</f>
        <v/>
      </c>
      <c r="S214" s="9">
        <f>Q214-R214</f>
        <v/>
      </c>
      <c r="T214" s="10">
        <f>IFERROR(S214/Q214, 0)</f>
        <v/>
      </c>
    </row>
    <row r="215">
      <c r="A215" s="11" t="inlineStr">
        <is>
          <t>ORD-2024-1464</t>
        </is>
      </c>
      <c r="B215" s="11" t="inlineStr">
        <is>
          <t>2024-04-05</t>
        </is>
      </c>
      <c r="C215" s="11" t="inlineStr">
        <is>
          <t>OFF-PAP-003</t>
        </is>
      </c>
      <c r="D215" s="7" t="inlineStr">
        <is>
          <t>UltraWhite Premium Multipurpose Paper (Case)</t>
        </is>
      </c>
      <c r="E215" s="7" t="inlineStr">
        <is>
          <t>Office Supplies</t>
        </is>
      </c>
      <c r="F215" s="7" t="inlineStr">
        <is>
          <t>Paper Products</t>
        </is>
      </c>
      <c r="G215" s="7" t="inlineStr">
        <is>
          <t>East</t>
        </is>
      </c>
      <c r="H215" s="7" t="inlineStr">
        <is>
          <t>Pennsylvania</t>
        </is>
      </c>
      <c r="I215" s="7" t="inlineStr">
        <is>
          <t>Online</t>
        </is>
      </c>
      <c r="J215" s="7" t="inlineStr">
        <is>
          <t>Home Office</t>
        </is>
      </c>
      <c r="K215" s="12" t="n">
        <v>1</v>
      </c>
      <c r="L215" s="9" t="n">
        <v>54.99</v>
      </c>
      <c r="M215" s="10" t="n">
        <v>0.05</v>
      </c>
      <c r="N215" s="9" t="n">
        <v>31.89</v>
      </c>
      <c r="O215" s="9">
        <f>K215*L215</f>
        <v/>
      </c>
      <c r="P215" s="9">
        <f>O215*M215</f>
        <v/>
      </c>
      <c r="Q215" s="9">
        <f>O215-P215</f>
        <v/>
      </c>
      <c r="R215" s="9">
        <f>K215*N215</f>
        <v/>
      </c>
      <c r="S215" s="9">
        <f>Q215-R215</f>
        <v/>
      </c>
      <c r="T215" s="10">
        <f>IFERROR(S215/Q215, 0)</f>
        <v/>
      </c>
    </row>
    <row r="216">
      <c r="A216" s="11" t="inlineStr">
        <is>
          <t>ORD-2024-1087</t>
        </is>
      </c>
      <c r="B216" s="11" t="inlineStr">
        <is>
          <t>2024-04-06</t>
        </is>
      </c>
      <c r="C216" s="11" t="inlineStr">
        <is>
          <t>FUR-LGT-006</t>
        </is>
      </c>
      <c r="D216" s="7" t="inlineStr">
        <is>
          <t>Architect LED Desk Task Lamp</t>
        </is>
      </c>
      <c r="E216" s="7" t="inlineStr">
        <is>
          <t>Furniture</t>
        </is>
      </c>
      <c r="F216" s="7" t="inlineStr">
        <is>
          <t>Lighting</t>
        </is>
      </c>
      <c r="G216" s="7" t="inlineStr">
        <is>
          <t>West</t>
        </is>
      </c>
      <c r="H216" s="7" t="inlineStr">
        <is>
          <t>Oregon</t>
        </is>
      </c>
      <c r="I216" s="7" t="inlineStr">
        <is>
          <t>Online</t>
        </is>
      </c>
      <c r="J216" s="7" t="inlineStr">
        <is>
          <t>Consumer</t>
        </is>
      </c>
      <c r="K216" s="12" t="n">
        <v>2</v>
      </c>
      <c r="L216" s="9" t="n">
        <v>69.98999999999999</v>
      </c>
      <c r="M216" s="10" t="n">
        <v>0</v>
      </c>
      <c r="N216" s="9" t="n">
        <v>43.39</v>
      </c>
      <c r="O216" s="9">
        <f>K216*L216</f>
        <v/>
      </c>
      <c r="P216" s="9">
        <f>O216*M216</f>
        <v/>
      </c>
      <c r="Q216" s="9">
        <f>O216-P216</f>
        <v/>
      </c>
      <c r="R216" s="9">
        <f>K216*N216</f>
        <v/>
      </c>
      <c r="S216" s="9">
        <f>Q216-R216</f>
        <v/>
      </c>
      <c r="T216" s="10">
        <f>IFERROR(S216/Q216, 0)</f>
        <v/>
      </c>
    </row>
    <row r="217">
      <c r="A217" s="11" t="inlineStr">
        <is>
          <t>ORD-2024-1504</t>
        </is>
      </c>
      <c r="B217" s="11" t="inlineStr">
        <is>
          <t>2024-04-06</t>
        </is>
      </c>
      <c r="C217" s="11" t="inlineStr">
        <is>
          <t>OFF-DSK-007</t>
        </is>
      </c>
      <c r="D217" s="7" t="inlineStr">
        <is>
          <t>Gel Ergo Mouse Pad &amp; Wrist Rest Combo</t>
        </is>
      </c>
      <c r="E217" s="7" t="inlineStr">
        <is>
          <t>Office Supplies</t>
        </is>
      </c>
      <c r="F217" s="7" t="inlineStr">
        <is>
          <t>Desk Supplies</t>
        </is>
      </c>
      <c r="G217" s="7" t="inlineStr">
        <is>
          <t>Central</t>
        </is>
      </c>
      <c r="H217" s="7" t="inlineStr">
        <is>
          <t>Michigan</t>
        </is>
      </c>
      <c r="I217" s="7" t="inlineStr">
        <is>
          <t>Online</t>
        </is>
      </c>
      <c r="J217" s="7" t="inlineStr">
        <is>
          <t>Consumer</t>
        </is>
      </c>
      <c r="K217" s="12" t="n">
        <v>3</v>
      </c>
      <c r="L217" s="9" t="n">
        <v>21.99</v>
      </c>
      <c r="M217" s="10" t="n">
        <v>0</v>
      </c>
      <c r="N217" s="9" t="n">
        <v>10.56</v>
      </c>
      <c r="O217" s="9">
        <f>K217*L217</f>
        <v/>
      </c>
      <c r="P217" s="9">
        <f>O217*M217</f>
        <v/>
      </c>
      <c r="Q217" s="9">
        <f>O217-P217</f>
        <v/>
      </c>
      <c r="R217" s="9">
        <f>K217*N217</f>
        <v/>
      </c>
      <c r="S217" s="9">
        <f>Q217-R217</f>
        <v/>
      </c>
      <c r="T217" s="10">
        <f>IFERROR(S217/Q217, 0)</f>
        <v/>
      </c>
    </row>
    <row r="218">
      <c r="A218" s="11" t="inlineStr">
        <is>
          <t>ORD-2024-1247</t>
        </is>
      </c>
      <c r="B218" s="11" t="inlineStr">
        <is>
          <t>2024-04-07</t>
        </is>
      </c>
      <c r="C218" s="11" t="inlineStr">
        <is>
          <t>OFF-STR-002</t>
        </is>
      </c>
      <c r="D218" s="7" t="inlineStr">
        <is>
          <t>Stackable Heavy-Duty Storage Bins (4-Pk)</t>
        </is>
      </c>
      <c r="E218" s="7" t="inlineStr">
        <is>
          <t>Office Supplies</t>
        </is>
      </c>
      <c r="F218" s="7" t="inlineStr">
        <is>
          <t>Storage &amp; Organizers</t>
        </is>
      </c>
      <c r="G218" s="7" t="inlineStr">
        <is>
          <t>West</t>
        </is>
      </c>
      <c r="H218" s="7" t="inlineStr">
        <is>
          <t>Colorado</t>
        </is>
      </c>
      <c r="I218" s="7" t="inlineStr">
        <is>
          <t>Online</t>
        </is>
      </c>
      <c r="J218" s="7" t="inlineStr">
        <is>
          <t>Corporate</t>
        </is>
      </c>
      <c r="K218" s="12" t="n">
        <v>2</v>
      </c>
      <c r="L218" s="9" t="n">
        <v>44.99</v>
      </c>
      <c r="M218" s="10" t="n">
        <v>0</v>
      </c>
      <c r="N218" s="9" t="n">
        <v>24.74</v>
      </c>
      <c r="O218" s="9">
        <f>K218*L218</f>
        <v/>
      </c>
      <c r="P218" s="9">
        <f>O218*M218</f>
        <v/>
      </c>
      <c r="Q218" s="9">
        <f>O218-P218</f>
        <v/>
      </c>
      <c r="R218" s="9">
        <f>K218*N218</f>
        <v/>
      </c>
      <c r="S218" s="9">
        <f>Q218-R218</f>
        <v/>
      </c>
      <c r="T218" s="10">
        <f>IFERROR(S218/Q218, 0)</f>
        <v/>
      </c>
    </row>
    <row r="219">
      <c r="A219" s="11" t="inlineStr">
        <is>
          <t>ORD-2024-1252</t>
        </is>
      </c>
      <c r="B219" s="11" t="inlineStr">
        <is>
          <t>2024-04-07</t>
        </is>
      </c>
      <c r="C219" s="11" t="inlineStr">
        <is>
          <t>OFF-DSK-008</t>
        </is>
      </c>
      <c r="D219" s="7" t="inlineStr">
        <is>
          <t>Steel Desktop Mesh Organizer Caddy</t>
        </is>
      </c>
      <c r="E219" s="7" t="inlineStr">
        <is>
          <t>Office Supplies</t>
        </is>
      </c>
      <c r="F219" s="7" t="inlineStr">
        <is>
          <t>Desk Supplies</t>
        </is>
      </c>
      <c r="G219" s="7" t="inlineStr">
        <is>
          <t>East</t>
        </is>
      </c>
      <c r="H219" s="7" t="inlineStr">
        <is>
          <t>Massachusetts</t>
        </is>
      </c>
      <c r="I219" s="7" t="inlineStr">
        <is>
          <t>Wholesale</t>
        </is>
      </c>
      <c r="J219" s="7" t="inlineStr">
        <is>
          <t>Corporate</t>
        </is>
      </c>
      <c r="K219" s="12" t="n">
        <v>15</v>
      </c>
      <c r="L219" s="9" t="n">
        <v>18.99</v>
      </c>
      <c r="M219" s="10" t="n">
        <v>0.1</v>
      </c>
      <c r="N219" s="9" t="n">
        <v>8.550000000000001</v>
      </c>
      <c r="O219" s="9">
        <f>K219*L219</f>
        <v/>
      </c>
      <c r="P219" s="9">
        <f>O219*M219</f>
        <v/>
      </c>
      <c r="Q219" s="9">
        <f>O219-P219</f>
        <v/>
      </c>
      <c r="R219" s="9">
        <f>K219*N219</f>
        <v/>
      </c>
      <c r="S219" s="9">
        <f>Q219-R219</f>
        <v/>
      </c>
      <c r="T219" s="10">
        <f>IFERROR(S219/Q219, 0)</f>
        <v/>
      </c>
    </row>
    <row r="220">
      <c r="A220" s="11" t="inlineStr">
        <is>
          <t>ORD-2024-1318</t>
        </is>
      </c>
      <c r="B220" s="11" t="inlineStr">
        <is>
          <t>2024-04-07</t>
        </is>
      </c>
      <c r="C220" s="11" t="inlineStr">
        <is>
          <t>FUR-DSK-004</t>
        </is>
      </c>
      <c r="D220" s="7" t="inlineStr">
        <is>
          <t>Metro Compact Corner Workstation</t>
        </is>
      </c>
      <c r="E220" s="7" t="inlineStr">
        <is>
          <t>Furniture</t>
        </is>
      </c>
      <c r="F220" s="7" t="inlineStr">
        <is>
          <t>Desks &amp; Workstations</t>
        </is>
      </c>
      <c r="G220" s="7" t="inlineStr">
        <is>
          <t>East</t>
        </is>
      </c>
      <c r="H220" s="7" t="inlineStr">
        <is>
          <t>New York</t>
        </is>
      </c>
      <c r="I220" s="7" t="inlineStr">
        <is>
          <t>Direct Sales</t>
        </is>
      </c>
      <c r="J220" s="7" t="inlineStr">
        <is>
          <t>Home Office</t>
        </is>
      </c>
      <c r="K220" s="12" t="n">
        <v>4</v>
      </c>
      <c r="L220" s="9" t="n">
        <v>329.99</v>
      </c>
      <c r="M220" s="10" t="n">
        <v>0</v>
      </c>
      <c r="N220" s="9" t="n">
        <v>250.79</v>
      </c>
      <c r="O220" s="9">
        <f>K220*L220</f>
        <v/>
      </c>
      <c r="P220" s="9">
        <f>O220*M220</f>
        <v/>
      </c>
      <c r="Q220" s="9">
        <f>O220-P220</f>
        <v/>
      </c>
      <c r="R220" s="9">
        <f>K220*N220</f>
        <v/>
      </c>
      <c r="S220" s="9">
        <f>Q220-R220</f>
        <v/>
      </c>
      <c r="T220" s="10">
        <f>IFERROR(S220/Q220, 0)</f>
        <v/>
      </c>
    </row>
    <row r="221">
      <c r="A221" s="11" t="inlineStr">
        <is>
          <t>ORD-2024-1475</t>
        </is>
      </c>
      <c r="B221" s="11" t="inlineStr">
        <is>
          <t>2024-04-07</t>
        </is>
      </c>
      <c r="C221" s="11" t="inlineStr">
        <is>
          <t>OFF-STR-001</t>
        </is>
      </c>
      <c r="D221" s="7" t="inlineStr">
        <is>
          <t>SteelLock 3-Drawer File Cabinet</t>
        </is>
      </c>
      <c r="E221" s="7" t="inlineStr">
        <is>
          <t>Office Supplies</t>
        </is>
      </c>
      <c r="F221" s="7" t="inlineStr">
        <is>
          <t>Storage &amp; Organizers</t>
        </is>
      </c>
      <c r="G221" s="7" t="inlineStr">
        <is>
          <t>East</t>
        </is>
      </c>
      <c r="H221" s="7" t="inlineStr">
        <is>
          <t>New York</t>
        </is>
      </c>
      <c r="I221" s="7" t="inlineStr">
        <is>
          <t>Retail Partner</t>
        </is>
      </c>
      <c r="J221" s="7" t="inlineStr">
        <is>
          <t>Consumer</t>
        </is>
      </c>
      <c r="K221" s="12" t="n">
        <v>3</v>
      </c>
      <c r="L221" s="9" t="n">
        <v>169.99</v>
      </c>
      <c r="M221" s="10" t="n">
        <v>0</v>
      </c>
      <c r="N221" s="9" t="n">
        <v>115.59</v>
      </c>
      <c r="O221" s="9">
        <f>K221*L221</f>
        <v/>
      </c>
      <c r="P221" s="9">
        <f>O221*M221</f>
        <v/>
      </c>
      <c r="Q221" s="9">
        <f>O221-P221</f>
        <v/>
      </c>
      <c r="R221" s="9">
        <f>K221*N221</f>
        <v/>
      </c>
      <c r="S221" s="9">
        <f>Q221-R221</f>
        <v/>
      </c>
      <c r="T221" s="10">
        <f>IFERROR(S221/Q221, 0)</f>
        <v/>
      </c>
    </row>
    <row r="222">
      <c r="A222" s="11" t="inlineStr">
        <is>
          <t>ORD-2024-1248</t>
        </is>
      </c>
      <c r="B222" s="11" t="inlineStr">
        <is>
          <t>2024-04-08</t>
        </is>
      </c>
      <c r="C222" s="11" t="inlineStr">
        <is>
          <t>OFF-BIN-005</t>
        </is>
      </c>
      <c r="D222" s="7" t="inlineStr">
        <is>
          <t>Heavy-Duty D-Ring Presentation Binder (6-Pk)</t>
        </is>
      </c>
      <c r="E222" s="7" t="inlineStr">
        <is>
          <t>Office Supplies</t>
        </is>
      </c>
      <c r="F222" s="7" t="inlineStr">
        <is>
          <t>Binders &amp; Fasteners</t>
        </is>
      </c>
      <c r="G222" s="7" t="inlineStr">
        <is>
          <t>East</t>
        </is>
      </c>
      <c r="H222" s="7" t="inlineStr">
        <is>
          <t>New Jersey</t>
        </is>
      </c>
      <c r="I222" s="7" t="inlineStr">
        <is>
          <t>Direct Sales</t>
        </is>
      </c>
      <c r="J222" s="7" t="inlineStr">
        <is>
          <t>Corporate</t>
        </is>
      </c>
      <c r="K222" s="12" t="n">
        <v>4</v>
      </c>
      <c r="L222" s="9" t="n">
        <v>27.99</v>
      </c>
      <c r="M222" s="10" t="n">
        <v>0</v>
      </c>
      <c r="N222" s="9" t="n">
        <v>13.99</v>
      </c>
      <c r="O222" s="9">
        <f>K222*L222</f>
        <v/>
      </c>
      <c r="P222" s="9">
        <f>O222*M222</f>
        <v/>
      </c>
      <c r="Q222" s="9">
        <f>O222-P222</f>
        <v/>
      </c>
      <c r="R222" s="9">
        <f>K222*N222</f>
        <v/>
      </c>
      <c r="S222" s="9">
        <f>Q222-R222</f>
        <v/>
      </c>
      <c r="T222" s="10">
        <f>IFERROR(S222/Q222, 0)</f>
        <v/>
      </c>
    </row>
    <row r="223">
      <c r="A223" s="11" t="inlineStr">
        <is>
          <t>ORD-2024-1248</t>
        </is>
      </c>
      <c r="B223" s="11" t="inlineStr">
        <is>
          <t>2024-04-08</t>
        </is>
      </c>
      <c r="C223" s="11" t="inlineStr">
        <is>
          <t>OFF-BIN-005</t>
        </is>
      </c>
      <c r="D223" s="7" t="inlineStr">
        <is>
          <t>Heavy-Duty D-Ring Presentation Binder (6-Pk)</t>
        </is>
      </c>
      <c r="E223" s="7" t="inlineStr">
        <is>
          <t>Office Supplies</t>
        </is>
      </c>
      <c r="F223" s="7" t="inlineStr">
        <is>
          <t>Binders &amp; Fasteners</t>
        </is>
      </c>
      <c r="G223" s="7" t="inlineStr">
        <is>
          <t>East</t>
        </is>
      </c>
      <c r="H223" s="7" t="inlineStr">
        <is>
          <t>New Jersey</t>
        </is>
      </c>
      <c r="I223" s="7" t="inlineStr">
        <is>
          <t>Direct Sales</t>
        </is>
      </c>
      <c r="J223" s="7" t="inlineStr">
        <is>
          <t>Corporate</t>
        </is>
      </c>
      <c r="K223" s="12" t="n">
        <v>4</v>
      </c>
      <c r="L223" s="9" t="n">
        <v>27.99</v>
      </c>
      <c r="M223" s="10" t="n">
        <v>0.05</v>
      </c>
      <c r="N223" s="9" t="n">
        <v>13.99</v>
      </c>
      <c r="O223" s="9">
        <f>K223*L223</f>
        <v/>
      </c>
      <c r="P223" s="9">
        <f>O223*M223</f>
        <v/>
      </c>
      <c r="Q223" s="9">
        <f>O223-P223</f>
        <v/>
      </c>
      <c r="R223" s="9">
        <f>K223*N223</f>
        <v/>
      </c>
      <c r="S223" s="9">
        <f>Q223-R223</f>
        <v/>
      </c>
      <c r="T223" s="10">
        <f>IFERROR(S223/Q223, 0)</f>
        <v/>
      </c>
    </row>
    <row r="224">
      <c r="A224" s="11" t="inlineStr">
        <is>
          <t>ORD-2024-1248</t>
        </is>
      </c>
      <c r="B224" s="11" t="inlineStr">
        <is>
          <t>2024-04-08</t>
        </is>
      </c>
      <c r="C224" s="11" t="inlineStr">
        <is>
          <t>FUR-CHA-002</t>
        </is>
      </c>
      <c r="D224" s="7" t="inlineStr">
        <is>
          <t>AeroTask Operator Task Chair</t>
        </is>
      </c>
      <c r="E224" s="7" t="inlineStr">
        <is>
          <t>Furniture</t>
        </is>
      </c>
      <c r="F224" s="7" t="inlineStr">
        <is>
          <t>Chairs</t>
        </is>
      </c>
      <c r="G224" s="7" t="inlineStr">
        <is>
          <t>East</t>
        </is>
      </c>
      <c r="H224" s="7" t="inlineStr">
        <is>
          <t>New Jersey</t>
        </is>
      </c>
      <c r="I224" s="7" t="inlineStr">
        <is>
          <t>Direct Sales</t>
        </is>
      </c>
      <c r="J224" s="7" t="inlineStr">
        <is>
          <t>Corporate</t>
        </is>
      </c>
      <c r="K224" s="12" t="n">
        <v>2</v>
      </c>
      <c r="L224" s="9" t="n">
        <v>219.99</v>
      </c>
      <c r="M224" s="10" t="n">
        <v>0</v>
      </c>
      <c r="N224" s="9" t="n">
        <v>171.59</v>
      </c>
      <c r="O224" s="9">
        <f>K224*L224</f>
        <v/>
      </c>
      <c r="P224" s="9">
        <f>O224*M224</f>
        <v/>
      </c>
      <c r="Q224" s="9">
        <f>O224-P224</f>
        <v/>
      </c>
      <c r="R224" s="9">
        <f>K224*N224</f>
        <v/>
      </c>
      <c r="S224" s="9">
        <f>Q224-R224</f>
        <v/>
      </c>
      <c r="T224" s="10">
        <f>IFERROR(S224/Q224, 0)</f>
        <v/>
      </c>
    </row>
    <row r="225">
      <c r="A225" s="11" t="inlineStr">
        <is>
          <t>ORD-2024-1248</t>
        </is>
      </c>
      <c r="B225" s="11" t="inlineStr">
        <is>
          <t>2024-04-08</t>
        </is>
      </c>
      <c r="C225" s="11" t="inlineStr">
        <is>
          <t>OFF-DSK-008</t>
        </is>
      </c>
      <c r="D225" s="7" t="inlineStr">
        <is>
          <t>Steel Desktop Mesh Organizer Caddy</t>
        </is>
      </c>
      <c r="E225" s="7" t="inlineStr">
        <is>
          <t>Office Supplies</t>
        </is>
      </c>
      <c r="F225" s="7" t="inlineStr">
        <is>
          <t>Desk Supplies</t>
        </is>
      </c>
      <c r="G225" s="7" t="inlineStr">
        <is>
          <t>East</t>
        </is>
      </c>
      <c r="H225" s="7" t="inlineStr">
        <is>
          <t>New Jersey</t>
        </is>
      </c>
      <c r="I225" s="7" t="inlineStr">
        <is>
          <t>Direct Sales</t>
        </is>
      </c>
      <c r="J225" s="7" t="inlineStr">
        <is>
          <t>Corporate</t>
        </is>
      </c>
      <c r="K225" s="12" t="n">
        <v>5</v>
      </c>
      <c r="L225" s="9" t="n">
        <v>18.99</v>
      </c>
      <c r="M225" s="10" t="n">
        <v>0</v>
      </c>
      <c r="N225" s="9" t="n">
        <v>8.550000000000001</v>
      </c>
      <c r="O225" s="9">
        <f>K225*L225</f>
        <v/>
      </c>
      <c r="P225" s="9">
        <f>O225*M225</f>
        <v/>
      </c>
      <c r="Q225" s="9">
        <f>O225-P225</f>
        <v/>
      </c>
      <c r="R225" s="9">
        <f>K225*N225</f>
        <v/>
      </c>
      <c r="S225" s="9">
        <f>Q225-R225</f>
        <v/>
      </c>
      <c r="T225" s="10">
        <f>IFERROR(S225/Q225, 0)</f>
        <v/>
      </c>
    </row>
    <row r="226">
      <c r="A226" s="11" t="inlineStr">
        <is>
          <t>ORD-2024-1092</t>
        </is>
      </c>
      <c r="B226" s="11" t="inlineStr">
        <is>
          <t>2024-04-09</t>
        </is>
      </c>
      <c r="C226" s="11" t="inlineStr">
        <is>
          <t>FUR-CHA-001</t>
        </is>
      </c>
      <c r="D226" s="7" t="inlineStr">
        <is>
          <t>ErgoFlex Executive Mesh Chair</t>
        </is>
      </c>
      <c r="E226" s="7" t="inlineStr">
        <is>
          <t>Furniture</t>
        </is>
      </c>
      <c r="F226" s="7" t="inlineStr">
        <is>
          <t>Chairs</t>
        </is>
      </c>
      <c r="G226" s="7" t="inlineStr">
        <is>
          <t>East</t>
        </is>
      </c>
      <c r="H226" s="7" t="inlineStr">
        <is>
          <t>New York</t>
        </is>
      </c>
      <c r="I226" s="7" t="inlineStr">
        <is>
          <t>Wholesale</t>
        </is>
      </c>
      <c r="J226" s="7" t="inlineStr">
        <is>
          <t>Corporate</t>
        </is>
      </c>
      <c r="K226" s="12" t="n">
        <v>10</v>
      </c>
      <c r="L226" s="9" t="n">
        <v>389.99</v>
      </c>
      <c r="M226" s="10" t="n">
        <v>0.05</v>
      </c>
      <c r="N226" s="9" t="n">
        <v>331.49</v>
      </c>
      <c r="O226" s="9">
        <f>K226*L226</f>
        <v/>
      </c>
      <c r="P226" s="9">
        <f>O226*M226</f>
        <v/>
      </c>
      <c r="Q226" s="9">
        <f>O226-P226</f>
        <v/>
      </c>
      <c r="R226" s="9">
        <f>K226*N226</f>
        <v/>
      </c>
      <c r="S226" s="9">
        <f>Q226-R226</f>
        <v/>
      </c>
      <c r="T226" s="10">
        <f>IFERROR(S226/Q226, 0)</f>
        <v/>
      </c>
    </row>
    <row r="227">
      <c r="A227" s="11" t="inlineStr">
        <is>
          <t>ORD-2024-1140</t>
        </is>
      </c>
      <c r="B227" s="11" t="inlineStr">
        <is>
          <t>2024-04-09</t>
        </is>
      </c>
      <c r="C227" s="11" t="inlineStr">
        <is>
          <t>OFF-STR-002</t>
        </is>
      </c>
      <c r="D227" s="7" t="inlineStr">
        <is>
          <t>Stackable Heavy-Duty Storage Bins (4-Pk)</t>
        </is>
      </c>
      <c r="E227" s="7" t="inlineStr">
        <is>
          <t>Office Supplies</t>
        </is>
      </c>
      <c r="F227" s="7" t="inlineStr">
        <is>
          <t>Storage &amp; Organizers</t>
        </is>
      </c>
      <c r="G227" s="7" t="inlineStr">
        <is>
          <t>West</t>
        </is>
      </c>
      <c r="H227" s="7" t="inlineStr">
        <is>
          <t>California</t>
        </is>
      </c>
      <c r="I227" s="7" t="inlineStr">
        <is>
          <t>Wholesale</t>
        </is>
      </c>
      <c r="J227" s="7" t="inlineStr">
        <is>
          <t>Consumer</t>
        </is>
      </c>
      <c r="K227" s="12" t="n">
        <v>5</v>
      </c>
      <c r="L227" s="9" t="n">
        <v>44.99</v>
      </c>
      <c r="M227" s="10" t="n">
        <v>0.1</v>
      </c>
      <c r="N227" s="9" t="n">
        <v>24.74</v>
      </c>
      <c r="O227" s="9">
        <f>K227*L227</f>
        <v/>
      </c>
      <c r="P227" s="9">
        <f>O227*M227</f>
        <v/>
      </c>
      <c r="Q227" s="9">
        <f>O227-P227</f>
        <v/>
      </c>
      <c r="R227" s="9">
        <f>K227*N227</f>
        <v/>
      </c>
      <c r="S227" s="9">
        <f>Q227-R227</f>
        <v/>
      </c>
      <c r="T227" s="10">
        <f>IFERROR(S227/Q227, 0)</f>
        <v/>
      </c>
    </row>
    <row r="228">
      <c r="A228" s="11" t="inlineStr">
        <is>
          <t>ORD-2024-1572</t>
        </is>
      </c>
      <c r="B228" s="11" t="inlineStr">
        <is>
          <t>2024-04-09</t>
        </is>
      </c>
      <c r="C228" s="11" t="inlineStr">
        <is>
          <t>OFF-DSK-007</t>
        </is>
      </c>
      <c r="D228" s="7" t="inlineStr">
        <is>
          <t>Gel Ergo Mouse Pad &amp; Wrist Rest Combo</t>
        </is>
      </c>
      <c r="E228" s="7" t="inlineStr">
        <is>
          <t>Office Supplies</t>
        </is>
      </c>
      <c r="F228" s="7" t="inlineStr">
        <is>
          <t>Desk Supplies</t>
        </is>
      </c>
      <c r="G228" s="7" t="inlineStr">
        <is>
          <t>West</t>
        </is>
      </c>
      <c r="H228" s="7" t="inlineStr">
        <is>
          <t>Colorado</t>
        </is>
      </c>
      <c r="I228" s="7" t="inlineStr">
        <is>
          <t>Wholesale</t>
        </is>
      </c>
      <c r="J228" s="7" t="inlineStr">
        <is>
          <t>Corporate</t>
        </is>
      </c>
      <c r="K228" s="12" t="n">
        <v>12</v>
      </c>
      <c r="L228" s="9" t="n">
        <v>21.99</v>
      </c>
      <c r="M228" s="10" t="n">
        <v>0.15</v>
      </c>
      <c r="N228" s="9" t="n">
        <v>10.56</v>
      </c>
      <c r="O228" s="9">
        <f>K228*L228</f>
        <v/>
      </c>
      <c r="P228" s="9">
        <f>O228*M228</f>
        <v/>
      </c>
      <c r="Q228" s="9">
        <f>O228-P228</f>
        <v/>
      </c>
      <c r="R228" s="9">
        <f>K228*N228</f>
        <v/>
      </c>
      <c r="S228" s="9">
        <f>Q228-R228</f>
        <v/>
      </c>
      <c r="T228" s="10">
        <f>IFERROR(S228/Q228, 0)</f>
        <v/>
      </c>
    </row>
    <row r="229">
      <c r="A229" s="11" t="inlineStr">
        <is>
          <t>ORD-2024-1159</t>
        </is>
      </c>
      <c r="B229" s="11" t="inlineStr">
        <is>
          <t>2024-04-11</t>
        </is>
      </c>
      <c r="C229" s="11" t="inlineStr">
        <is>
          <t>OFF-STR-002</t>
        </is>
      </c>
      <c r="D229" s="7" t="inlineStr">
        <is>
          <t>Stackable Heavy-Duty Storage Bins (4-Pk)</t>
        </is>
      </c>
      <c r="E229" s="7" t="inlineStr">
        <is>
          <t>Office Supplies</t>
        </is>
      </c>
      <c r="F229" s="7" t="inlineStr">
        <is>
          <t>Storage &amp; Organizers</t>
        </is>
      </c>
      <c r="G229" s="7" t="inlineStr">
        <is>
          <t>East</t>
        </is>
      </c>
      <c r="H229" s="7" t="inlineStr">
        <is>
          <t>New York</t>
        </is>
      </c>
      <c r="I229" s="7" t="inlineStr">
        <is>
          <t>Wholesale</t>
        </is>
      </c>
      <c r="J229" s="7" t="inlineStr">
        <is>
          <t>Consumer</t>
        </is>
      </c>
      <c r="K229" s="12" t="n">
        <v>10</v>
      </c>
      <c r="L229" s="9" t="n">
        <v>44.99</v>
      </c>
      <c r="M229" s="10" t="n">
        <v>0.1</v>
      </c>
      <c r="N229" s="9" t="n">
        <v>24.74</v>
      </c>
      <c r="O229" s="9">
        <f>K229*L229</f>
        <v/>
      </c>
      <c r="P229" s="9">
        <f>O229*M229</f>
        <v/>
      </c>
      <c r="Q229" s="9">
        <f>O229-P229</f>
        <v/>
      </c>
      <c r="R229" s="9">
        <f>K229*N229</f>
        <v/>
      </c>
      <c r="S229" s="9">
        <f>Q229-R229</f>
        <v/>
      </c>
      <c r="T229" s="10">
        <f>IFERROR(S229/Q229, 0)</f>
        <v/>
      </c>
    </row>
    <row r="230">
      <c r="A230" s="11" t="inlineStr">
        <is>
          <t>ORD-2024-1512</t>
        </is>
      </c>
      <c r="B230" s="11" t="inlineStr">
        <is>
          <t>2024-04-11</t>
        </is>
      </c>
      <c r="C230" s="11" t="inlineStr">
        <is>
          <t>OFF-BIN-005</t>
        </is>
      </c>
      <c r="D230" s="7" t="inlineStr">
        <is>
          <t>Heavy-Duty D-Ring Presentation Binder (6-Pk)</t>
        </is>
      </c>
      <c r="E230" s="7" t="inlineStr">
        <is>
          <t>Office Supplies</t>
        </is>
      </c>
      <c r="F230" s="7" t="inlineStr">
        <is>
          <t>Binders &amp; Fasteners</t>
        </is>
      </c>
      <c r="G230" s="7" t="inlineStr">
        <is>
          <t>East</t>
        </is>
      </c>
      <c r="H230" s="7" t="inlineStr">
        <is>
          <t>Massachusetts</t>
        </is>
      </c>
      <c r="I230" s="7" t="inlineStr">
        <is>
          <t>Online</t>
        </is>
      </c>
      <c r="J230" s="7" t="inlineStr">
        <is>
          <t>Consumer</t>
        </is>
      </c>
      <c r="K230" s="12" t="n">
        <v>1</v>
      </c>
      <c r="L230" s="9" t="n">
        <v>27.99</v>
      </c>
      <c r="M230" s="10" t="n">
        <v>0</v>
      </c>
      <c r="N230" s="9" t="n">
        <v>13.99</v>
      </c>
      <c r="O230" s="9">
        <f>K230*L230</f>
        <v/>
      </c>
      <c r="P230" s="9">
        <f>O230*M230</f>
        <v/>
      </c>
      <c r="Q230" s="9">
        <f>O230-P230</f>
        <v/>
      </c>
      <c r="R230" s="9">
        <f>K230*N230</f>
        <v/>
      </c>
      <c r="S230" s="9">
        <f>Q230-R230</f>
        <v/>
      </c>
      <c r="T230" s="10">
        <f>IFERROR(S230/Q230, 0)</f>
        <v/>
      </c>
    </row>
    <row r="231">
      <c r="A231" s="11" t="inlineStr">
        <is>
          <t>ORD-2024-1512</t>
        </is>
      </c>
      <c r="B231" s="11" t="inlineStr">
        <is>
          <t>2024-04-11</t>
        </is>
      </c>
      <c r="C231" s="11" t="inlineStr">
        <is>
          <t>FUR-CHA-001</t>
        </is>
      </c>
      <c r="D231" s="7" t="inlineStr">
        <is>
          <t>ErgoFlex Executive Mesh Chair</t>
        </is>
      </c>
      <c r="E231" s="7" t="inlineStr">
        <is>
          <t>Furniture</t>
        </is>
      </c>
      <c r="F231" s="7" t="inlineStr">
        <is>
          <t>Chairs</t>
        </is>
      </c>
      <c r="G231" s="7" t="inlineStr">
        <is>
          <t>East</t>
        </is>
      </c>
      <c r="H231" s="7" t="inlineStr">
        <is>
          <t>Massachusetts</t>
        </is>
      </c>
      <c r="I231" s="7" t="inlineStr">
        <is>
          <t>Online</t>
        </is>
      </c>
      <c r="J231" s="7" t="inlineStr">
        <is>
          <t>Consumer</t>
        </is>
      </c>
      <c r="K231" s="12" t="n">
        <v>3</v>
      </c>
      <c r="L231" s="9" t="n">
        <v>389.99</v>
      </c>
      <c r="M231" s="10" t="n">
        <v>0.1</v>
      </c>
      <c r="N231" s="9" t="n">
        <v>331.49</v>
      </c>
      <c r="O231" s="9">
        <f>K231*L231</f>
        <v/>
      </c>
      <c r="P231" s="9">
        <f>O231*M231</f>
        <v/>
      </c>
      <c r="Q231" s="9">
        <f>O231-P231</f>
        <v/>
      </c>
      <c r="R231" s="9">
        <f>K231*N231</f>
        <v/>
      </c>
      <c r="S231" s="9">
        <f>Q231-R231</f>
        <v/>
      </c>
      <c r="T231" s="10">
        <f>IFERROR(S231/Q231, 0)</f>
        <v/>
      </c>
    </row>
    <row r="232">
      <c r="A232" s="11" t="inlineStr">
        <is>
          <t>ORD-2024-1416</t>
        </is>
      </c>
      <c r="B232" s="11" t="inlineStr">
        <is>
          <t>2024-04-12</t>
        </is>
      </c>
      <c r="C232" s="11" t="inlineStr">
        <is>
          <t>OFF-STR-001</t>
        </is>
      </c>
      <c r="D232" s="7" t="inlineStr">
        <is>
          <t>SteelLock 3-Drawer File Cabinet</t>
        </is>
      </c>
      <c r="E232" s="7" t="inlineStr">
        <is>
          <t>Office Supplies</t>
        </is>
      </c>
      <c r="F232" s="7" t="inlineStr">
        <is>
          <t>Storage &amp; Organizers</t>
        </is>
      </c>
      <c r="G232" s="7" t="inlineStr">
        <is>
          <t>East</t>
        </is>
      </c>
      <c r="H232" s="7" t="inlineStr">
        <is>
          <t>Massachusetts</t>
        </is>
      </c>
      <c r="I232" s="7" t="inlineStr">
        <is>
          <t>Online</t>
        </is>
      </c>
      <c r="J232" s="7" t="inlineStr">
        <is>
          <t>Consumer</t>
        </is>
      </c>
      <c r="K232" s="12" t="n">
        <v>1</v>
      </c>
      <c r="L232" s="9" t="n">
        <v>169.99</v>
      </c>
      <c r="M232" s="10" t="n">
        <v>0</v>
      </c>
      <c r="N232" s="9" t="n">
        <v>115.59</v>
      </c>
      <c r="O232" s="9">
        <f>K232*L232</f>
        <v/>
      </c>
      <c r="P232" s="9">
        <f>O232*M232</f>
        <v/>
      </c>
      <c r="Q232" s="9">
        <f>O232-P232</f>
        <v/>
      </c>
      <c r="R232" s="9">
        <f>K232*N232</f>
        <v/>
      </c>
      <c r="S232" s="9">
        <f>Q232-R232</f>
        <v/>
      </c>
      <c r="T232" s="10">
        <f>IFERROR(S232/Q232, 0)</f>
        <v/>
      </c>
    </row>
    <row r="233">
      <c r="A233" s="11" t="inlineStr">
        <is>
          <t>ORD-2024-1416</t>
        </is>
      </c>
      <c r="B233" s="11" t="inlineStr">
        <is>
          <t>2024-04-12</t>
        </is>
      </c>
      <c r="C233" s="11" t="inlineStr">
        <is>
          <t>OFF-BIN-005</t>
        </is>
      </c>
      <c r="D233" s="7" t="inlineStr">
        <is>
          <t>Heavy-Duty D-Ring Presentation Binder (6-Pk)</t>
        </is>
      </c>
      <c r="E233" s="7" t="inlineStr">
        <is>
          <t>Office Supplies</t>
        </is>
      </c>
      <c r="F233" s="7" t="inlineStr">
        <is>
          <t>Binders &amp; Fasteners</t>
        </is>
      </c>
      <c r="G233" s="7" t="inlineStr">
        <is>
          <t>East</t>
        </is>
      </c>
      <c r="H233" s="7" t="inlineStr">
        <is>
          <t>Massachusetts</t>
        </is>
      </c>
      <c r="I233" s="7" t="inlineStr">
        <is>
          <t>Online</t>
        </is>
      </c>
      <c r="J233" s="7" t="inlineStr">
        <is>
          <t>Consumer</t>
        </is>
      </c>
      <c r="K233" s="12" t="n">
        <v>2</v>
      </c>
      <c r="L233" s="9" t="n">
        <v>27.99</v>
      </c>
      <c r="M233" s="10" t="n">
        <v>0.1</v>
      </c>
      <c r="N233" s="9" t="n">
        <v>13.99</v>
      </c>
      <c r="O233" s="9">
        <f>K233*L233</f>
        <v/>
      </c>
      <c r="P233" s="9">
        <f>O233*M233</f>
        <v/>
      </c>
      <c r="Q233" s="9">
        <f>O233-P233</f>
        <v/>
      </c>
      <c r="R233" s="9">
        <f>K233*N233</f>
        <v/>
      </c>
      <c r="S233" s="9">
        <f>Q233-R233</f>
        <v/>
      </c>
      <c r="T233" s="10">
        <f>IFERROR(S233/Q233, 0)</f>
        <v/>
      </c>
    </row>
    <row r="234">
      <c r="A234" s="11" t="inlineStr">
        <is>
          <t>ORD-2024-1609</t>
        </is>
      </c>
      <c r="B234" s="11" t="inlineStr">
        <is>
          <t>2024-04-12</t>
        </is>
      </c>
      <c r="C234" s="11" t="inlineStr">
        <is>
          <t>TEC-TAB-003</t>
        </is>
      </c>
      <c r="D234" s="7" t="inlineStr">
        <is>
          <t>VisionPad Pro 11"</t>
        </is>
      </c>
      <c r="E234" s="7" t="inlineStr">
        <is>
          <t>Technology</t>
        </is>
      </c>
      <c r="F234" s="7" t="inlineStr">
        <is>
          <t>Phones &amp; Tablets</t>
        </is>
      </c>
      <c r="G234" s="7" t="inlineStr">
        <is>
          <t>West</t>
        </is>
      </c>
      <c r="H234" s="7" t="inlineStr">
        <is>
          <t>California</t>
        </is>
      </c>
      <c r="I234" s="7" t="inlineStr">
        <is>
          <t>Retail Partner</t>
        </is>
      </c>
      <c r="J234" s="7" t="inlineStr">
        <is>
          <t>Consumer</t>
        </is>
      </c>
      <c r="K234" s="12" t="n">
        <v>1</v>
      </c>
      <c r="L234" s="9" t="n">
        <v>649.99</v>
      </c>
      <c r="M234" s="10" t="n">
        <v>0</v>
      </c>
      <c r="N234" s="9" t="n">
        <v>487.49</v>
      </c>
      <c r="O234" s="9">
        <f>K234*L234</f>
        <v/>
      </c>
      <c r="P234" s="9">
        <f>O234*M234</f>
        <v/>
      </c>
      <c r="Q234" s="9">
        <f>O234-P234</f>
        <v/>
      </c>
      <c r="R234" s="9">
        <f>K234*N234</f>
        <v/>
      </c>
      <c r="S234" s="9">
        <f>Q234-R234</f>
        <v/>
      </c>
      <c r="T234" s="10">
        <f>IFERROR(S234/Q234, 0)</f>
        <v/>
      </c>
    </row>
    <row r="235">
      <c r="A235" s="11" t="inlineStr">
        <is>
          <t>ORD-2024-1722</t>
        </is>
      </c>
      <c r="B235" s="11" t="inlineStr">
        <is>
          <t>2024-04-12</t>
        </is>
      </c>
      <c r="C235" s="11" t="inlineStr">
        <is>
          <t>TEC-ACC-005</t>
        </is>
      </c>
      <c r="D235" s="7" t="inlineStr">
        <is>
          <t>UltraWireless Noise-Canceling Headset</t>
        </is>
      </c>
      <c r="E235" s="7" t="inlineStr">
        <is>
          <t>Technology</t>
        </is>
      </c>
      <c r="F235" s="7" t="inlineStr">
        <is>
          <t>Audio &amp; Accessories</t>
        </is>
      </c>
      <c r="G235" s="7" t="inlineStr">
        <is>
          <t>East</t>
        </is>
      </c>
      <c r="H235" s="7" t="inlineStr">
        <is>
          <t>Massachusetts</t>
        </is>
      </c>
      <c r="I235" s="7" t="inlineStr">
        <is>
          <t>Online</t>
        </is>
      </c>
      <c r="J235" s="7" t="inlineStr">
        <is>
          <t>Consumer</t>
        </is>
      </c>
      <c r="K235" s="12" t="n">
        <v>4</v>
      </c>
      <c r="L235" s="9" t="n">
        <v>179.99</v>
      </c>
      <c r="M235" s="10" t="n">
        <v>0.05</v>
      </c>
      <c r="N235" s="9" t="n">
        <v>111.59</v>
      </c>
      <c r="O235" s="9">
        <f>K235*L235</f>
        <v/>
      </c>
      <c r="P235" s="9">
        <f>O235*M235</f>
        <v/>
      </c>
      <c r="Q235" s="9">
        <f>O235-P235</f>
        <v/>
      </c>
      <c r="R235" s="9">
        <f>K235*N235</f>
        <v/>
      </c>
      <c r="S235" s="9">
        <f>Q235-R235</f>
        <v/>
      </c>
      <c r="T235" s="10">
        <f>IFERROR(S235/Q235, 0)</f>
        <v/>
      </c>
    </row>
    <row r="236">
      <c r="A236" s="11" t="inlineStr">
        <is>
          <t>ORD-2024-1168</t>
        </is>
      </c>
      <c r="B236" s="11" t="inlineStr">
        <is>
          <t>2024-04-14</t>
        </is>
      </c>
      <c r="C236" s="11" t="inlineStr">
        <is>
          <t>FUR-DSK-004</t>
        </is>
      </c>
      <c r="D236" s="7" t="inlineStr">
        <is>
          <t>Metro Compact Corner Workstation</t>
        </is>
      </c>
      <c r="E236" s="7" t="inlineStr">
        <is>
          <t>Furniture</t>
        </is>
      </c>
      <c r="F236" s="7" t="inlineStr">
        <is>
          <t>Desks &amp; Workstations</t>
        </is>
      </c>
      <c r="G236" s="7" t="inlineStr">
        <is>
          <t>West</t>
        </is>
      </c>
      <c r="H236" s="7" t="inlineStr">
        <is>
          <t>Oregon</t>
        </is>
      </c>
      <c r="I236" s="7" t="inlineStr">
        <is>
          <t>Online</t>
        </is>
      </c>
      <c r="J236" s="7" t="inlineStr">
        <is>
          <t>Home Office</t>
        </is>
      </c>
      <c r="K236" s="12" t="n">
        <v>4</v>
      </c>
      <c r="L236" s="9" t="n">
        <v>329.99</v>
      </c>
      <c r="M236" s="10" t="n">
        <v>0</v>
      </c>
      <c r="N236" s="9" t="n">
        <v>250.79</v>
      </c>
      <c r="O236" s="9">
        <f>K236*L236</f>
        <v/>
      </c>
      <c r="P236" s="9">
        <f>O236*M236</f>
        <v/>
      </c>
      <c r="Q236" s="9">
        <f>O236-P236</f>
        <v/>
      </c>
      <c r="R236" s="9">
        <f>K236*N236</f>
        <v/>
      </c>
      <c r="S236" s="9">
        <f>Q236-R236</f>
        <v/>
      </c>
      <c r="T236" s="10">
        <f>IFERROR(S236/Q236, 0)</f>
        <v/>
      </c>
    </row>
    <row r="237">
      <c r="A237" s="11" t="inlineStr">
        <is>
          <t>ORD-2024-1341</t>
        </is>
      </c>
      <c r="B237" s="11" t="inlineStr">
        <is>
          <t>2024-04-15</t>
        </is>
      </c>
      <c r="C237" s="11" t="inlineStr">
        <is>
          <t>FUR-CHA-001</t>
        </is>
      </c>
      <c r="D237" s="7" t="inlineStr">
        <is>
          <t>ErgoFlex Executive Mesh Chair</t>
        </is>
      </c>
      <c r="E237" s="7" t="inlineStr">
        <is>
          <t>Furniture</t>
        </is>
      </c>
      <c r="F237" s="7" t="inlineStr">
        <is>
          <t>Chairs</t>
        </is>
      </c>
      <c r="G237" s="7" t="inlineStr">
        <is>
          <t>Central</t>
        </is>
      </c>
      <c r="H237" s="7" t="inlineStr">
        <is>
          <t>Ohio</t>
        </is>
      </c>
      <c r="I237" s="7" t="inlineStr">
        <is>
          <t>Online</t>
        </is>
      </c>
      <c r="J237" s="7" t="inlineStr">
        <is>
          <t>Corporate</t>
        </is>
      </c>
      <c r="K237" s="12" t="n">
        <v>6</v>
      </c>
      <c r="L237" s="9" t="n">
        <v>389.99</v>
      </c>
      <c r="M237" s="10" t="n">
        <v>0.1</v>
      </c>
      <c r="N237" s="9" t="n">
        <v>331.49</v>
      </c>
      <c r="O237" s="9">
        <f>K237*L237</f>
        <v/>
      </c>
      <c r="P237" s="9">
        <f>O237*M237</f>
        <v/>
      </c>
      <c r="Q237" s="9">
        <f>O237-P237</f>
        <v/>
      </c>
      <c r="R237" s="9">
        <f>K237*N237</f>
        <v/>
      </c>
      <c r="S237" s="9">
        <f>Q237-R237</f>
        <v/>
      </c>
      <c r="T237" s="10">
        <f>IFERROR(S237/Q237, 0)</f>
        <v/>
      </c>
    </row>
    <row r="238">
      <c r="A238" s="11" t="inlineStr">
        <is>
          <t>ORD-2024-1622</t>
        </is>
      </c>
      <c r="B238" s="11" t="inlineStr">
        <is>
          <t>2024-04-15</t>
        </is>
      </c>
      <c r="C238" s="11" t="inlineStr">
        <is>
          <t>TEC-ACC-005</t>
        </is>
      </c>
      <c r="D238" s="7" t="inlineStr">
        <is>
          <t>UltraWireless Noise-Canceling Headset</t>
        </is>
      </c>
      <c r="E238" s="7" t="inlineStr">
        <is>
          <t>Technology</t>
        </is>
      </c>
      <c r="F238" s="7" t="inlineStr">
        <is>
          <t>Audio &amp; Accessories</t>
        </is>
      </c>
      <c r="G238" s="7" t="inlineStr">
        <is>
          <t>South</t>
        </is>
      </c>
      <c r="H238" s="7" t="inlineStr">
        <is>
          <t>Florida</t>
        </is>
      </c>
      <c r="I238" s="7" t="inlineStr">
        <is>
          <t>Wholesale</t>
        </is>
      </c>
      <c r="J238" s="7" t="inlineStr">
        <is>
          <t>Consumer</t>
        </is>
      </c>
      <c r="K238" s="12" t="n">
        <v>9</v>
      </c>
      <c r="L238" s="9" t="n">
        <v>179.99</v>
      </c>
      <c r="M238" s="10" t="n">
        <v>0.1</v>
      </c>
      <c r="N238" s="9" t="n">
        <v>111.59</v>
      </c>
      <c r="O238" s="9">
        <f>K238*L238</f>
        <v/>
      </c>
      <c r="P238" s="9">
        <f>O238*M238</f>
        <v/>
      </c>
      <c r="Q238" s="9">
        <f>O238-P238</f>
        <v/>
      </c>
      <c r="R238" s="9">
        <f>K238*N238</f>
        <v/>
      </c>
      <c r="S238" s="9">
        <f>Q238-R238</f>
        <v/>
      </c>
      <c r="T238" s="10">
        <f>IFERROR(S238/Q238, 0)</f>
        <v/>
      </c>
    </row>
    <row r="239">
      <c r="A239" s="11" t="inlineStr">
        <is>
          <t>ORD-2024-1456</t>
        </is>
      </c>
      <c r="B239" s="11" t="inlineStr">
        <is>
          <t>2024-04-16</t>
        </is>
      </c>
      <c r="C239" s="11" t="inlineStr">
        <is>
          <t>FUR-CHA-002</t>
        </is>
      </c>
      <c r="D239" s="7" t="inlineStr">
        <is>
          <t>AeroTask Operator Task Chair</t>
        </is>
      </c>
      <c r="E239" s="7" t="inlineStr">
        <is>
          <t>Furniture</t>
        </is>
      </c>
      <c r="F239" s="7" t="inlineStr">
        <is>
          <t>Chairs</t>
        </is>
      </c>
      <c r="G239" s="7" t="inlineStr">
        <is>
          <t>West</t>
        </is>
      </c>
      <c r="H239" s="7" t="inlineStr">
        <is>
          <t>Colorado</t>
        </is>
      </c>
      <c r="I239" s="7" t="inlineStr">
        <is>
          <t>Retail Partner</t>
        </is>
      </c>
      <c r="J239" s="7" t="inlineStr">
        <is>
          <t>Home Office</t>
        </is>
      </c>
      <c r="K239" s="12" t="n">
        <v>1</v>
      </c>
      <c r="L239" s="9" t="n">
        <v>219.99</v>
      </c>
      <c r="M239" s="10" t="n">
        <v>0.05</v>
      </c>
      <c r="N239" s="9" t="n">
        <v>171.59</v>
      </c>
      <c r="O239" s="9">
        <f>K239*L239</f>
        <v/>
      </c>
      <c r="P239" s="9">
        <f>O239*M239</f>
        <v/>
      </c>
      <c r="Q239" s="9">
        <f>O239-P239</f>
        <v/>
      </c>
      <c r="R239" s="9">
        <f>K239*N239</f>
        <v/>
      </c>
      <c r="S239" s="9">
        <f>Q239-R239</f>
        <v/>
      </c>
      <c r="T239" s="10">
        <f>IFERROR(S239/Q239, 0)</f>
        <v/>
      </c>
    </row>
    <row r="240">
      <c r="A240" s="11" t="inlineStr">
        <is>
          <t>ORD-2024-1194</t>
        </is>
      </c>
      <c r="B240" s="11" t="inlineStr">
        <is>
          <t>2024-04-17</t>
        </is>
      </c>
      <c r="C240" s="11" t="inlineStr">
        <is>
          <t>OFF-STR-001</t>
        </is>
      </c>
      <c r="D240" s="7" t="inlineStr">
        <is>
          <t>SteelLock 3-Drawer File Cabinet</t>
        </is>
      </c>
      <c r="E240" s="7" t="inlineStr">
        <is>
          <t>Office Supplies</t>
        </is>
      </c>
      <c r="F240" s="7" t="inlineStr">
        <is>
          <t>Storage &amp; Organizers</t>
        </is>
      </c>
      <c r="G240" s="7" t="inlineStr">
        <is>
          <t>South</t>
        </is>
      </c>
      <c r="H240" s="7" t="inlineStr">
        <is>
          <t>Virginia</t>
        </is>
      </c>
      <c r="I240" s="7" t="inlineStr">
        <is>
          <t>Retail Partner</t>
        </is>
      </c>
      <c r="J240" s="7" t="inlineStr">
        <is>
          <t>Corporate</t>
        </is>
      </c>
      <c r="K240" s="12" t="n">
        <v>2</v>
      </c>
      <c r="L240" s="9" t="n">
        <v>169.99</v>
      </c>
      <c r="M240" s="10" t="n">
        <v>0.05</v>
      </c>
      <c r="N240" s="9" t="n">
        <v>115.59</v>
      </c>
      <c r="O240" s="9">
        <f>K240*L240</f>
        <v/>
      </c>
      <c r="P240" s="9">
        <f>O240*M240</f>
        <v/>
      </c>
      <c r="Q240" s="9">
        <f>O240-P240</f>
        <v/>
      </c>
      <c r="R240" s="9">
        <f>K240*N240</f>
        <v/>
      </c>
      <c r="S240" s="9">
        <f>Q240-R240</f>
        <v/>
      </c>
      <c r="T240" s="10">
        <f>IFERROR(S240/Q240, 0)</f>
        <v/>
      </c>
    </row>
    <row r="241">
      <c r="A241" s="11" t="inlineStr">
        <is>
          <t>ORD-2024-1194</t>
        </is>
      </c>
      <c r="B241" s="11" t="inlineStr">
        <is>
          <t>2024-04-17</t>
        </is>
      </c>
      <c r="C241" s="11" t="inlineStr">
        <is>
          <t>OFF-ART-006</t>
        </is>
      </c>
      <c r="D241" s="7" t="inlineStr">
        <is>
          <t>Professional Presentation Dry Erase Board</t>
        </is>
      </c>
      <c r="E241" s="7" t="inlineStr">
        <is>
          <t>Office Supplies</t>
        </is>
      </c>
      <c r="F241" s="7" t="inlineStr">
        <is>
          <t>Presentation &amp; Art</t>
        </is>
      </c>
      <c r="G241" s="7" t="inlineStr">
        <is>
          <t>South</t>
        </is>
      </c>
      <c r="H241" s="7" t="inlineStr">
        <is>
          <t>Virginia</t>
        </is>
      </c>
      <c r="I241" s="7" t="inlineStr">
        <is>
          <t>Retail Partner</t>
        </is>
      </c>
      <c r="J241" s="7" t="inlineStr">
        <is>
          <t>Corporate</t>
        </is>
      </c>
      <c r="K241" s="12" t="n">
        <v>2</v>
      </c>
      <c r="L241" s="9" t="n">
        <v>89.98999999999999</v>
      </c>
      <c r="M241" s="10" t="n">
        <v>0.05</v>
      </c>
      <c r="N241" s="9" t="n">
        <v>53.99</v>
      </c>
      <c r="O241" s="9">
        <f>K241*L241</f>
        <v/>
      </c>
      <c r="P241" s="9">
        <f>O241*M241</f>
        <v/>
      </c>
      <c r="Q241" s="9">
        <f>O241-P241</f>
        <v/>
      </c>
      <c r="R241" s="9">
        <f>K241*N241</f>
        <v/>
      </c>
      <c r="S241" s="9">
        <f>Q241-R241</f>
        <v/>
      </c>
      <c r="T241" s="10">
        <f>IFERROR(S241/Q241, 0)</f>
        <v/>
      </c>
    </row>
    <row r="242">
      <c r="A242" s="11" t="inlineStr">
        <is>
          <t>ORD-2024-1526</t>
        </is>
      </c>
      <c r="B242" s="11" t="inlineStr">
        <is>
          <t>2024-04-17</t>
        </is>
      </c>
      <c r="C242" s="11" t="inlineStr">
        <is>
          <t>OFF-STR-001</t>
        </is>
      </c>
      <c r="D242" s="7" t="inlineStr">
        <is>
          <t>SteelLock 3-Drawer File Cabinet</t>
        </is>
      </c>
      <c r="E242" s="7" t="inlineStr">
        <is>
          <t>Office Supplies</t>
        </is>
      </c>
      <c r="F242" s="7" t="inlineStr">
        <is>
          <t>Storage &amp; Organizers</t>
        </is>
      </c>
      <c r="G242" s="7" t="inlineStr">
        <is>
          <t>West</t>
        </is>
      </c>
      <c r="H242" s="7" t="inlineStr">
        <is>
          <t>Colorado</t>
        </is>
      </c>
      <c r="I242" s="7" t="inlineStr">
        <is>
          <t>Online</t>
        </is>
      </c>
      <c r="J242" s="7" t="inlineStr">
        <is>
          <t>Consumer</t>
        </is>
      </c>
      <c r="K242" s="12" t="n">
        <v>1</v>
      </c>
      <c r="L242" s="9" t="n">
        <v>169.99</v>
      </c>
      <c r="M242" s="10" t="n">
        <v>0.1</v>
      </c>
      <c r="N242" s="9" t="n">
        <v>115.59</v>
      </c>
      <c r="O242" s="9">
        <f>K242*L242</f>
        <v/>
      </c>
      <c r="P242" s="9">
        <f>O242*M242</f>
        <v/>
      </c>
      <c r="Q242" s="9">
        <f>O242-P242</f>
        <v/>
      </c>
      <c r="R242" s="9">
        <f>K242*N242</f>
        <v/>
      </c>
      <c r="S242" s="9">
        <f>Q242-R242</f>
        <v/>
      </c>
      <c r="T242" s="10">
        <f>IFERROR(S242/Q242, 0)</f>
        <v/>
      </c>
    </row>
    <row r="243">
      <c r="A243" s="11" t="inlineStr">
        <is>
          <t>ORD-2024-1221</t>
        </is>
      </c>
      <c r="B243" s="11" t="inlineStr">
        <is>
          <t>2024-04-18</t>
        </is>
      </c>
      <c r="C243" s="11" t="inlineStr">
        <is>
          <t>FUR-DSK-004</t>
        </is>
      </c>
      <c r="D243" s="7" t="inlineStr">
        <is>
          <t>Metro Compact Corner Workstation</t>
        </is>
      </c>
      <c r="E243" s="7" t="inlineStr">
        <is>
          <t>Furniture</t>
        </is>
      </c>
      <c r="F243" s="7" t="inlineStr">
        <is>
          <t>Desks &amp; Workstations</t>
        </is>
      </c>
      <c r="G243" s="7" t="inlineStr">
        <is>
          <t>West</t>
        </is>
      </c>
      <c r="H243" s="7" t="inlineStr">
        <is>
          <t>Colorado</t>
        </is>
      </c>
      <c r="I243" s="7" t="inlineStr">
        <is>
          <t>Online</t>
        </is>
      </c>
      <c r="J243" s="7" t="inlineStr">
        <is>
          <t>Consumer</t>
        </is>
      </c>
      <c r="K243" s="12" t="n">
        <v>3</v>
      </c>
      <c r="L243" s="9" t="n">
        <v>329.99</v>
      </c>
      <c r="M243" s="10" t="n">
        <v>0.1</v>
      </c>
      <c r="N243" s="9" t="n">
        <v>250.79</v>
      </c>
      <c r="O243" s="9">
        <f>K243*L243</f>
        <v/>
      </c>
      <c r="P243" s="9">
        <f>O243*M243</f>
        <v/>
      </c>
      <c r="Q243" s="9">
        <f>O243-P243</f>
        <v/>
      </c>
      <c r="R243" s="9">
        <f>K243*N243</f>
        <v/>
      </c>
      <c r="S243" s="9">
        <f>Q243-R243</f>
        <v/>
      </c>
      <c r="T243" s="10">
        <f>IFERROR(S243/Q243, 0)</f>
        <v/>
      </c>
    </row>
    <row r="244">
      <c r="A244" s="11" t="inlineStr">
        <is>
          <t>ORD-2024-1251</t>
        </is>
      </c>
      <c r="B244" s="11" t="inlineStr">
        <is>
          <t>2024-04-20</t>
        </is>
      </c>
      <c r="C244" s="11" t="inlineStr">
        <is>
          <t>TEC-ACC-008</t>
        </is>
      </c>
      <c r="D244" s="7" t="inlineStr">
        <is>
          <t>Precision Laser Bluetooth Mouse</t>
        </is>
      </c>
      <c r="E244" s="7" t="inlineStr">
        <is>
          <t>Technology</t>
        </is>
      </c>
      <c r="F244" s="7" t="inlineStr">
        <is>
          <t>Audio &amp; Accessories</t>
        </is>
      </c>
      <c r="G244" s="7" t="inlineStr">
        <is>
          <t>East</t>
        </is>
      </c>
      <c r="H244" s="7" t="inlineStr">
        <is>
          <t>Massachusetts</t>
        </is>
      </c>
      <c r="I244" s="7" t="inlineStr">
        <is>
          <t>Online</t>
        </is>
      </c>
      <c r="J244" s="7" t="inlineStr">
        <is>
          <t>Corporate</t>
        </is>
      </c>
      <c r="K244" s="12" t="n">
        <v>7</v>
      </c>
      <c r="L244" s="9" t="n">
        <v>49.99</v>
      </c>
      <c r="M244" s="10" t="n">
        <v>0.1</v>
      </c>
      <c r="N244" s="9" t="n">
        <v>27.49</v>
      </c>
      <c r="O244" s="9">
        <f>K244*L244</f>
        <v/>
      </c>
      <c r="P244" s="9">
        <f>O244*M244</f>
        <v/>
      </c>
      <c r="Q244" s="9">
        <f>O244-P244</f>
        <v/>
      </c>
      <c r="R244" s="9">
        <f>K244*N244</f>
        <v/>
      </c>
      <c r="S244" s="9">
        <f>Q244-R244</f>
        <v/>
      </c>
      <c r="T244" s="10">
        <f>IFERROR(S244/Q244, 0)</f>
        <v/>
      </c>
    </row>
    <row r="245">
      <c r="A245" s="11" t="inlineStr">
        <is>
          <t>ORD-2024-1437</t>
        </is>
      </c>
      <c r="B245" s="11" t="inlineStr">
        <is>
          <t>2024-04-20</t>
        </is>
      </c>
      <c r="C245" s="11" t="inlineStr">
        <is>
          <t>OFF-PAP-003</t>
        </is>
      </c>
      <c r="D245" s="7" t="inlineStr">
        <is>
          <t>UltraWhite Premium Multipurpose Paper (Case)</t>
        </is>
      </c>
      <c r="E245" s="7" t="inlineStr">
        <is>
          <t>Office Supplies</t>
        </is>
      </c>
      <c r="F245" s="7" t="inlineStr">
        <is>
          <t>Paper Products</t>
        </is>
      </c>
      <c r="G245" s="7" t="inlineStr">
        <is>
          <t>South</t>
        </is>
      </c>
      <c r="H245" s="7" t="inlineStr">
        <is>
          <t>Florida</t>
        </is>
      </c>
      <c r="I245" s="7" t="inlineStr">
        <is>
          <t>Wholesale</t>
        </is>
      </c>
      <c r="J245" s="7" t="inlineStr">
        <is>
          <t>Corporate</t>
        </is>
      </c>
      <c r="K245" s="12" t="n">
        <v>15</v>
      </c>
      <c r="L245" s="9" t="n">
        <v>54.99</v>
      </c>
      <c r="M245" s="10" t="n">
        <v>0.15</v>
      </c>
      <c r="N245" s="9" t="n">
        <v>31.89</v>
      </c>
      <c r="O245" s="9">
        <f>K245*L245</f>
        <v/>
      </c>
      <c r="P245" s="9">
        <f>O245*M245</f>
        <v/>
      </c>
      <c r="Q245" s="9">
        <f>O245-P245</f>
        <v/>
      </c>
      <c r="R245" s="9">
        <f>K245*N245</f>
        <v/>
      </c>
      <c r="S245" s="9">
        <f>Q245-R245</f>
        <v/>
      </c>
      <c r="T245" s="10">
        <f>IFERROR(S245/Q245, 0)</f>
        <v/>
      </c>
    </row>
    <row r="246">
      <c r="A246" s="11" t="inlineStr">
        <is>
          <t>ORD-2024-1437</t>
        </is>
      </c>
      <c r="B246" s="11" t="inlineStr">
        <is>
          <t>2024-04-20</t>
        </is>
      </c>
      <c r="C246" s="11" t="inlineStr">
        <is>
          <t>TEC-ACC-006</t>
        </is>
      </c>
      <c r="D246" s="7" t="inlineStr">
        <is>
          <t>MultiPort Thunderbolt 4 Dock</t>
        </is>
      </c>
      <c r="E246" s="7" t="inlineStr">
        <is>
          <t>Technology</t>
        </is>
      </c>
      <c r="F246" s="7" t="inlineStr">
        <is>
          <t>Audio &amp; Accessories</t>
        </is>
      </c>
      <c r="G246" s="7" t="inlineStr">
        <is>
          <t>South</t>
        </is>
      </c>
      <c r="H246" s="7" t="inlineStr">
        <is>
          <t>Florida</t>
        </is>
      </c>
      <c r="I246" s="7" t="inlineStr">
        <is>
          <t>Wholesale</t>
        </is>
      </c>
      <c r="J246" s="7" t="inlineStr">
        <is>
          <t>Corporate</t>
        </is>
      </c>
      <c r="K246" s="12" t="n">
        <v>14</v>
      </c>
      <c r="L246" s="9" t="n">
        <v>149.99</v>
      </c>
      <c r="M246" s="10" t="n">
        <v>0.1</v>
      </c>
      <c r="N246" s="9" t="n">
        <v>98.98999999999999</v>
      </c>
      <c r="O246" s="9">
        <f>K246*L246</f>
        <v/>
      </c>
      <c r="P246" s="9">
        <f>O246*M246</f>
        <v/>
      </c>
      <c r="Q246" s="9">
        <f>O246-P246</f>
        <v/>
      </c>
      <c r="R246" s="9">
        <f>K246*N246</f>
        <v/>
      </c>
      <c r="S246" s="9">
        <f>Q246-R246</f>
        <v/>
      </c>
      <c r="T246" s="10">
        <f>IFERROR(S246/Q246, 0)</f>
        <v/>
      </c>
    </row>
    <row r="247">
      <c r="A247" s="11" t="inlineStr">
        <is>
          <t>ORD-2024-1437</t>
        </is>
      </c>
      <c r="B247" s="11" t="inlineStr">
        <is>
          <t>2024-04-20</t>
        </is>
      </c>
      <c r="C247" s="11" t="inlineStr">
        <is>
          <t>OFF-BIN-005</t>
        </is>
      </c>
      <c r="D247" s="7" t="inlineStr">
        <is>
          <t>Heavy-Duty D-Ring Presentation Binder (6-Pk)</t>
        </is>
      </c>
      <c r="E247" s="7" t="inlineStr">
        <is>
          <t>Office Supplies</t>
        </is>
      </c>
      <c r="F247" s="7" t="inlineStr">
        <is>
          <t>Binders &amp; Fasteners</t>
        </is>
      </c>
      <c r="G247" s="7" t="inlineStr">
        <is>
          <t>South</t>
        </is>
      </c>
      <c r="H247" s="7" t="inlineStr">
        <is>
          <t>Florida</t>
        </is>
      </c>
      <c r="I247" s="7" t="inlineStr">
        <is>
          <t>Wholesale</t>
        </is>
      </c>
      <c r="J247" s="7" t="inlineStr">
        <is>
          <t>Corporate</t>
        </is>
      </c>
      <c r="K247" s="12" t="n">
        <v>7</v>
      </c>
      <c r="L247" s="9" t="n">
        <v>27.99</v>
      </c>
      <c r="M247" s="10" t="n">
        <v>0.15</v>
      </c>
      <c r="N247" s="9" t="n">
        <v>13.99</v>
      </c>
      <c r="O247" s="9">
        <f>K247*L247</f>
        <v/>
      </c>
      <c r="P247" s="9">
        <f>O247*M247</f>
        <v/>
      </c>
      <c r="Q247" s="9">
        <f>O247-P247</f>
        <v/>
      </c>
      <c r="R247" s="9">
        <f>K247*N247</f>
        <v/>
      </c>
      <c r="S247" s="9">
        <f>Q247-R247</f>
        <v/>
      </c>
      <c r="T247" s="10">
        <f>IFERROR(S247/Q247, 0)</f>
        <v/>
      </c>
    </row>
    <row r="248">
      <c r="A248" s="11" t="inlineStr">
        <is>
          <t>ORD-2024-1437</t>
        </is>
      </c>
      <c r="B248" s="11" t="inlineStr">
        <is>
          <t>2024-04-20</t>
        </is>
      </c>
      <c r="C248" s="11" t="inlineStr">
        <is>
          <t>TEC-ACC-006</t>
        </is>
      </c>
      <c r="D248" s="7" t="inlineStr">
        <is>
          <t>MultiPort Thunderbolt 4 Dock</t>
        </is>
      </c>
      <c r="E248" s="7" t="inlineStr">
        <is>
          <t>Technology</t>
        </is>
      </c>
      <c r="F248" s="7" t="inlineStr">
        <is>
          <t>Audio &amp; Accessories</t>
        </is>
      </c>
      <c r="G248" s="7" t="inlineStr">
        <is>
          <t>South</t>
        </is>
      </c>
      <c r="H248" s="7" t="inlineStr">
        <is>
          <t>Florida</t>
        </is>
      </c>
      <c r="I248" s="7" t="inlineStr">
        <is>
          <t>Wholesale</t>
        </is>
      </c>
      <c r="J248" s="7" t="inlineStr">
        <is>
          <t>Corporate</t>
        </is>
      </c>
      <c r="K248" s="12" t="n">
        <v>15</v>
      </c>
      <c r="L248" s="9" t="n">
        <v>149.99</v>
      </c>
      <c r="M248" s="10" t="n">
        <v>0.15</v>
      </c>
      <c r="N248" s="9" t="n">
        <v>98.98999999999999</v>
      </c>
      <c r="O248" s="9">
        <f>K248*L248</f>
        <v/>
      </c>
      <c r="P248" s="9">
        <f>O248*M248</f>
        <v/>
      </c>
      <c r="Q248" s="9">
        <f>O248-P248</f>
        <v/>
      </c>
      <c r="R248" s="9">
        <f>K248*N248</f>
        <v/>
      </c>
      <c r="S248" s="9">
        <f>Q248-R248</f>
        <v/>
      </c>
      <c r="T248" s="10">
        <f>IFERROR(S248/Q248, 0)</f>
        <v/>
      </c>
    </row>
    <row r="249">
      <c r="A249" s="11" t="inlineStr">
        <is>
          <t>ORD-2024-1093</t>
        </is>
      </c>
      <c r="B249" s="11" t="inlineStr">
        <is>
          <t>2024-04-21</t>
        </is>
      </c>
      <c r="C249" s="11" t="inlineStr">
        <is>
          <t>OFF-DSK-008</t>
        </is>
      </c>
      <c r="D249" s="7" t="inlineStr">
        <is>
          <t>Steel Desktop Mesh Organizer Caddy</t>
        </is>
      </c>
      <c r="E249" s="7" t="inlineStr">
        <is>
          <t>Office Supplies</t>
        </is>
      </c>
      <c r="F249" s="7" t="inlineStr">
        <is>
          <t>Desk Supplies</t>
        </is>
      </c>
      <c r="G249" s="7" t="inlineStr">
        <is>
          <t>West</t>
        </is>
      </c>
      <c r="H249" s="7" t="inlineStr">
        <is>
          <t>Colorado</t>
        </is>
      </c>
      <c r="I249" s="7" t="inlineStr">
        <is>
          <t>Online</t>
        </is>
      </c>
      <c r="J249" s="7" t="inlineStr">
        <is>
          <t>Consumer</t>
        </is>
      </c>
      <c r="K249" s="12" t="n">
        <v>3</v>
      </c>
      <c r="L249" s="9" t="n">
        <v>18.99</v>
      </c>
      <c r="M249" s="10" t="n">
        <v>0</v>
      </c>
      <c r="N249" s="9" t="n">
        <v>8.550000000000001</v>
      </c>
      <c r="O249" s="9">
        <f>K249*L249</f>
        <v/>
      </c>
      <c r="P249" s="9">
        <f>O249*M249</f>
        <v/>
      </c>
      <c r="Q249" s="9">
        <f>O249-P249</f>
        <v/>
      </c>
      <c r="R249" s="9">
        <f>K249*N249</f>
        <v/>
      </c>
      <c r="S249" s="9">
        <f>Q249-R249</f>
        <v/>
      </c>
      <c r="T249" s="10">
        <f>IFERROR(S249/Q249, 0)</f>
        <v/>
      </c>
    </row>
    <row r="250">
      <c r="A250" s="11" t="inlineStr">
        <is>
          <t>ORD-2024-1442</t>
        </is>
      </c>
      <c r="B250" s="11" t="inlineStr">
        <is>
          <t>2024-04-21</t>
        </is>
      </c>
      <c r="C250" s="11" t="inlineStr">
        <is>
          <t>OFF-STR-002</t>
        </is>
      </c>
      <c r="D250" s="7" t="inlineStr">
        <is>
          <t>Stackable Heavy-Duty Storage Bins (4-Pk)</t>
        </is>
      </c>
      <c r="E250" s="7" t="inlineStr">
        <is>
          <t>Office Supplies</t>
        </is>
      </c>
      <c r="F250" s="7" t="inlineStr">
        <is>
          <t>Storage &amp; Organizers</t>
        </is>
      </c>
      <c r="G250" s="7" t="inlineStr">
        <is>
          <t>Central</t>
        </is>
      </c>
      <c r="H250" s="7" t="inlineStr">
        <is>
          <t>Ohio</t>
        </is>
      </c>
      <c r="I250" s="7" t="inlineStr">
        <is>
          <t>Online</t>
        </is>
      </c>
      <c r="J250" s="7" t="inlineStr">
        <is>
          <t>Consumer</t>
        </is>
      </c>
      <c r="K250" s="12" t="n">
        <v>2</v>
      </c>
      <c r="L250" s="9" t="n">
        <v>44.99</v>
      </c>
      <c r="M250" s="10" t="n">
        <v>0.05</v>
      </c>
      <c r="N250" s="9" t="n">
        <v>24.74</v>
      </c>
      <c r="O250" s="9">
        <f>K250*L250</f>
        <v/>
      </c>
      <c r="P250" s="9">
        <f>O250*M250</f>
        <v/>
      </c>
      <c r="Q250" s="9">
        <f>O250-P250</f>
        <v/>
      </c>
      <c r="R250" s="9">
        <f>K250*N250</f>
        <v/>
      </c>
      <c r="S250" s="9">
        <f>Q250-R250</f>
        <v/>
      </c>
      <c r="T250" s="10">
        <f>IFERROR(S250/Q250, 0)</f>
        <v/>
      </c>
    </row>
    <row r="251">
      <c r="A251" s="11" t="inlineStr">
        <is>
          <t>ORD-2024-1442</t>
        </is>
      </c>
      <c r="B251" s="11" t="inlineStr">
        <is>
          <t>2024-04-21</t>
        </is>
      </c>
      <c r="C251" s="11" t="inlineStr">
        <is>
          <t>OFF-DSK-008</t>
        </is>
      </c>
      <c r="D251" s="7" t="inlineStr">
        <is>
          <t>Steel Desktop Mesh Organizer Caddy</t>
        </is>
      </c>
      <c r="E251" s="7" t="inlineStr">
        <is>
          <t>Office Supplies</t>
        </is>
      </c>
      <c r="F251" s="7" t="inlineStr">
        <is>
          <t>Desk Supplies</t>
        </is>
      </c>
      <c r="G251" s="7" t="inlineStr">
        <is>
          <t>Central</t>
        </is>
      </c>
      <c r="H251" s="7" t="inlineStr">
        <is>
          <t>Ohio</t>
        </is>
      </c>
      <c r="I251" s="7" t="inlineStr">
        <is>
          <t>Online</t>
        </is>
      </c>
      <c r="J251" s="7" t="inlineStr">
        <is>
          <t>Consumer</t>
        </is>
      </c>
      <c r="K251" s="12" t="n">
        <v>4</v>
      </c>
      <c r="L251" s="9" t="n">
        <v>18.99</v>
      </c>
      <c r="M251" s="10" t="n">
        <v>0</v>
      </c>
      <c r="N251" s="9" t="n">
        <v>8.550000000000001</v>
      </c>
      <c r="O251" s="9">
        <f>K251*L251</f>
        <v/>
      </c>
      <c r="P251" s="9">
        <f>O251*M251</f>
        <v/>
      </c>
      <c r="Q251" s="9">
        <f>O251-P251</f>
        <v/>
      </c>
      <c r="R251" s="9">
        <f>K251*N251</f>
        <v/>
      </c>
      <c r="S251" s="9">
        <f>Q251-R251</f>
        <v/>
      </c>
      <c r="T251" s="10">
        <f>IFERROR(S251/Q251, 0)</f>
        <v/>
      </c>
    </row>
    <row r="252">
      <c r="A252" s="11" t="inlineStr">
        <is>
          <t>ORD-2024-1537</t>
        </is>
      </c>
      <c r="B252" s="11" t="inlineStr">
        <is>
          <t>2024-04-22</t>
        </is>
      </c>
      <c r="C252" s="11" t="inlineStr">
        <is>
          <t>OFF-PAP-004</t>
        </is>
      </c>
      <c r="D252" s="7" t="inlineStr">
        <is>
          <t>EcoRecycled Copy Paper (5 Reams)</t>
        </is>
      </c>
      <c r="E252" s="7" t="inlineStr">
        <is>
          <t>Office Supplies</t>
        </is>
      </c>
      <c r="F252" s="7" t="inlineStr">
        <is>
          <t>Paper Products</t>
        </is>
      </c>
      <c r="G252" s="7" t="inlineStr">
        <is>
          <t>West</t>
        </is>
      </c>
      <c r="H252" s="7" t="inlineStr">
        <is>
          <t>Colorado</t>
        </is>
      </c>
      <c r="I252" s="7" t="inlineStr">
        <is>
          <t>Retail Partner</t>
        </is>
      </c>
      <c r="J252" s="7" t="inlineStr">
        <is>
          <t>Corporate</t>
        </is>
      </c>
      <c r="K252" s="12" t="n">
        <v>5</v>
      </c>
      <c r="L252" s="9" t="n">
        <v>32.99</v>
      </c>
      <c r="M252" s="10" t="n">
        <v>0</v>
      </c>
      <c r="N252" s="9" t="n">
        <v>19.79</v>
      </c>
      <c r="O252" s="9">
        <f>K252*L252</f>
        <v/>
      </c>
      <c r="P252" s="9">
        <f>O252*M252</f>
        <v/>
      </c>
      <c r="Q252" s="9">
        <f>O252-P252</f>
        <v/>
      </c>
      <c r="R252" s="9">
        <f>K252*N252</f>
        <v/>
      </c>
      <c r="S252" s="9">
        <f>Q252-R252</f>
        <v/>
      </c>
      <c r="T252" s="10">
        <f>IFERROR(S252/Q252, 0)</f>
        <v/>
      </c>
    </row>
    <row r="253">
      <c r="A253" s="11" t="inlineStr">
        <is>
          <t>ORD-2024-1537</t>
        </is>
      </c>
      <c r="B253" s="11" t="inlineStr">
        <is>
          <t>2024-04-22</t>
        </is>
      </c>
      <c r="C253" s="11" t="inlineStr">
        <is>
          <t>TEC-ACC-008</t>
        </is>
      </c>
      <c r="D253" s="7" t="inlineStr">
        <is>
          <t>Precision Laser Bluetooth Mouse</t>
        </is>
      </c>
      <c r="E253" s="7" t="inlineStr">
        <is>
          <t>Technology</t>
        </is>
      </c>
      <c r="F253" s="7" t="inlineStr">
        <is>
          <t>Audio &amp; Accessories</t>
        </is>
      </c>
      <c r="G253" s="7" t="inlineStr">
        <is>
          <t>West</t>
        </is>
      </c>
      <c r="H253" s="7" t="inlineStr">
        <is>
          <t>Colorado</t>
        </is>
      </c>
      <c r="I253" s="7" t="inlineStr">
        <is>
          <t>Retail Partner</t>
        </is>
      </c>
      <c r="J253" s="7" t="inlineStr">
        <is>
          <t>Corporate</t>
        </is>
      </c>
      <c r="K253" s="12" t="n">
        <v>3</v>
      </c>
      <c r="L253" s="9" t="n">
        <v>49.99</v>
      </c>
      <c r="M253" s="10" t="n">
        <v>0.1</v>
      </c>
      <c r="N253" s="9" t="n">
        <v>27.49</v>
      </c>
      <c r="O253" s="9">
        <f>K253*L253</f>
        <v/>
      </c>
      <c r="P253" s="9">
        <f>O253*M253</f>
        <v/>
      </c>
      <c r="Q253" s="9">
        <f>O253-P253</f>
        <v/>
      </c>
      <c r="R253" s="9">
        <f>K253*N253</f>
        <v/>
      </c>
      <c r="S253" s="9">
        <f>Q253-R253</f>
        <v/>
      </c>
      <c r="T253" s="10">
        <f>IFERROR(S253/Q253, 0)</f>
        <v/>
      </c>
    </row>
    <row r="254">
      <c r="A254" s="11" t="inlineStr">
        <is>
          <t>ORD-2024-1655</t>
        </is>
      </c>
      <c r="B254" s="11" t="inlineStr">
        <is>
          <t>2024-04-23</t>
        </is>
      </c>
      <c r="C254" s="11" t="inlineStr">
        <is>
          <t>TEC-ACC-007</t>
        </is>
      </c>
      <c r="D254" s="7" t="inlineStr">
        <is>
          <t>ErgoMechanical Wireless Keyboard</t>
        </is>
      </c>
      <c r="E254" s="7" t="inlineStr">
        <is>
          <t>Technology</t>
        </is>
      </c>
      <c r="F254" s="7" t="inlineStr">
        <is>
          <t>Audio &amp; Accessories</t>
        </is>
      </c>
      <c r="G254" s="7" t="inlineStr">
        <is>
          <t>West</t>
        </is>
      </c>
      <c r="H254" s="7" t="inlineStr">
        <is>
          <t>Washington</t>
        </is>
      </c>
      <c r="I254" s="7" t="inlineStr">
        <is>
          <t>Online</t>
        </is>
      </c>
      <c r="J254" s="7" t="inlineStr">
        <is>
          <t>Consumer</t>
        </is>
      </c>
      <c r="K254" s="12" t="n">
        <v>3</v>
      </c>
      <c r="L254" s="9" t="n">
        <v>109.99</v>
      </c>
      <c r="M254" s="10" t="n">
        <v>0.15</v>
      </c>
      <c r="N254" s="9" t="n">
        <v>65.98999999999999</v>
      </c>
      <c r="O254" s="9">
        <f>K254*L254</f>
        <v/>
      </c>
      <c r="P254" s="9">
        <f>O254*M254</f>
        <v/>
      </c>
      <c r="Q254" s="9">
        <f>O254-P254</f>
        <v/>
      </c>
      <c r="R254" s="9">
        <f>K254*N254</f>
        <v/>
      </c>
      <c r="S254" s="9">
        <f>Q254-R254</f>
        <v/>
      </c>
      <c r="T254" s="10">
        <f>IFERROR(S254/Q254, 0)</f>
        <v/>
      </c>
    </row>
    <row r="255">
      <c r="A255" s="11" t="inlineStr">
        <is>
          <t>ORD-2024-1687</t>
        </is>
      </c>
      <c r="B255" s="11" t="inlineStr">
        <is>
          <t>2024-04-23</t>
        </is>
      </c>
      <c r="C255" s="11" t="inlineStr">
        <is>
          <t>TEC-ACC-008</t>
        </is>
      </c>
      <c r="D255" s="7" t="inlineStr">
        <is>
          <t>Precision Laser Bluetooth Mouse</t>
        </is>
      </c>
      <c r="E255" s="7" t="inlineStr">
        <is>
          <t>Technology</t>
        </is>
      </c>
      <c r="F255" s="7" t="inlineStr">
        <is>
          <t>Audio &amp; Accessories</t>
        </is>
      </c>
      <c r="G255" s="7" t="inlineStr">
        <is>
          <t>West</t>
        </is>
      </c>
      <c r="H255" s="7" t="inlineStr">
        <is>
          <t>Washington</t>
        </is>
      </c>
      <c r="I255" s="7" t="inlineStr">
        <is>
          <t>Online</t>
        </is>
      </c>
      <c r="J255" s="7" t="inlineStr">
        <is>
          <t>Consumer</t>
        </is>
      </c>
      <c r="K255" s="12" t="n">
        <v>2</v>
      </c>
      <c r="L255" s="9" t="n">
        <v>49.99</v>
      </c>
      <c r="M255" s="10" t="n">
        <v>0</v>
      </c>
      <c r="N255" s="9" t="n">
        <v>27.49</v>
      </c>
      <c r="O255" s="9">
        <f>K255*L255</f>
        <v/>
      </c>
      <c r="P255" s="9">
        <f>O255*M255</f>
        <v/>
      </c>
      <c r="Q255" s="9">
        <f>O255-P255</f>
        <v/>
      </c>
      <c r="R255" s="9">
        <f>K255*N255</f>
        <v/>
      </c>
      <c r="S255" s="9">
        <f>Q255-R255</f>
        <v/>
      </c>
      <c r="T255" s="10">
        <f>IFERROR(S255/Q255, 0)</f>
        <v/>
      </c>
    </row>
    <row r="256">
      <c r="A256" s="11" t="inlineStr">
        <is>
          <t>ORD-2024-1171</t>
        </is>
      </c>
      <c r="B256" s="11" t="inlineStr">
        <is>
          <t>2024-04-24</t>
        </is>
      </c>
      <c r="C256" s="11" t="inlineStr">
        <is>
          <t>TEC-ACC-007</t>
        </is>
      </c>
      <c r="D256" s="7" t="inlineStr">
        <is>
          <t>ErgoMechanical Wireless Keyboard</t>
        </is>
      </c>
      <c r="E256" s="7" t="inlineStr">
        <is>
          <t>Technology</t>
        </is>
      </c>
      <c r="F256" s="7" t="inlineStr">
        <is>
          <t>Audio &amp; Accessories</t>
        </is>
      </c>
      <c r="G256" s="7" t="inlineStr">
        <is>
          <t>South</t>
        </is>
      </c>
      <c r="H256" s="7" t="inlineStr">
        <is>
          <t>Georgia</t>
        </is>
      </c>
      <c r="I256" s="7" t="inlineStr">
        <is>
          <t>Direct Sales</t>
        </is>
      </c>
      <c r="J256" s="7" t="inlineStr">
        <is>
          <t>Corporate</t>
        </is>
      </c>
      <c r="K256" s="12" t="n">
        <v>3</v>
      </c>
      <c r="L256" s="9" t="n">
        <v>109.99</v>
      </c>
      <c r="M256" s="10" t="n">
        <v>0</v>
      </c>
      <c r="N256" s="9" t="n">
        <v>65.98999999999999</v>
      </c>
      <c r="O256" s="9">
        <f>K256*L256</f>
        <v/>
      </c>
      <c r="P256" s="9">
        <f>O256*M256</f>
        <v/>
      </c>
      <c r="Q256" s="9">
        <f>O256-P256</f>
        <v/>
      </c>
      <c r="R256" s="9">
        <f>K256*N256</f>
        <v/>
      </c>
      <c r="S256" s="9">
        <f>Q256-R256</f>
        <v/>
      </c>
      <c r="T256" s="10">
        <f>IFERROR(S256/Q256, 0)</f>
        <v/>
      </c>
    </row>
    <row r="257">
      <c r="A257" s="11" t="inlineStr">
        <is>
          <t>ORD-2024-1290</t>
        </is>
      </c>
      <c r="B257" s="11" t="inlineStr">
        <is>
          <t>2024-04-24</t>
        </is>
      </c>
      <c r="C257" s="11" t="inlineStr">
        <is>
          <t>OFF-STR-001</t>
        </is>
      </c>
      <c r="D257" s="7" t="inlineStr">
        <is>
          <t>SteelLock 3-Drawer File Cabinet</t>
        </is>
      </c>
      <c r="E257" s="7" t="inlineStr">
        <is>
          <t>Office Supplies</t>
        </is>
      </c>
      <c r="F257" s="7" t="inlineStr">
        <is>
          <t>Storage &amp; Organizers</t>
        </is>
      </c>
      <c r="G257" s="7" t="inlineStr">
        <is>
          <t>South</t>
        </is>
      </c>
      <c r="H257" s="7" t="inlineStr">
        <is>
          <t>North Carolina</t>
        </is>
      </c>
      <c r="I257" s="7" t="inlineStr">
        <is>
          <t>Direct Sales</t>
        </is>
      </c>
      <c r="J257" s="7" t="inlineStr">
        <is>
          <t>Consumer</t>
        </is>
      </c>
      <c r="K257" s="12" t="n">
        <v>1</v>
      </c>
      <c r="L257" s="9" t="n">
        <v>169.99</v>
      </c>
      <c r="M257" s="10" t="n">
        <v>0.1</v>
      </c>
      <c r="N257" s="9" t="n">
        <v>115.59</v>
      </c>
      <c r="O257" s="9">
        <f>K257*L257</f>
        <v/>
      </c>
      <c r="P257" s="9">
        <f>O257*M257</f>
        <v/>
      </c>
      <c r="Q257" s="9">
        <f>O257-P257</f>
        <v/>
      </c>
      <c r="R257" s="9">
        <f>K257*N257</f>
        <v/>
      </c>
      <c r="S257" s="9">
        <f>Q257-R257</f>
        <v/>
      </c>
      <c r="T257" s="10">
        <f>IFERROR(S257/Q257, 0)</f>
        <v/>
      </c>
    </row>
    <row r="258">
      <c r="A258" s="11" t="inlineStr">
        <is>
          <t>ORD-2024-1290</t>
        </is>
      </c>
      <c r="B258" s="11" t="inlineStr">
        <is>
          <t>2024-04-24</t>
        </is>
      </c>
      <c r="C258" s="11" t="inlineStr">
        <is>
          <t>TEC-LAP-002</t>
        </is>
      </c>
      <c r="D258" s="7" t="inlineStr">
        <is>
          <t>Apex Gaming Laptop 17"</t>
        </is>
      </c>
      <c r="E258" s="7" t="inlineStr">
        <is>
          <t>Technology</t>
        </is>
      </c>
      <c r="F258" s="7" t="inlineStr">
        <is>
          <t>Laptops</t>
        </is>
      </c>
      <c r="G258" s="7" t="inlineStr">
        <is>
          <t>South</t>
        </is>
      </c>
      <c r="H258" s="7" t="inlineStr">
        <is>
          <t>North Carolina</t>
        </is>
      </c>
      <c r="I258" s="7" t="inlineStr">
        <is>
          <t>Direct Sales</t>
        </is>
      </c>
      <c r="J258" s="7" t="inlineStr">
        <is>
          <t>Consumer</t>
        </is>
      </c>
      <c r="K258" s="12" t="n">
        <v>4</v>
      </c>
      <c r="L258" s="9" t="n">
        <v>1499.99</v>
      </c>
      <c r="M258" s="10" t="n">
        <v>0.25</v>
      </c>
      <c r="N258" s="9" t="n">
        <v>1259.99</v>
      </c>
      <c r="O258" s="9">
        <f>K258*L258</f>
        <v/>
      </c>
      <c r="P258" s="9">
        <f>O258*M258</f>
        <v/>
      </c>
      <c r="Q258" s="9">
        <f>O258-P258</f>
        <v/>
      </c>
      <c r="R258" s="9">
        <f>K258*N258</f>
        <v/>
      </c>
      <c r="S258" s="9">
        <f>Q258-R258</f>
        <v/>
      </c>
      <c r="T258" s="10">
        <f>IFERROR(S258/Q258, 0)</f>
        <v/>
      </c>
    </row>
    <row r="259">
      <c r="A259" s="11" t="inlineStr">
        <is>
          <t>ORD-2024-1719</t>
        </is>
      </c>
      <c r="B259" s="11" t="inlineStr">
        <is>
          <t>2024-04-24</t>
        </is>
      </c>
      <c r="C259" s="11" t="inlineStr">
        <is>
          <t>FUR-CHA-002</t>
        </is>
      </c>
      <c r="D259" s="7" t="inlineStr">
        <is>
          <t>AeroTask Operator Task Chair</t>
        </is>
      </c>
      <c r="E259" s="7" t="inlineStr">
        <is>
          <t>Furniture</t>
        </is>
      </c>
      <c r="F259" s="7" t="inlineStr">
        <is>
          <t>Chairs</t>
        </is>
      </c>
      <c r="G259" s="7" t="inlineStr">
        <is>
          <t>Central</t>
        </is>
      </c>
      <c r="H259" s="7" t="inlineStr">
        <is>
          <t>Michigan</t>
        </is>
      </c>
      <c r="I259" s="7" t="inlineStr">
        <is>
          <t>Retail Partner</t>
        </is>
      </c>
      <c r="J259" s="7" t="inlineStr">
        <is>
          <t>Consumer</t>
        </is>
      </c>
      <c r="K259" s="12" t="n">
        <v>1</v>
      </c>
      <c r="L259" s="9" t="n">
        <v>219.99</v>
      </c>
      <c r="M259" s="10" t="n">
        <v>0</v>
      </c>
      <c r="N259" s="9" t="n">
        <v>171.59</v>
      </c>
      <c r="O259" s="9">
        <f>K259*L259</f>
        <v/>
      </c>
      <c r="P259" s="9">
        <f>O259*M259</f>
        <v/>
      </c>
      <c r="Q259" s="9">
        <f>O259-P259</f>
        <v/>
      </c>
      <c r="R259" s="9">
        <f>K259*N259</f>
        <v/>
      </c>
      <c r="S259" s="9">
        <f>Q259-R259</f>
        <v/>
      </c>
      <c r="T259" s="10">
        <f>IFERROR(S259/Q259, 0)</f>
        <v/>
      </c>
    </row>
    <row r="260">
      <c r="A260" s="11" t="inlineStr">
        <is>
          <t>ORD-2024-1030</t>
        </is>
      </c>
      <c r="B260" s="11" t="inlineStr">
        <is>
          <t>2024-04-25</t>
        </is>
      </c>
      <c r="C260" s="11" t="inlineStr">
        <is>
          <t>TEC-TAB-004</t>
        </is>
      </c>
      <c r="D260" s="7" t="inlineStr">
        <is>
          <t>VisionPad Lite 8.5"</t>
        </is>
      </c>
      <c r="E260" s="7" t="inlineStr">
        <is>
          <t>Technology</t>
        </is>
      </c>
      <c r="F260" s="7" t="inlineStr">
        <is>
          <t>Phones &amp; Tablets</t>
        </is>
      </c>
      <c r="G260" s="7" t="inlineStr">
        <is>
          <t>West</t>
        </is>
      </c>
      <c r="H260" s="7" t="inlineStr">
        <is>
          <t>Oregon</t>
        </is>
      </c>
      <c r="I260" s="7" t="inlineStr">
        <is>
          <t>Wholesale</t>
        </is>
      </c>
      <c r="J260" s="7" t="inlineStr">
        <is>
          <t>Home Office</t>
        </is>
      </c>
      <c r="K260" s="12" t="n">
        <v>9</v>
      </c>
      <c r="L260" s="9" t="n">
        <v>299.99</v>
      </c>
      <c r="M260" s="10" t="n">
        <v>0.1</v>
      </c>
      <c r="N260" s="9" t="n">
        <v>245.99</v>
      </c>
      <c r="O260" s="9">
        <f>K260*L260</f>
        <v/>
      </c>
      <c r="P260" s="9">
        <f>O260*M260</f>
        <v/>
      </c>
      <c r="Q260" s="9">
        <f>O260-P260</f>
        <v/>
      </c>
      <c r="R260" s="9">
        <f>K260*N260</f>
        <v/>
      </c>
      <c r="S260" s="9">
        <f>Q260-R260</f>
        <v/>
      </c>
      <c r="T260" s="10">
        <f>IFERROR(S260/Q260, 0)</f>
        <v/>
      </c>
    </row>
    <row r="261">
      <c r="A261" s="11" t="inlineStr">
        <is>
          <t>ORD-2024-1519</t>
        </is>
      </c>
      <c r="B261" s="11" t="inlineStr">
        <is>
          <t>2024-04-25</t>
        </is>
      </c>
      <c r="C261" s="11" t="inlineStr">
        <is>
          <t>OFF-DSK-008</t>
        </is>
      </c>
      <c r="D261" s="7" t="inlineStr">
        <is>
          <t>Steel Desktop Mesh Organizer Caddy</t>
        </is>
      </c>
      <c r="E261" s="7" t="inlineStr">
        <is>
          <t>Office Supplies</t>
        </is>
      </c>
      <c r="F261" s="7" t="inlineStr">
        <is>
          <t>Desk Supplies</t>
        </is>
      </c>
      <c r="G261" s="7" t="inlineStr">
        <is>
          <t>East</t>
        </is>
      </c>
      <c r="H261" s="7" t="inlineStr">
        <is>
          <t>Pennsylvania</t>
        </is>
      </c>
      <c r="I261" s="7" t="inlineStr">
        <is>
          <t>Online</t>
        </is>
      </c>
      <c r="J261" s="7" t="inlineStr">
        <is>
          <t>Consumer</t>
        </is>
      </c>
      <c r="K261" s="12" t="n">
        <v>1</v>
      </c>
      <c r="L261" s="9" t="n">
        <v>18.99</v>
      </c>
      <c r="M261" s="10" t="n">
        <v>0</v>
      </c>
      <c r="N261" s="9" t="n">
        <v>8.550000000000001</v>
      </c>
      <c r="O261" s="9">
        <f>K261*L261</f>
        <v/>
      </c>
      <c r="P261" s="9">
        <f>O261*M261</f>
        <v/>
      </c>
      <c r="Q261" s="9">
        <f>O261-P261</f>
        <v/>
      </c>
      <c r="R261" s="9">
        <f>K261*N261</f>
        <v/>
      </c>
      <c r="S261" s="9">
        <f>Q261-R261</f>
        <v/>
      </c>
      <c r="T261" s="10">
        <f>IFERROR(S261/Q261, 0)</f>
        <v/>
      </c>
    </row>
    <row r="262">
      <c r="A262" s="11" t="inlineStr">
        <is>
          <t>ORD-2024-1553</t>
        </is>
      </c>
      <c r="B262" s="11" t="inlineStr">
        <is>
          <t>2024-04-25</t>
        </is>
      </c>
      <c r="C262" s="11" t="inlineStr">
        <is>
          <t>TEC-ACC-008</t>
        </is>
      </c>
      <c r="D262" s="7" t="inlineStr">
        <is>
          <t>Precision Laser Bluetooth Mouse</t>
        </is>
      </c>
      <c r="E262" s="7" t="inlineStr">
        <is>
          <t>Technology</t>
        </is>
      </c>
      <c r="F262" s="7" t="inlineStr">
        <is>
          <t>Audio &amp; Accessories</t>
        </is>
      </c>
      <c r="G262" s="7" t="inlineStr">
        <is>
          <t>West</t>
        </is>
      </c>
      <c r="H262" s="7" t="inlineStr">
        <is>
          <t>Colorado</t>
        </is>
      </c>
      <c r="I262" s="7" t="inlineStr">
        <is>
          <t>Direct Sales</t>
        </is>
      </c>
      <c r="J262" s="7" t="inlineStr">
        <is>
          <t>Consumer</t>
        </is>
      </c>
      <c r="K262" s="12" t="n">
        <v>2</v>
      </c>
      <c r="L262" s="9" t="n">
        <v>49.99</v>
      </c>
      <c r="M262" s="10" t="n">
        <v>0</v>
      </c>
      <c r="N262" s="9" t="n">
        <v>27.49</v>
      </c>
      <c r="O262" s="9">
        <f>K262*L262</f>
        <v/>
      </c>
      <c r="P262" s="9">
        <f>O262*M262</f>
        <v/>
      </c>
      <c r="Q262" s="9">
        <f>O262-P262</f>
        <v/>
      </c>
      <c r="R262" s="9">
        <f>K262*N262</f>
        <v/>
      </c>
      <c r="S262" s="9">
        <f>Q262-R262</f>
        <v/>
      </c>
      <c r="T262" s="10">
        <f>IFERROR(S262/Q262, 0)</f>
        <v/>
      </c>
    </row>
    <row r="263">
      <c r="A263" s="11" t="inlineStr">
        <is>
          <t>ORD-2024-1602</t>
        </is>
      </c>
      <c r="B263" s="11" t="inlineStr">
        <is>
          <t>2024-04-25</t>
        </is>
      </c>
      <c r="C263" s="11" t="inlineStr">
        <is>
          <t>FUR-DSK-003</t>
        </is>
      </c>
      <c r="D263" s="7" t="inlineStr">
        <is>
          <t>ApexMotor Dual-Motor Standing Desk</t>
        </is>
      </c>
      <c r="E263" s="7" t="inlineStr">
        <is>
          <t>Furniture</t>
        </is>
      </c>
      <c r="F263" s="7" t="inlineStr">
        <is>
          <t>Desks &amp; Workstations</t>
        </is>
      </c>
      <c r="G263" s="7" t="inlineStr">
        <is>
          <t>East</t>
        </is>
      </c>
      <c r="H263" s="7" t="inlineStr">
        <is>
          <t>New Jersey</t>
        </is>
      </c>
      <c r="I263" s="7" t="inlineStr">
        <is>
          <t>Retail Partner</t>
        </is>
      </c>
      <c r="J263" s="7" t="inlineStr">
        <is>
          <t>Home Office</t>
        </is>
      </c>
      <c r="K263" s="12" t="n">
        <v>1</v>
      </c>
      <c r="L263" s="9" t="n">
        <v>549.99</v>
      </c>
      <c r="M263" s="10" t="n">
        <v>0</v>
      </c>
      <c r="N263" s="9" t="n">
        <v>439.99</v>
      </c>
      <c r="O263" s="9">
        <f>K263*L263</f>
        <v/>
      </c>
      <c r="P263" s="9">
        <f>O263*M263</f>
        <v/>
      </c>
      <c r="Q263" s="9">
        <f>O263-P263</f>
        <v/>
      </c>
      <c r="R263" s="9">
        <f>K263*N263</f>
        <v/>
      </c>
      <c r="S263" s="9">
        <f>Q263-R263</f>
        <v/>
      </c>
      <c r="T263" s="10">
        <f>IFERROR(S263/Q263, 0)</f>
        <v/>
      </c>
    </row>
    <row r="264">
      <c r="A264" s="11" t="inlineStr">
        <is>
          <t>ORD-2024-1611</t>
        </is>
      </c>
      <c r="B264" s="11" t="inlineStr">
        <is>
          <t>2024-04-25</t>
        </is>
      </c>
      <c r="C264" s="11" t="inlineStr">
        <is>
          <t>TEC-TAB-004</t>
        </is>
      </c>
      <c r="D264" s="7" t="inlineStr">
        <is>
          <t>VisionPad Lite 8.5"</t>
        </is>
      </c>
      <c r="E264" s="7" t="inlineStr">
        <is>
          <t>Technology</t>
        </is>
      </c>
      <c r="F264" s="7" t="inlineStr">
        <is>
          <t>Phones &amp; Tablets</t>
        </is>
      </c>
      <c r="G264" s="7" t="inlineStr">
        <is>
          <t>South</t>
        </is>
      </c>
      <c r="H264" s="7" t="inlineStr">
        <is>
          <t>North Carolina</t>
        </is>
      </c>
      <c r="I264" s="7" t="inlineStr">
        <is>
          <t>Wholesale</t>
        </is>
      </c>
      <c r="J264" s="7" t="inlineStr">
        <is>
          <t>Home Office</t>
        </is>
      </c>
      <c r="K264" s="12" t="n">
        <v>7</v>
      </c>
      <c r="L264" s="9" t="n">
        <v>299.99</v>
      </c>
      <c r="M264" s="10" t="n">
        <v>0.15</v>
      </c>
      <c r="N264" s="9" t="n">
        <v>245.99</v>
      </c>
      <c r="O264" s="9">
        <f>K264*L264</f>
        <v/>
      </c>
      <c r="P264" s="9">
        <f>O264*M264</f>
        <v/>
      </c>
      <c r="Q264" s="9">
        <f>O264-P264</f>
        <v/>
      </c>
      <c r="R264" s="9">
        <f>K264*N264</f>
        <v/>
      </c>
      <c r="S264" s="9">
        <f>Q264-R264</f>
        <v/>
      </c>
      <c r="T264" s="10">
        <f>IFERROR(S264/Q264, 0)</f>
        <v/>
      </c>
    </row>
    <row r="265">
      <c r="A265" s="11" t="inlineStr">
        <is>
          <t>ORD-2024-1133</t>
        </is>
      </c>
      <c r="B265" s="11" t="inlineStr">
        <is>
          <t>2024-04-26</t>
        </is>
      </c>
      <c r="C265" s="11" t="inlineStr">
        <is>
          <t>TEC-ACC-006</t>
        </is>
      </c>
      <c r="D265" s="7" t="inlineStr">
        <is>
          <t>MultiPort Thunderbolt 4 Dock</t>
        </is>
      </c>
      <c r="E265" s="7" t="inlineStr">
        <is>
          <t>Technology</t>
        </is>
      </c>
      <c r="F265" s="7" t="inlineStr">
        <is>
          <t>Audio &amp; Accessories</t>
        </is>
      </c>
      <c r="G265" s="7" t="inlineStr">
        <is>
          <t>South</t>
        </is>
      </c>
      <c r="H265" s="7" t="inlineStr">
        <is>
          <t>Virginia</t>
        </is>
      </c>
      <c r="I265" s="7" t="inlineStr">
        <is>
          <t>Online</t>
        </is>
      </c>
      <c r="J265" s="7" t="inlineStr">
        <is>
          <t>Consumer</t>
        </is>
      </c>
      <c r="K265" s="12" t="n">
        <v>4</v>
      </c>
      <c r="L265" s="9" t="n">
        <v>149.99</v>
      </c>
      <c r="M265" s="10" t="n">
        <v>0</v>
      </c>
      <c r="N265" s="9" t="n">
        <v>98.98999999999999</v>
      </c>
      <c r="O265" s="9">
        <f>K265*L265</f>
        <v/>
      </c>
      <c r="P265" s="9">
        <f>O265*M265</f>
        <v/>
      </c>
      <c r="Q265" s="9">
        <f>O265-P265</f>
        <v/>
      </c>
      <c r="R265" s="9">
        <f>K265*N265</f>
        <v/>
      </c>
      <c r="S265" s="9">
        <f>Q265-R265</f>
        <v/>
      </c>
      <c r="T265" s="10">
        <f>IFERROR(S265/Q265, 0)</f>
        <v/>
      </c>
    </row>
    <row r="266">
      <c r="A266" s="11" t="inlineStr">
        <is>
          <t>ORD-2024-1567</t>
        </is>
      </c>
      <c r="B266" s="11" t="inlineStr">
        <is>
          <t>2024-04-26</t>
        </is>
      </c>
      <c r="C266" s="11" t="inlineStr">
        <is>
          <t>FUR-DSK-003</t>
        </is>
      </c>
      <c r="D266" s="7" t="inlineStr">
        <is>
          <t>ApexMotor Dual-Motor Standing Desk</t>
        </is>
      </c>
      <c r="E266" s="7" t="inlineStr">
        <is>
          <t>Furniture</t>
        </is>
      </c>
      <c r="F266" s="7" t="inlineStr">
        <is>
          <t>Desks &amp; Workstations</t>
        </is>
      </c>
      <c r="G266" s="7" t="inlineStr">
        <is>
          <t>Central</t>
        </is>
      </c>
      <c r="H266" s="7" t="inlineStr">
        <is>
          <t>Michigan</t>
        </is>
      </c>
      <c r="I266" s="7" t="inlineStr">
        <is>
          <t>Online</t>
        </is>
      </c>
      <c r="J266" s="7" t="inlineStr">
        <is>
          <t>Home Office</t>
        </is>
      </c>
      <c r="K266" s="12" t="n">
        <v>2</v>
      </c>
      <c r="L266" s="9" t="n">
        <v>549.99</v>
      </c>
      <c r="M266" s="10" t="n">
        <v>0.05</v>
      </c>
      <c r="N266" s="9" t="n">
        <v>439.99</v>
      </c>
      <c r="O266" s="9">
        <f>K266*L266</f>
        <v/>
      </c>
      <c r="P266" s="9">
        <f>O266*M266</f>
        <v/>
      </c>
      <c r="Q266" s="9">
        <f>O266-P266</f>
        <v/>
      </c>
      <c r="R266" s="9">
        <f>K266*N266</f>
        <v/>
      </c>
      <c r="S266" s="9">
        <f>Q266-R266</f>
        <v/>
      </c>
      <c r="T266" s="10">
        <f>IFERROR(S266/Q266, 0)</f>
        <v/>
      </c>
    </row>
    <row r="267">
      <c r="A267" s="11" t="inlineStr">
        <is>
          <t>ORD-2024-1567</t>
        </is>
      </c>
      <c r="B267" s="11" t="inlineStr">
        <is>
          <t>2024-04-26</t>
        </is>
      </c>
      <c r="C267" s="11" t="inlineStr">
        <is>
          <t>FUR-DSK-004</t>
        </is>
      </c>
      <c r="D267" s="7" t="inlineStr">
        <is>
          <t>Metro Compact Corner Workstation</t>
        </is>
      </c>
      <c r="E267" s="7" t="inlineStr">
        <is>
          <t>Furniture</t>
        </is>
      </c>
      <c r="F267" s="7" t="inlineStr">
        <is>
          <t>Desks &amp; Workstations</t>
        </is>
      </c>
      <c r="G267" s="7" t="inlineStr">
        <is>
          <t>Central</t>
        </is>
      </c>
      <c r="H267" s="7" t="inlineStr">
        <is>
          <t>Michigan</t>
        </is>
      </c>
      <c r="I267" s="7" t="inlineStr">
        <is>
          <t>Online</t>
        </is>
      </c>
      <c r="J267" s="7" t="inlineStr">
        <is>
          <t>Home Office</t>
        </is>
      </c>
      <c r="K267" s="12" t="n">
        <v>3</v>
      </c>
      <c r="L267" s="9" t="n">
        <v>329.99</v>
      </c>
      <c r="M267" s="10" t="n">
        <v>0</v>
      </c>
      <c r="N267" s="9" t="n">
        <v>250.79</v>
      </c>
      <c r="O267" s="9">
        <f>K267*L267</f>
        <v/>
      </c>
      <c r="P267" s="9">
        <f>O267*M267</f>
        <v/>
      </c>
      <c r="Q267" s="9">
        <f>O267-P267</f>
        <v/>
      </c>
      <c r="R267" s="9">
        <f>K267*N267</f>
        <v/>
      </c>
      <c r="S267" s="9">
        <f>Q267-R267</f>
        <v/>
      </c>
      <c r="T267" s="10">
        <f>IFERROR(S267/Q267, 0)</f>
        <v/>
      </c>
    </row>
    <row r="268">
      <c r="A268" s="11" t="inlineStr">
        <is>
          <t>ORD-2024-1567</t>
        </is>
      </c>
      <c r="B268" s="11" t="inlineStr">
        <is>
          <t>2024-04-26</t>
        </is>
      </c>
      <c r="C268" s="11" t="inlineStr">
        <is>
          <t>FUR-LGT-006</t>
        </is>
      </c>
      <c r="D268" s="7" t="inlineStr">
        <is>
          <t>Architect LED Desk Task Lamp</t>
        </is>
      </c>
      <c r="E268" s="7" t="inlineStr">
        <is>
          <t>Furniture</t>
        </is>
      </c>
      <c r="F268" s="7" t="inlineStr">
        <is>
          <t>Lighting</t>
        </is>
      </c>
      <c r="G268" s="7" t="inlineStr">
        <is>
          <t>Central</t>
        </is>
      </c>
      <c r="H268" s="7" t="inlineStr">
        <is>
          <t>Michigan</t>
        </is>
      </c>
      <c r="I268" s="7" t="inlineStr">
        <is>
          <t>Online</t>
        </is>
      </c>
      <c r="J268" s="7" t="inlineStr">
        <is>
          <t>Home Office</t>
        </is>
      </c>
      <c r="K268" s="12" t="n">
        <v>1</v>
      </c>
      <c r="L268" s="9" t="n">
        <v>69.98999999999999</v>
      </c>
      <c r="M268" s="10" t="n">
        <v>0</v>
      </c>
      <c r="N268" s="9" t="n">
        <v>43.39</v>
      </c>
      <c r="O268" s="9">
        <f>K268*L268</f>
        <v/>
      </c>
      <c r="P268" s="9">
        <f>O268*M268</f>
        <v/>
      </c>
      <c r="Q268" s="9">
        <f>O268-P268</f>
        <v/>
      </c>
      <c r="R268" s="9">
        <f>K268*N268</f>
        <v/>
      </c>
      <c r="S268" s="9">
        <f>Q268-R268</f>
        <v/>
      </c>
      <c r="T268" s="10">
        <f>IFERROR(S268/Q268, 0)</f>
        <v/>
      </c>
    </row>
    <row r="269">
      <c r="A269" s="11" t="inlineStr">
        <is>
          <t>ORD-2024-1361</t>
        </is>
      </c>
      <c r="B269" s="11" t="inlineStr">
        <is>
          <t>2024-04-27</t>
        </is>
      </c>
      <c r="C269" s="11" t="inlineStr">
        <is>
          <t>OFF-DSK-007</t>
        </is>
      </c>
      <c r="D269" s="7" t="inlineStr">
        <is>
          <t>Gel Ergo Mouse Pad &amp; Wrist Rest Combo</t>
        </is>
      </c>
      <c r="E269" s="7" t="inlineStr">
        <is>
          <t>Office Supplies</t>
        </is>
      </c>
      <c r="F269" s="7" t="inlineStr">
        <is>
          <t>Desk Supplies</t>
        </is>
      </c>
      <c r="G269" s="7" t="inlineStr">
        <is>
          <t>West</t>
        </is>
      </c>
      <c r="H269" s="7" t="inlineStr">
        <is>
          <t>California</t>
        </is>
      </c>
      <c r="I269" s="7" t="inlineStr">
        <is>
          <t>Online</t>
        </is>
      </c>
      <c r="J269" s="7" t="inlineStr">
        <is>
          <t>Consumer</t>
        </is>
      </c>
      <c r="K269" s="12" t="n">
        <v>4</v>
      </c>
      <c r="L269" s="9" t="n">
        <v>21.99</v>
      </c>
      <c r="M269" s="10" t="n">
        <v>0.05</v>
      </c>
      <c r="N269" s="9" t="n">
        <v>10.56</v>
      </c>
      <c r="O269" s="9">
        <f>K269*L269</f>
        <v/>
      </c>
      <c r="P269" s="9">
        <f>O269*M269</f>
        <v/>
      </c>
      <c r="Q269" s="9">
        <f>O269-P269</f>
        <v/>
      </c>
      <c r="R269" s="9">
        <f>K269*N269</f>
        <v/>
      </c>
      <c r="S269" s="9">
        <f>Q269-R269</f>
        <v/>
      </c>
      <c r="T269" s="10">
        <f>IFERROR(S269/Q269, 0)</f>
        <v/>
      </c>
    </row>
    <row r="270">
      <c r="A270" s="11" t="inlineStr">
        <is>
          <t>ORD-2024-1361</t>
        </is>
      </c>
      <c r="B270" s="11" t="inlineStr">
        <is>
          <t>2024-04-27</t>
        </is>
      </c>
      <c r="C270" s="11" t="inlineStr">
        <is>
          <t>OFF-PAP-003</t>
        </is>
      </c>
      <c r="D270" s="7" t="inlineStr">
        <is>
          <t>UltraWhite Premium Multipurpose Paper (Case)</t>
        </is>
      </c>
      <c r="E270" s="7" t="inlineStr">
        <is>
          <t>Office Supplies</t>
        </is>
      </c>
      <c r="F270" s="7" t="inlineStr">
        <is>
          <t>Paper Products</t>
        </is>
      </c>
      <c r="G270" s="7" t="inlineStr">
        <is>
          <t>West</t>
        </is>
      </c>
      <c r="H270" s="7" t="inlineStr">
        <is>
          <t>California</t>
        </is>
      </c>
      <c r="I270" s="7" t="inlineStr">
        <is>
          <t>Online</t>
        </is>
      </c>
      <c r="J270" s="7" t="inlineStr">
        <is>
          <t>Consumer</t>
        </is>
      </c>
      <c r="K270" s="12" t="n">
        <v>3</v>
      </c>
      <c r="L270" s="9" t="n">
        <v>54.99</v>
      </c>
      <c r="M270" s="10" t="n">
        <v>0</v>
      </c>
      <c r="N270" s="9" t="n">
        <v>31.89</v>
      </c>
      <c r="O270" s="9">
        <f>K270*L270</f>
        <v/>
      </c>
      <c r="P270" s="9">
        <f>O270*M270</f>
        <v/>
      </c>
      <c r="Q270" s="9">
        <f>O270-P270</f>
        <v/>
      </c>
      <c r="R270" s="9">
        <f>K270*N270</f>
        <v/>
      </c>
      <c r="S270" s="9">
        <f>Q270-R270</f>
        <v/>
      </c>
      <c r="T270" s="10">
        <f>IFERROR(S270/Q270, 0)</f>
        <v/>
      </c>
    </row>
    <row r="271">
      <c r="A271" s="11" t="inlineStr">
        <is>
          <t>ORD-2024-1451</t>
        </is>
      </c>
      <c r="B271" s="11" t="inlineStr">
        <is>
          <t>2024-04-28</t>
        </is>
      </c>
      <c r="C271" s="11" t="inlineStr">
        <is>
          <t>TEC-ACC-008</t>
        </is>
      </c>
      <c r="D271" s="7" t="inlineStr">
        <is>
          <t>Precision Laser Bluetooth Mouse</t>
        </is>
      </c>
      <c r="E271" s="7" t="inlineStr">
        <is>
          <t>Technology</t>
        </is>
      </c>
      <c r="F271" s="7" t="inlineStr">
        <is>
          <t>Audio &amp; Accessories</t>
        </is>
      </c>
      <c r="G271" s="7" t="inlineStr">
        <is>
          <t>East</t>
        </is>
      </c>
      <c r="H271" s="7" t="inlineStr">
        <is>
          <t>New Jersey</t>
        </is>
      </c>
      <c r="I271" s="7" t="inlineStr">
        <is>
          <t>Online</t>
        </is>
      </c>
      <c r="J271" s="7" t="inlineStr">
        <is>
          <t>Consumer</t>
        </is>
      </c>
      <c r="K271" s="12" t="n">
        <v>2</v>
      </c>
      <c r="L271" s="9" t="n">
        <v>49.99</v>
      </c>
      <c r="M271" s="10" t="n">
        <v>0</v>
      </c>
      <c r="N271" s="9" t="n">
        <v>27.49</v>
      </c>
      <c r="O271" s="9">
        <f>K271*L271</f>
        <v/>
      </c>
      <c r="P271" s="9">
        <f>O271*M271</f>
        <v/>
      </c>
      <c r="Q271" s="9">
        <f>O271-P271</f>
        <v/>
      </c>
      <c r="R271" s="9">
        <f>K271*N271</f>
        <v/>
      </c>
      <c r="S271" s="9">
        <f>Q271-R271</f>
        <v/>
      </c>
      <c r="T271" s="10">
        <f>IFERROR(S271/Q271, 0)</f>
        <v/>
      </c>
    </row>
    <row r="272">
      <c r="A272" s="11" t="inlineStr">
        <is>
          <t>ORD-2024-1451</t>
        </is>
      </c>
      <c r="B272" s="11" t="inlineStr">
        <is>
          <t>2024-04-28</t>
        </is>
      </c>
      <c r="C272" s="11" t="inlineStr">
        <is>
          <t>FUR-DSK-003</t>
        </is>
      </c>
      <c r="D272" s="7" t="inlineStr">
        <is>
          <t>ApexMotor Dual-Motor Standing Desk</t>
        </is>
      </c>
      <c r="E272" s="7" t="inlineStr">
        <is>
          <t>Furniture</t>
        </is>
      </c>
      <c r="F272" s="7" t="inlineStr">
        <is>
          <t>Desks &amp; Workstations</t>
        </is>
      </c>
      <c r="G272" s="7" t="inlineStr">
        <is>
          <t>East</t>
        </is>
      </c>
      <c r="H272" s="7" t="inlineStr">
        <is>
          <t>New Jersey</t>
        </is>
      </c>
      <c r="I272" s="7" t="inlineStr">
        <is>
          <t>Online</t>
        </is>
      </c>
      <c r="J272" s="7" t="inlineStr">
        <is>
          <t>Consumer</t>
        </is>
      </c>
      <c r="K272" s="12" t="n">
        <v>3</v>
      </c>
      <c r="L272" s="9" t="n">
        <v>549.99</v>
      </c>
      <c r="M272" s="10" t="n">
        <v>0</v>
      </c>
      <c r="N272" s="9" t="n">
        <v>439.99</v>
      </c>
      <c r="O272" s="9">
        <f>K272*L272</f>
        <v/>
      </c>
      <c r="P272" s="9">
        <f>O272*M272</f>
        <v/>
      </c>
      <c r="Q272" s="9">
        <f>O272-P272</f>
        <v/>
      </c>
      <c r="R272" s="9">
        <f>K272*N272</f>
        <v/>
      </c>
      <c r="S272" s="9">
        <f>Q272-R272</f>
        <v/>
      </c>
      <c r="T272" s="10">
        <f>IFERROR(S272/Q272, 0)</f>
        <v/>
      </c>
    </row>
    <row r="273">
      <c r="A273" s="11" t="inlineStr">
        <is>
          <t>ORD-2024-1723</t>
        </is>
      </c>
      <c r="B273" s="11" t="inlineStr">
        <is>
          <t>2024-04-28</t>
        </is>
      </c>
      <c r="C273" s="11" t="inlineStr">
        <is>
          <t>FUR-DSK-004</t>
        </is>
      </c>
      <c r="D273" s="7" t="inlineStr">
        <is>
          <t>Metro Compact Corner Workstation</t>
        </is>
      </c>
      <c r="E273" s="7" t="inlineStr">
        <is>
          <t>Furniture</t>
        </is>
      </c>
      <c r="F273" s="7" t="inlineStr">
        <is>
          <t>Desks &amp; Workstations</t>
        </is>
      </c>
      <c r="G273" s="7" t="inlineStr">
        <is>
          <t>East</t>
        </is>
      </c>
      <c r="H273" s="7" t="inlineStr">
        <is>
          <t>New Jersey</t>
        </is>
      </c>
      <c r="I273" s="7" t="inlineStr">
        <is>
          <t>Online</t>
        </is>
      </c>
      <c r="J273" s="7" t="inlineStr">
        <is>
          <t>Consumer</t>
        </is>
      </c>
      <c r="K273" s="12" t="n">
        <v>2</v>
      </c>
      <c r="L273" s="9" t="n">
        <v>329.99</v>
      </c>
      <c r="M273" s="10" t="n">
        <v>0.1</v>
      </c>
      <c r="N273" s="9" t="n">
        <v>250.79</v>
      </c>
      <c r="O273" s="9">
        <f>K273*L273</f>
        <v/>
      </c>
      <c r="P273" s="9">
        <f>O273*M273</f>
        <v/>
      </c>
      <c r="Q273" s="9">
        <f>O273-P273</f>
        <v/>
      </c>
      <c r="R273" s="9">
        <f>K273*N273</f>
        <v/>
      </c>
      <c r="S273" s="9">
        <f>Q273-R273</f>
        <v/>
      </c>
      <c r="T273" s="10">
        <f>IFERROR(S273/Q273, 0)</f>
        <v/>
      </c>
    </row>
    <row r="274">
      <c r="A274" s="11" t="inlineStr">
        <is>
          <t>ORD-2024-1723</t>
        </is>
      </c>
      <c r="B274" s="11" t="inlineStr">
        <is>
          <t>2024-04-28</t>
        </is>
      </c>
      <c r="C274" s="11" t="inlineStr">
        <is>
          <t>OFF-STR-002</t>
        </is>
      </c>
      <c r="D274" s="7" t="inlineStr">
        <is>
          <t>Stackable Heavy-Duty Storage Bins (4-Pk)</t>
        </is>
      </c>
      <c r="E274" s="7" t="inlineStr">
        <is>
          <t>Office Supplies</t>
        </is>
      </c>
      <c r="F274" s="7" t="inlineStr">
        <is>
          <t>Storage &amp; Organizers</t>
        </is>
      </c>
      <c r="G274" s="7" t="inlineStr">
        <is>
          <t>East</t>
        </is>
      </c>
      <c r="H274" s="7" t="inlineStr">
        <is>
          <t>New Jersey</t>
        </is>
      </c>
      <c r="I274" s="7" t="inlineStr">
        <is>
          <t>Online</t>
        </is>
      </c>
      <c r="J274" s="7" t="inlineStr">
        <is>
          <t>Consumer</t>
        </is>
      </c>
      <c r="K274" s="12" t="n">
        <v>1</v>
      </c>
      <c r="L274" s="9" t="n">
        <v>44.99</v>
      </c>
      <c r="M274" s="10" t="n">
        <v>0</v>
      </c>
      <c r="N274" s="9" t="n">
        <v>24.74</v>
      </c>
      <c r="O274" s="9">
        <f>K274*L274</f>
        <v/>
      </c>
      <c r="P274" s="9">
        <f>O274*M274</f>
        <v/>
      </c>
      <c r="Q274" s="9">
        <f>O274-P274</f>
        <v/>
      </c>
      <c r="R274" s="9">
        <f>K274*N274</f>
        <v/>
      </c>
      <c r="S274" s="9">
        <f>Q274-R274</f>
        <v/>
      </c>
      <c r="T274" s="10">
        <f>IFERROR(S274/Q274, 0)</f>
        <v/>
      </c>
    </row>
    <row r="275">
      <c r="A275" s="11" t="inlineStr">
        <is>
          <t>ORD-2024-1139</t>
        </is>
      </c>
      <c r="B275" s="11" t="inlineStr">
        <is>
          <t>2024-04-29</t>
        </is>
      </c>
      <c r="C275" s="11" t="inlineStr">
        <is>
          <t>FUR-CHA-001</t>
        </is>
      </c>
      <c r="D275" s="7" t="inlineStr">
        <is>
          <t>ErgoFlex Executive Mesh Chair</t>
        </is>
      </c>
      <c r="E275" s="7" t="inlineStr">
        <is>
          <t>Furniture</t>
        </is>
      </c>
      <c r="F275" s="7" t="inlineStr">
        <is>
          <t>Chairs</t>
        </is>
      </c>
      <c r="G275" s="7" t="inlineStr">
        <is>
          <t>Central</t>
        </is>
      </c>
      <c r="H275" s="7" t="inlineStr">
        <is>
          <t>Michigan</t>
        </is>
      </c>
      <c r="I275" s="7" t="inlineStr">
        <is>
          <t>Retail Partner</t>
        </is>
      </c>
      <c r="J275" s="7" t="inlineStr">
        <is>
          <t>Home Office</t>
        </is>
      </c>
      <c r="K275" s="12" t="n">
        <v>4</v>
      </c>
      <c r="L275" s="9" t="n">
        <v>389.99</v>
      </c>
      <c r="M275" s="10" t="n">
        <v>0.15</v>
      </c>
      <c r="N275" s="9" t="n">
        <v>331.49</v>
      </c>
      <c r="O275" s="9">
        <f>K275*L275</f>
        <v/>
      </c>
      <c r="P275" s="9">
        <f>O275*M275</f>
        <v/>
      </c>
      <c r="Q275" s="9">
        <f>O275-P275</f>
        <v/>
      </c>
      <c r="R275" s="9">
        <f>K275*N275</f>
        <v/>
      </c>
      <c r="S275" s="9">
        <f>Q275-R275</f>
        <v/>
      </c>
      <c r="T275" s="10">
        <f>IFERROR(S275/Q275, 0)</f>
        <v/>
      </c>
    </row>
    <row r="276">
      <c r="A276" s="11" t="inlineStr">
        <is>
          <t>ORD-2024-1244</t>
        </is>
      </c>
      <c r="B276" s="11" t="inlineStr">
        <is>
          <t>2024-04-29</t>
        </is>
      </c>
      <c r="C276" s="11" t="inlineStr">
        <is>
          <t>FUR-CHA-002</t>
        </is>
      </c>
      <c r="D276" s="7" t="inlineStr">
        <is>
          <t>AeroTask Operator Task Chair</t>
        </is>
      </c>
      <c r="E276" s="7" t="inlineStr">
        <is>
          <t>Furniture</t>
        </is>
      </c>
      <c r="F276" s="7" t="inlineStr">
        <is>
          <t>Chairs</t>
        </is>
      </c>
      <c r="G276" s="7" t="inlineStr">
        <is>
          <t>East</t>
        </is>
      </c>
      <c r="H276" s="7" t="inlineStr">
        <is>
          <t>New Jersey</t>
        </is>
      </c>
      <c r="I276" s="7" t="inlineStr">
        <is>
          <t>Online</t>
        </is>
      </c>
      <c r="J276" s="7" t="inlineStr">
        <is>
          <t>Home Office</t>
        </is>
      </c>
      <c r="K276" s="12" t="n">
        <v>2</v>
      </c>
      <c r="L276" s="9" t="n">
        <v>219.99</v>
      </c>
      <c r="M276" s="10" t="n">
        <v>0</v>
      </c>
      <c r="N276" s="9" t="n">
        <v>171.59</v>
      </c>
      <c r="O276" s="9">
        <f>K276*L276</f>
        <v/>
      </c>
      <c r="P276" s="9">
        <f>O276*M276</f>
        <v/>
      </c>
      <c r="Q276" s="9">
        <f>O276-P276</f>
        <v/>
      </c>
      <c r="R276" s="9">
        <f>K276*N276</f>
        <v/>
      </c>
      <c r="S276" s="9">
        <f>Q276-R276</f>
        <v/>
      </c>
      <c r="T276" s="10">
        <f>IFERROR(S276/Q276, 0)</f>
        <v/>
      </c>
    </row>
    <row r="277">
      <c r="A277" s="11" t="inlineStr">
        <is>
          <t>ORD-2024-1244</t>
        </is>
      </c>
      <c r="B277" s="11" t="inlineStr">
        <is>
          <t>2024-04-29</t>
        </is>
      </c>
      <c r="C277" s="11" t="inlineStr">
        <is>
          <t>TEC-TAB-003</t>
        </is>
      </c>
      <c r="D277" s="7" t="inlineStr">
        <is>
          <t>VisionPad Pro 11"</t>
        </is>
      </c>
      <c r="E277" s="7" t="inlineStr">
        <is>
          <t>Technology</t>
        </is>
      </c>
      <c r="F277" s="7" t="inlineStr">
        <is>
          <t>Phones &amp; Tablets</t>
        </is>
      </c>
      <c r="G277" s="7" t="inlineStr">
        <is>
          <t>East</t>
        </is>
      </c>
      <c r="H277" s="7" t="inlineStr">
        <is>
          <t>New Jersey</t>
        </is>
      </c>
      <c r="I277" s="7" t="inlineStr">
        <is>
          <t>Online</t>
        </is>
      </c>
      <c r="J277" s="7" t="inlineStr">
        <is>
          <t>Home Office</t>
        </is>
      </c>
      <c r="K277" s="12" t="n">
        <v>4</v>
      </c>
      <c r="L277" s="9" t="n">
        <v>649.99</v>
      </c>
      <c r="M277" s="10" t="n">
        <v>0</v>
      </c>
      <c r="N277" s="9" t="n">
        <v>487.49</v>
      </c>
      <c r="O277" s="9">
        <f>K277*L277</f>
        <v/>
      </c>
      <c r="P277" s="9">
        <f>O277*M277</f>
        <v/>
      </c>
      <c r="Q277" s="9">
        <f>O277-P277</f>
        <v/>
      </c>
      <c r="R277" s="9">
        <f>K277*N277</f>
        <v/>
      </c>
      <c r="S277" s="9">
        <f>Q277-R277</f>
        <v/>
      </c>
      <c r="T277" s="10">
        <f>IFERROR(S277/Q277, 0)</f>
        <v/>
      </c>
    </row>
    <row r="278">
      <c r="A278" s="11" t="inlineStr">
        <is>
          <t>ORD-2024-1498</t>
        </is>
      </c>
      <c r="B278" s="11" t="inlineStr">
        <is>
          <t>2024-04-29</t>
        </is>
      </c>
      <c r="C278" s="11" t="inlineStr">
        <is>
          <t>TEC-LAP-002</t>
        </is>
      </c>
      <c r="D278" s="7" t="inlineStr">
        <is>
          <t>Apex Gaming Laptop 17"</t>
        </is>
      </c>
      <c r="E278" s="7" t="inlineStr">
        <is>
          <t>Technology</t>
        </is>
      </c>
      <c r="F278" s="7" t="inlineStr">
        <is>
          <t>Laptops</t>
        </is>
      </c>
      <c r="G278" s="7" t="inlineStr">
        <is>
          <t>Central</t>
        </is>
      </c>
      <c r="H278" s="7" t="inlineStr">
        <is>
          <t>Texas</t>
        </is>
      </c>
      <c r="I278" s="7" t="inlineStr">
        <is>
          <t>Wholesale</t>
        </is>
      </c>
      <c r="J278" s="7" t="inlineStr">
        <is>
          <t>Home Office</t>
        </is>
      </c>
      <c r="K278" s="12" t="n">
        <v>11</v>
      </c>
      <c r="L278" s="9" t="n">
        <v>1499.99</v>
      </c>
      <c r="M278" s="10" t="n">
        <v>0.1</v>
      </c>
      <c r="N278" s="9" t="n">
        <v>1259.99</v>
      </c>
      <c r="O278" s="9">
        <f>K278*L278</f>
        <v/>
      </c>
      <c r="P278" s="9">
        <f>O278*M278</f>
        <v/>
      </c>
      <c r="Q278" s="9">
        <f>O278-P278</f>
        <v/>
      </c>
      <c r="R278" s="9">
        <f>K278*N278</f>
        <v/>
      </c>
      <c r="S278" s="9">
        <f>Q278-R278</f>
        <v/>
      </c>
      <c r="T278" s="10">
        <f>IFERROR(S278/Q278, 0)</f>
        <v/>
      </c>
    </row>
    <row r="279">
      <c r="A279" s="11" t="inlineStr">
        <is>
          <t>ORD-2024-1362</t>
        </is>
      </c>
      <c r="B279" s="11" t="inlineStr">
        <is>
          <t>2024-05-01</t>
        </is>
      </c>
      <c r="C279" s="11" t="inlineStr">
        <is>
          <t>FUR-CHA-002</t>
        </is>
      </c>
      <c r="D279" s="7" t="inlineStr">
        <is>
          <t>AeroTask Operator Task Chair</t>
        </is>
      </c>
      <c r="E279" s="7" t="inlineStr">
        <is>
          <t>Furniture</t>
        </is>
      </c>
      <c r="F279" s="7" t="inlineStr">
        <is>
          <t>Chairs</t>
        </is>
      </c>
      <c r="G279" s="7" t="inlineStr">
        <is>
          <t>South</t>
        </is>
      </c>
      <c r="H279" s="7" t="inlineStr">
        <is>
          <t>North Carolina</t>
        </is>
      </c>
      <c r="I279" s="7" t="inlineStr">
        <is>
          <t>Online</t>
        </is>
      </c>
      <c r="J279" s="7" t="inlineStr">
        <is>
          <t>Consumer</t>
        </is>
      </c>
      <c r="K279" s="12" t="n">
        <v>2</v>
      </c>
      <c r="L279" s="9" t="n">
        <v>219.99</v>
      </c>
      <c r="M279" s="10" t="n">
        <v>0</v>
      </c>
      <c r="N279" s="9" t="n">
        <v>171.59</v>
      </c>
      <c r="O279" s="9">
        <f>K279*L279</f>
        <v/>
      </c>
      <c r="P279" s="9">
        <f>O279*M279</f>
        <v/>
      </c>
      <c r="Q279" s="9">
        <f>O279-P279</f>
        <v/>
      </c>
      <c r="R279" s="9">
        <f>K279*N279</f>
        <v/>
      </c>
      <c r="S279" s="9">
        <f>Q279-R279</f>
        <v/>
      </c>
      <c r="T279" s="10">
        <f>IFERROR(S279/Q279, 0)</f>
        <v/>
      </c>
    </row>
    <row r="280">
      <c r="A280" s="11" t="inlineStr">
        <is>
          <t>ORD-2024-1494</t>
        </is>
      </c>
      <c r="B280" s="11" t="inlineStr">
        <is>
          <t>2024-05-01</t>
        </is>
      </c>
      <c r="C280" s="11" t="inlineStr">
        <is>
          <t>FUR-LGT-006</t>
        </is>
      </c>
      <c r="D280" s="7" t="inlineStr">
        <is>
          <t>Architect LED Desk Task Lamp</t>
        </is>
      </c>
      <c r="E280" s="7" t="inlineStr">
        <is>
          <t>Furniture</t>
        </is>
      </c>
      <c r="F280" s="7" t="inlineStr">
        <is>
          <t>Lighting</t>
        </is>
      </c>
      <c r="G280" s="7" t="inlineStr">
        <is>
          <t>Central</t>
        </is>
      </c>
      <c r="H280" s="7" t="inlineStr">
        <is>
          <t>Texas</t>
        </is>
      </c>
      <c r="I280" s="7" t="inlineStr">
        <is>
          <t>Direct Sales</t>
        </is>
      </c>
      <c r="J280" s="7" t="inlineStr">
        <is>
          <t>Consumer</t>
        </is>
      </c>
      <c r="K280" s="12" t="n">
        <v>4</v>
      </c>
      <c r="L280" s="9" t="n">
        <v>69.98999999999999</v>
      </c>
      <c r="M280" s="10" t="n">
        <v>0.1</v>
      </c>
      <c r="N280" s="9" t="n">
        <v>43.39</v>
      </c>
      <c r="O280" s="9">
        <f>K280*L280</f>
        <v/>
      </c>
      <c r="P280" s="9">
        <f>O280*M280</f>
        <v/>
      </c>
      <c r="Q280" s="9">
        <f>O280-P280</f>
        <v/>
      </c>
      <c r="R280" s="9">
        <f>K280*N280</f>
        <v/>
      </c>
      <c r="S280" s="9">
        <f>Q280-R280</f>
        <v/>
      </c>
      <c r="T280" s="10">
        <f>IFERROR(S280/Q280, 0)</f>
        <v/>
      </c>
    </row>
    <row r="281">
      <c r="A281" s="11" t="inlineStr">
        <is>
          <t>ORD-2024-1151</t>
        </is>
      </c>
      <c r="B281" s="11" t="inlineStr">
        <is>
          <t>2024-05-02</t>
        </is>
      </c>
      <c r="C281" s="11" t="inlineStr">
        <is>
          <t>OFF-PAP-004</t>
        </is>
      </c>
      <c r="D281" s="7" t="inlineStr">
        <is>
          <t>EcoRecycled Copy Paper (5 Reams)</t>
        </is>
      </c>
      <c r="E281" s="7" t="inlineStr">
        <is>
          <t>Office Supplies</t>
        </is>
      </c>
      <c r="F281" s="7" t="inlineStr">
        <is>
          <t>Paper Products</t>
        </is>
      </c>
      <c r="G281" s="7" t="inlineStr">
        <is>
          <t>East</t>
        </is>
      </c>
      <c r="H281" s="7" t="inlineStr">
        <is>
          <t>Massachusetts</t>
        </is>
      </c>
      <c r="I281" s="7" t="inlineStr">
        <is>
          <t>Retail Partner</t>
        </is>
      </c>
      <c r="J281" s="7" t="inlineStr">
        <is>
          <t>Consumer</t>
        </is>
      </c>
      <c r="K281" s="12" t="n">
        <v>4</v>
      </c>
      <c r="L281" s="9" t="n">
        <v>32.99</v>
      </c>
      <c r="M281" s="10" t="n">
        <v>0</v>
      </c>
      <c r="N281" s="9" t="n">
        <v>19.79</v>
      </c>
      <c r="O281" s="9">
        <f>K281*L281</f>
        <v/>
      </c>
      <c r="P281" s="9">
        <f>O281*M281</f>
        <v/>
      </c>
      <c r="Q281" s="9">
        <f>O281-P281</f>
        <v/>
      </c>
      <c r="R281" s="9">
        <f>K281*N281</f>
        <v/>
      </c>
      <c r="S281" s="9">
        <f>Q281-R281</f>
        <v/>
      </c>
      <c r="T281" s="10">
        <f>IFERROR(S281/Q281, 0)</f>
        <v/>
      </c>
    </row>
    <row r="282">
      <c r="A282" s="11" t="inlineStr">
        <is>
          <t>ORD-2024-1279</t>
        </is>
      </c>
      <c r="B282" s="11" t="inlineStr">
        <is>
          <t>2024-05-02</t>
        </is>
      </c>
      <c r="C282" s="11" t="inlineStr">
        <is>
          <t>TEC-ACC-008</t>
        </is>
      </c>
      <c r="D282" s="7" t="inlineStr">
        <is>
          <t>Precision Laser Bluetooth Mouse</t>
        </is>
      </c>
      <c r="E282" s="7" t="inlineStr">
        <is>
          <t>Technology</t>
        </is>
      </c>
      <c r="F282" s="7" t="inlineStr">
        <is>
          <t>Audio &amp; Accessories</t>
        </is>
      </c>
      <c r="G282" s="7" t="inlineStr">
        <is>
          <t>Central</t>
        </is>
      </c>
      <c r="H282" s="7" t="inlineStr">
        <is>
          <t>Ohio</t>
        </is>
      </c>
      <c r="I282" s="7" t="inlineStr">
        <is>
          <t>Online</t>
        </is>
      </c>
      <c r="J282" s="7" t="inlineStr">
        <is>
          <t>Home Office</t>
        </is>
      </c>
      <c r="K282" s="12" t="n">
        <v>2</v>
      </c>
      <c r="L282" s="9" t="n">
        <v>49.99</v>
      </c>
      <c r="M282" s="10" t="n">
        <v>0.05</v>
      </c>
      <c r="N282" s="9" t="n">
        <v>27.49</v>
      </c>
      <c r="O282" s="9">
        <f>K282*L282</f>
        <v/>
      </c>
      <c r="P282" s="9">
        <f>O282*M282</f>
        <v/>
      </c>
      <c r="Q282" s="9">
        <f>O282-P282</f>
        <v/>
      </c>
      <c r="R282" s="9">
        <f>K282*N282</f>
        <v/>
      </c>
      <c r="S282" s="9">
        <f>Q282-R282</f>
        <v/>
      </c>
      <c r="T282" s="10">
        <f>IFERROR(S282/Q282, 0)</f>
        <v/>
      </c>
    </row>
    <row r="283">
      <c r="A283" s="11" t="inlineStr">
        <is>
          <t>ORD-2024-1342</t>
        </is>
      </c>
      <c r="B283" s="11" t="inlineStr">
        <is>
          <t>2024-05-02</t>
        </is>
      </c>
      <c r="C283" s="11" t="inlineStr">
        <is>
          <t>OFF-PAP-003</t>
        </is>
      </c>
      <c r="D283" s="7" t="inlineStr">
        <is>
          <t>UltraWhite Premium Multipurpose Paper (Case)</t>
        </is>
      </c>
      <c r="E283" s="7" t="inlineStr">
        <is>
          <t>Office Supplies</t>
        </is>
      </c>
      <c r="F283" s="7" t="inlineStr">
        <is>
          <t>Paper Products</t>
        </is>
      </c>
      <c r="G283" s="7" t="inlineStr">
        <is>
          <t>West</t>
        </is>
      </c>
      <c r="H283" s="7" t="inlineStr">
        <is>
          <t>Oregon</t>
        </is>
      </c>
      <c r="I283" s="7" t="inlineStr">
        <is>
          <t>Online</t>
        </is>
      </c>
      <c r="J283" s="7" t="inlineStr">
        <is>
          <t>Consumer</t>
        </is>
      </c>
      <c r="K283" s="12" t="n">
        <v>1</v>
      </c>
      <c r="L283" s="9" t="n">
        <v>54.99</v>
      </c>
      <c r="M283" s="10" t="n">
        <v>0.1</v>
      </c>
      <c r="N283" s="9" t="n">
        <v>31.89</v>
      </c>
      <c r="O283" s="9">
        <f>K283*L283</f>
        <v/>
      </c>
      <c r="P283" s="9">
        <f>O283*M283</f>
        <v/>
      </c>
      <c r="Q283" s="9">
        <f>O283-P283</f>
        <v/>
      </c>
      <c r="R283" s="9">
        <f>K283*N283</f>
        <v/>
      </c>
      <c r="S283" s="9">
        <f>Q283-R283</f>
        <v/>
      </c>
      <c r="T283" s="10">
        <f>IFERROR(S283/Q283, 0)</f>
        <v/>
      </c>
    </row>
    <row r="284">
      <c r="A284" s="11" t="inlineStr">
        <is>
          <t>ORD-2024-1299</t>
        </is>
      </c>
      <c r="B284" s="11" t="inlineStr">
        <is>
          <t>2024-05-03</t>
        </is>
      </c>
      <c r="C284" s="11" t="inlineStr">
        <is>
          <t>TEC-TAB-003</t>
        </is>
      </c>
      <c r="D284" s="7" t="inlineStr">
        <is>
          <t>VisionPad Pro 11"</t>
        </is>
      </c>
      <c r="E284" s="7" t="inlineStr">
        <is>
          <t>Technology</t>
        </is>
      </c>
      <c r="F284" s="7" t="inlineStr">
        <is>
          <t>Phones &amp; Tablets</t>
        </is>
      </c>
      <c r="G284" s="7" t="inlineStr">
        <is>
          <t>South</t>
        </is>
      </c>
      <c r="H284" s="7" t="inlineStr">
        <is>
          <t>Florida</t>
        </is>
      </c>
      <c r="I284" s="7" t="inlineStr">
        <is>
          <t>Wholesale</t>
        </is>
      </c>
      <c r="J284" s="7" t="inlineStr">
        <is>
          <t>Consumer</t>
        </is>
      </c>
      <c r="K284" s="12" t="n">
        <v>6</v>
      </c>
      <c r="L284" s="9" t="n">
        <v>649.99</v>
      </c>
      <c r="M284" s="10" t="n">
        <v>0.15</v>
      </c>
      <c r="N284" s="9" t="n">
        <v>487.49</v>
      </c>
      <c r="O284" s="9">
        <f>K284*L284</f>
        <v/>
      </c>
      <c r="P284" s="9">
        <f>O284*M284</f>
        <v/>
      </c>
      <c r="Q284" s="9">
        <f>O284-P284</f>
        <v/>
      </c>
      <c r="R284" s="9">
        <f>K284*N284</f>
        <v/>
      </c>
      <c r="S284" s="9">
        <f>Q284-R284</f>
        <v/>
      </c>
      <c r="T284" s="10">
        <f>IFERROR(S284/Q284, 0)</f>
        <v/>
      </c>
    </row>
    <row r="285">
      <c r="A285" s="11" t="inlineStr">
        <is>
          <t>ORD-2024-1709</t>
        </is>
      </c>
      <c r="B285" s="11" t="inlineStr">
        <is>
          <t>2024-05-03</t>
        </is>
      </c>
      <c r="C285" s="11" t="inlineStr">
        <is>
          <t>FUR-BOK-005</t>
        </is>
      </c>
      <c r="D285" s="7" t="inlineStr">
        <is>
          <t>Modular 5-Tier Steel Bookcase</t>
        </is>
      </c>
      <c r="E285" s="7" t="inlineStr">
        <is>
          <t>Furniture</t>
        </is>
      </c>
      <c r="F285" s="7" t="inlineStr">
        <is>
          <t>Bookcases</t>
        </is>
      </c>
      <c r="G285" s="7" t="inlineStr">
        <is>
          <t>Central</t>
        </is>
      </c>
      <c r="H285" s="7" t="inlineStr">
        <is>
          <t>Texas</t>
        </is>
      </c>
      <c r="I285" s="7" t="inlineStr">
        <is>
          <t>Online</t>
        </is>
      </c>
      <c r="J285" s="7" t="inlineStr">
        <is>
          <t>Corporate</t>
        </is>
      </c>
      <c r="K285" s="12" t="n">
        <v>2</v>
      </c>
      <c r="L285" s="9" t="n">
        <v>189.99</v>
      </c>
      <c r="M285" s="10" t="n">
        <v>0</v>
      </c>
      <c r="N285" s="9" t="n">
        <v>142.49</v>
      </c>
      <c r="O285" s="9">
        <f>K285*L285</f>
        <v/>
      </c>
      <c r="P285" s="9">
        <f>O285*M285</f>
        <v/>
      </c>
      <c r="Q285" s="9">
        <f>O285-P285</f>
        <v/>
      </c>
      <c r="R285" s="9">
        <f>K285*N285</f>
        <v/>
      </c>
      <c r="S285" s="9">
        <f>Q285-R285</f>
        <v/>
      </c>
      <c r="T285" s="10">
        <f>IFERROR(S285/Q285, 0)</f>
        <v/>
      </c>
    </row>
    <row r="286">
      <c r="A286" s="11" t="inlineStr">
        <is>
          <t>ORD-2024-1709</t>
        </is>
      </c>
      <c r="B286" s="11" t="inlineStr">
        <is>
          <t>2024-05-03</t>
        </is>
      </c>
      <c r="C286" s="11" t="inlineStr">
        <is>
          <t>TEC-TAB-004</t>
        </is>
      </c>
      <c r="D286" s="7" t="inlineStr">
        <is>
          <t>VisionPad Lite 8.5"</t>
        </is>
      </c>
      <c r="E286" s="7" t="inlineStr">
        <is>
          <t>Technology</t>
        </is>
      </c>
      <c r="F286" s="7" t="inlineStr">
        <is>
          <t>Phones &amp; Tablets</t>
        </is>
      </c>
      <c r="G286" s="7" t="inlineStr">
        <is>
          <t>Central</t>
        </is>
      </c>
      <c r="H286" s="7" t="inlineStr">
        <is>
          <t>Texas</t>
        </is>
      </c>
      <c r="I286" s="7" t="inlineStr">
        <is>
          <t>Online</t>
        </is>
      </c>
      <c r="J286" s="7" t="inlineStr">
        <is>
          <t>Corporate</t>
        </is>
      </c>
      <c r="K286" s="12" t="n">
        <v>2</v>
      </c>
      <c r="L286" s="9" t="n">
        <v>299.99</v>
      </c>
      <c r="M286" s="10" t="n">
        <v>0</v>
      </c>
      <c r="N286" s="9" t="n">
        <v>245.99</v>
      </c>
      <c r="O286" s="9">
        <f>K286*L286</f>
        <v/>
      </c>
      <c r="P286" s="9">
        <f>O286*M286</f>
        <v/>
      </c>
      <c r="Q286" s="9">
        <f>O286-P286</f>
        <v/>
      </c>
      <c r="R286" s="9">
        <f>K286*N286</f>
        <v/>
      </c>
      <c r="S286" s="9">
        <f>Q286-R286</f>
        <v/>
      </c>
      <c r="T286" s="10">
        <f>IFERROR(S286/Q286, 0)</f>
        <v/>
      </c>
    </row>
    <row r="287">
      <c r="A287" s="11" t="inlineStr">
        <is>
          <t>ORD-2024-1709</t>
        </is>
      </c>
      <c r="B287" s="11" t="inlineStr">
        <is>
          <t>2024-05-03</t>
        </is>
      </c>
      <c r="C287" s="11" t="inlineStr">
        <is>
          <t>FUR-DSK-003</t>
        </is>
      </c>
      <c r="D287" s="7" t="inlineStr">
        <is>
          <t>ApexMotor Dual-Motor Standing Desk</t>
        </is>
      </c>
      <c r="E287" s="7" t="inlineStr">
        <is>
          <t>Furniture</t>
        </is>
      </c>
      <c r="F287" s="7" t="inlineStr">
        <is>
          <t>Desks &amp; Workstations</t>
        </is>
      </c>
      <c r="G287" s="7" t="inlineStr">
        <is>
          <t>Central</t>
        </is>
      </c>
      <c r="H287" s="7" t="inlineStr">
        <is>
          <t>Texas</t>
        </is>
      </c>
      <c r="I287" s="7" t="inlineStr">
        <is>
          <t>Online</t>
        </is>
      </c>
      <c r="J287" s="7" t="inlineStr">
        <is>
          <t>Corporate</t>
        </is>
      </c>
      <c r="K287" s="12" t="n">
        <v>4</v>
      </c>
      <c r="L287" s="9" t="n">
        <v>549.99</v>
      </c>
      <c r="M287" s="10" t="n">
        <v>0</v>
      </c>
      <c r="N287" s="9" t="n">
        <v>439.99</v>
      </c>
      <c r="O287" s="9">
        <f>K287*L287</f>
        <v/>
      </c>
      <c r="P287" s="9">
        <f>O287*M287</f>
        <v/>
      </c>
      <c r="Q287" s="9">
        <f>O287-P287</f>
        <v/>
      </c>
      <c r="R287" s="9">
        <f>K287*N287</f>
        <v/>
      </c>
      <c r="S287" s="9">
        <f>Q287-R287</f>
        <v/>
      </c>
      <c r="T287" s="10">
        <f>IFERROR(S287/Q287, 0)</f>
        <v/>
      </c>
    </row>
    <row r="288">
      <c r="A288" s="11" t="inlineStr">
        <is>
          <t>ORD-2024-1051</t>
        </is>
      </c>
      <c r="B288" s="11" t="inlineStr">
        <is>
          <t>2024-05-04</t>
        </is>
      </c>
      <c r="C288" s="11" t="inlineStr">
        <is>
          <t>FUR-DSK-004</t>
        </is>
      </c>
      <c r="D288" s="7" t="inlineStr">
        <is>
          <t>Metro Compact Corner Workstation</t>
        </is>
      </c>
      <c r="E288" s="7" t="inlineStr">
        <is>
          <t>Furniture</t>
        </is>
      </c>
      <c r="F288" s="7" t="inlineStr">
        <is>
          <t>Desks &amp; Workstations</t>
        </is>
      </c>
      <c r="G288" s="7" t="inlineStr">
        <is>
          <t>South</t>
        </is>
      </c>
      <c r="H288" s="7" t="inlineStr">
        <is>
          <t>Virginia</t>
        </is>
      </c>
      <c r="I288" s="7" t="inlineStr">
        <is>
          <t>Retail Partner</t>
        </is>
      </c>
      <c r="J288" s="7" t="inlineStr">
        <is>
          <t>Corporate</t>
        </is>
      </c>
      <c r="K288" s="12" t="n">
        <v>5</v>
      </c>
      <c r="L288" s="9" t="n">
        <v>329.99</v>
      </c>
      <c r="M288" s="10" t="n">
        <v>0</v>
      </c>
      <c r="N288" s="9" t="n">
        <v>250.79</v>
      </c>
      <c r="O288" s="9">
        <f>K288*L288</f>
        <v/>
      </c>
      <c r="P288" s="9">
        <f>O288*M288</f>
        <v/>
      </c>
      <c r="Q288" s="9">
        <f>O288-P288</f>
        <v/>
      </c>
      <c r="R288" s="9">
        <f>K288*N288</f>
        <v/>
      </c>
      <c r="S288" s="9">
        <f>Q288-R288</f>
        <v/>
      </c>
      <c r="T288" s="10">
        <f>IFERROR(S288/Q288, 0)</f>
        <v/>
      </c>
    </row>
    <row r="289">
      <c r="A289" s="11" t="inlineStr">
        <is>
          <t>ORD-2024-1008</t>
        </is>
      </c>
      <c r="B289" s="11" t="inlineStr">
        <is>
          <t>2024-05-05</t>
        </is>
      </c>
      <c r="C289" s="11" t="inlineStr">
        <is>
          <t>FUR-DSK-003</t>
        </is>
      </c>
      <c r="D289" s="7" t="inlineStr">
        <is>
          <t>ApexMotor Dual-Motor Standing Desk</t>
        </is>
      </c>
      <c r="E289" s="7" t="inlineStr">
        <is>
          <t>Furniture</t>
        </is>
      </c>
      <c r="F289" s="7" t="inlineStr">
        <is>
          <t>Desks &amp; Workstations</t>
        </is>
      </c>
      <c r="G289" s="7" t="inlineStr">
        <is>
          <t>East</t>
        </is>
      </c>
      <c r="H289" s="7" t="inlineStr">
        <is>
          <t>Pennsylvania</t>
        </is>
      </c>
      <c r="I289" s="7" t="inlineStr">
        <is>
          <t>Direct Sales</t>
        </is>
      </c>
      <c r="J289" s="7" t="inlineStr">
        <is>
          <t>Consumer</t>
        </is>
      </c>
      <c r="K289" s="12" t="n">
        <v>1</v>
      </c>
      <c r="L289" s="9" t="n">
        <v>549.99</v>
      </c>
      <c r="M289" s="10" t="n">
        <v>0.05</v>
      </c>
      <c r="N289" s="9" t="n">
        <v>439.99</v>
      </c>
      <c r="O289" s="9">
        <f>K289*L289</f>
        <v/>
      </c>
      <c r="P289" s="9">
        <f>O289*M289</f>
        <v/>
      </c>
      <c r="Q289" s="9">
        <f>O289-P289</f>
        <v/>
      </c>
      <c r="R289" s="9">
        <f>K289*N289</f>
        <v/>
      </c>
      <c r="S289" s="9">
        <f>Q289-R289</f>
        <v/>
      </c>
      <c r="T289" s="10">
        <f>IFERROR(S289/Q289, 0)</f>
        <v/>
      </c>
    </row>
    <row r="290">
      <c r="A290" s="11" t="inlineStr">
        <is>
          <t>ORD-2024-1008</t>
        </is>
      </c>
      <c r="B290" s="11" t="inlineStr">
        <is>
          <t>2024-05-05</t>
        </is>
      </c>
      <c r="C290" s="11" t="inlineStr">
        <is>
          <t>TEC-TAB-003</t>
        </is>
      </c>
      <c r="D290" s="7" t="inlineStr">
        <is>
          <t>VisionPad Pro 11"</t>
        </is>
      </c>
      <c r="E290" s="7" t="inlineStr">
        <is>
          <t>Technology</t>
        </is>
      </c>
      <c r="F290" s="7" t="inlineStr">
        <is>
          <t>Phones &amp; Tablets</t>
        </is>
      </c>
      <c r="G290" s="7" t="inlineStr">
        <is>
          <t>East</t>
        </is>
      </c>
      <c r="H290" s="7" t="inlineStr">
        <is>
          <t>Pennsylvania</t>
        </is>
      </c>
      <c r="I290" s="7" t="inlineStr">
        <is>
          <t>Direct Sales</t>
        </is>
      </c>
      <c r="J290" s="7" t="inlineStr">
        <is>
          <t>Consumer</t>
        </is>
      </c>
      <c r="K290" s="12" t="n">
        <v>4</v>
      </c>
      <c r="L290" s="9" t="n">
        <v>649.99</v>
      </c>
      <c r="M290" s="10" t="n">
        <v>0.1</v>
      </c>
      <c r="N290" s="9" t="n">
        <v>487.49</v>
      </c>
      <c r="O290" s="9">
        <f>K290*L290</f>
        <v/>
      </c>
      <c r="P290" s="9">
        <f>O290*M290</f>
        <v/>
      </c>
      <c r="Q290" s="9">
        <f>O290-P290</f>
        <v/>
      </c>
      <c r="R290" s="9">
        <f>K290*N290</f>
        <v/>
      </c>
      <c r="S290" s="9">
        <f>Q290-R290</f>
        <v/>
      </c>
      <c r="T290" s="10">
        <f>IFERROR(S290/Q290, 0)</f>
        <v/>
      </c>
    </row>
    <row r="291">
      <c r="A291" s="11" t="inlineStr">
        <is>
          <t>ORD-2024-1008</t>
        </is>
      </c>
      <c r="B291" s="11" t="inlineStr">
        <is>
          <t>2024-05-05</t>
        </is>
      </c>
      <c r="C291" s="11" t="inlineStr">
        <is>
          <t>TEC-TAB-004</t>
        </is>
      </c>
      <c r="D291" s="7" t="inlineStr">
        <is>
          <t>VisionPad Lite 8.5"</t>
        </is>
      </c>
      <c r="E291" s="7" t="inlineStr">
        <is>
          <t>Technology</t>
        </is>
      </c>
      <c r="F291" s="7" t="inlineStr">
        <is>
          <t>Phones &amp; Tablets</t>
        </is>
      </c>
      <c r="G291" s="7" t="inlineStr">
        <is>
          <t>East</t>
        </is>
      </c>
      <c r="H291" s="7" t="inlineStr">
        <is>
          <t>Pennsylvania</t>
        </is>
      </c>
      <c r="I291" s="7" t="inlineStr">
        <is>
          <t>Direct Sales</t>
        </is>
      </c>
      <c r="J291" s="7" t="inlineStr">
        <is>
          <t>Consumer</t>
        </is>
      </c>
      <c r="K291" s="12" t="n">
        <v>3</v>
      </c>
      <c r="L291" s="9" t="n">
        <v>299.99</v>
      </c>
      <c r="M291" s="10" t="n">
        <v>0.1</v>
      </c>
      <c r="N291" s="9" t="n">
        <v>245.99</v>
      </c>
      <c r="O291" s="9">
        <f>K291*L291</f>
        <v/>
      </c>
      <c r="P291" s="9">
        <f>O291*M291</f>
        <v/>
      </c>
      <c r="Q291" s="9">
        <f>O291-P291</f>
        <v/>
      </c>
      <c r="R291" s="9">
        <f>K291*N291</f>
        <v/>
      </c>
      <c r="S291" s="9">
        <f>Q291-R291</f>
        <v/>
      </c>
      <c r="T291" s="10">
        <f>IFERROR(S291/Q291, 0)</f>
        <v/>
      </c>
    </row>
    <row r="292">
      <c r="A292" s="11" t="inlineStr">
        <is>
          <t>ORD-2024-1136</t>
        </is>
      </c>
      <c r="B292" s="11" t="inlineStr">
        <is>
          <t>2024-05-05</t>
        </is>
      </c>
      <c r="C292" s="11" t="inlineStr">
        <is>
          <t>TEC-ACC-006</t>
        </is>
      </c>
      <c r="D292" s="7" t="inlineStr">
        <is>
          <t>MultiPort Thunderbolt 4 Dock</t>
        </is>
      </c>
      <c r="E292" s="7" t="inlineStr">
        <is>
          <t>Technology</t>
        </is>
      </c>
      <c r="F292" s="7" t="inlineStr">
        <is>
          <t>Audio &amp; Accessories</t>
        </is>
      </c>
      <c r="G292" s="7" t="inlineStr">
        <is>
          <t>Central</t>
        </is>
      </c>
      <c r="H292" s="7" t="inlineStr">
        <is>
          <t>Michigan</t>
        </is>
      </c>
      <c r="I292" s="7" t="inlineStr">
        <is>
          <t>Online</t>
        </is>
      </c>
      <c r="J292" s="7" t="inlineStr">
        <is>
          <t>Consumer</t>
        </is>
      </c>
      <c r="K292" s="12" t="n">
        <v>1</v>
      </c>
      <c r="L292" s="9" t="n">
        <v>149.99</v>
      </c>
      <c r="M292" s="10" t="n">
        <v>0.05</v>
      </c>
      <c r="N292" s="9" t="n">
        <v>98.98999999999999</v>
      </c>
      <c r="O292" s="9">
        <f>K292*L292</f>
        <v/>
      </c>
      <c r="P292" s="9">
        <f>O292*M292</f>
        <v/>
      </c>
      <c r="Q292" s="9">
        <f>O292-P292</f>
        <v/>
      </c>
      <c r="R292" s="9">
        <f>K292*N292</f>
        <v/>
      </c>
      <c r="S292" s="9">
        <f>Q292-R292</f>
        <v/>
      </c>
      <c r="T292" s="10">
        <f>IFERROR(S292/Q292, 0)</f>
        <v/>
      </c>
    </row>
    <row r="293">
      <c r="A293" s="11" t="inlineStr">
        <is>
          <t>ORD-2024-1270</t>
        </is>
      </c>
      <c r="B293" s="11" t="inlineStr">
        <is>
          <t>2024-05-05</t>
        </is>
      </c>
      <c r="C293" s="11" t="inlineStr">
        <is>
          <t>OFF-STR-001</t>
        </is>
      </c>
      <c r="D293" s="7" t="inlineStr">
        <is>
          <t>SteelLock 3-Drawer File Cabinet</t>
        </is>
      </c>
      <c r="E293" s="7" t="inlineStr">
        <is>
          <t>Office Supplies</t>
        </is>
      </c>
      <c r="F293" s="7" t="inlineStr">
        <is>
          <t>Storage &amp; Organizers</t>
        </is>
      </c>
      <c r="G293" s="7" t="inlineStr">
        <is>
          <t>West</t>
        </is>
      </c>
      <c r="H293" s="7" t="inlineStr">
        <is>
          <t>Colorado</t>
        </is>
      </c>
      <c r="I293" s="7" t="inlineStr">
        <is>
          <t>Retail Partner</t>
        </is>
      </c>
      <c r="J293" s="7" t="inlineStr">
        <is>
          <t>Consumer</t>
        </is>
      </c>
      <c r="K293" s="12" t="n">
        <v>3</v>
      </c>
      <c r="L293" s="9" t="n">
        <v>169.99</v>
      </c>
      <c r="M293" s="10" t="n">
        <v>0.15</v>
      </c>
      <c r="N293" s="9" t="n">
        <v>115.59</v>
      </c>
      <c r="O293" s="9">
        <f>K293*L293</f>
        <v/>
      </c>
      <c r="P293" s="9">
        <f>O293*M293</f>
        <v/>
      </c>
      <c r="Q293" s="9">
        <f>O293-P293</f>
        <v/>
      </c>
      <c r="R293" s="9">
        <f>K293*N293</f>
        <v/>
      </c>
      <c r="S293" s="9">
        <f>Q293-R293</f>
        <v/>
      </c>
      <c r="T293" s="10">
        <f>IFERROR(S293/Q293, 0)</f>
        <v/>
      </c>
    </row>
    <row r="294">
      <c r="A294" s="11" t="inlineStr">
        <is>
          <t>ORD-2024-1432</t>
        </is>
      </c>
      <c r="B294" s="11" t="inlineStr">
        <is>
          <t>2024-05-05</t>
        </is>
      </c>
      <c r="C294" s="11" t="inlineStr">
        <is>
          <t>TEC-ACC-005</t>
        </is>
      </c>
      <c r="D294" s="7" t="inlineStr">
        <is>
          <t>UltraWireless Noise-Canceling Headset</t>
        </is>
      </c>
      <c r="E294" s="7" t="inlineStr">
        <is>
          <t>Technology</t>
        </is>
      </c>
      <c r="F294" s="7" t="inlineStr">
        <is>
          <t>Audio &amp; Accessories</t>
        </is>
      </c>
      <c r="G294" s="7" t="inlineStr">
        <is>
          <t>East</t>
        </is>
      </c>
      <c r="H294" s="7" t="inlineStr">
        <is>
          <t>Pennsylvania</t>
        </is>
      </c>
      <c r="I294" s="7" t="inlineStr">
        <is>
          <t>Wholesale</t>
        </is>
      </c>
      <c r="J294" s="7" t="inlineStr">
        <is>
          <t>Corporate</t>
        </is>
      </c>
      <c r="K294" s="12" t="n">
        <v>11</v>
      </c>
      <c r="L294" s="9" t="n">
        <v>179.99</v>
      </c>
      <c r="M294" s="10" t="n">
        <v>0.1</v>
      </c>
      <c r="N294" s="9" t="n">
        <v>111.59</v>
      </c>
      <c r="O294" s="9">
        <f>K294*L294</f>
        <v/>
      </c>
      <c r="P294" s="9">
        <f>O294*M294</f>
        <v/>
      </c>
      <c r="Q294" s="9">
        <f>O294-P294</f>
        <v/>
      </c>
      <c r="R294" s="9">
        <f>K294*N294</f>
        <v/>
      </c>
      <c r="S294" s="9">
        <f>Q294-R294</f>
        <v/>
      </c>
      <c r="T294" s="10">
        <f>IFERROR(S294/Q294, 0)</f>
        <v/>
      </c>
    </row>
    <row r="295">
      <c r="A295" s="11" t="inlineStr">
        <is>
          <t>ORD-2024-1104</t>
        </is>
      </c>
      <c r="B295" s="11" t="inlineStr">
        <is>
          <t>2024-05-07</t>
        </is>
      </c>
      <c r="C295" s="11" t="inlineStr">
        <is>
          <t>OFF-DSK-008</t>
        </is>
      </c>
      <c r="D295" s="7" t="inlineStr">
        <is>
          <t>Steel Desktop Mesh Organizer Caddy</t>
        </is>
      </c>
      <c r="E295" s="7" t="inlineStr">
        <is>
          <t>Office Supplies</t>
        </is>
      </c>
      <c r="F295" s="7" t="inlineStr">
        <is>
          <t>Desk Supplies</t>
        </is>
      </c>
      <c r="G295" s="7" t="inlineStr">
        <is>
          <t>West</t>
        </is>
      </c>
      <c r="H295" s="7" t="inlineStr">
        <is>
          <t>Colorado</t>
        </is>
      </c>
      <c r="I295" s="7" t="inlineStr">
        <is>
          <t>Online</t>
        </is>
      </c>
      <c r="J295" s="7" t="inlineStr">
        <is>
          <t>Consumer</t>
        </is>
      </c>
      <c r="K295" s="12" t="n">
        <v>4</v>
      </c>
      <c r="L295" s="9" t="n">
        <v>18.99</v>
      </c>
      <c r="M295" s="10" t="n">
        <v>0.1</v>
      </c>
      <c r="N295" s="9" t="n">
        <v>8.550000000000001</v>
      </c>
      <c r="O295" s="9">
        <f>K295*L295</f>
        <v/>
      </c>
      <c r="P295" s="9">
        <f>O295*M295</f>
        <v/>
      </c>
      <c r="Q295" s="9">
        <f>O295-P295</f>
        <v/>
      </c>
      <c r="R295" s="9">
        <f>K295*N295</f>
        <v/>
      </c>
      <c r="S295" s="9">
        <f>Q295-R295</f>
        <v/>
      </c>
      <c r="T295" s="10">
        <f>IFERROR(S295/Q295, 0)</f>
        <v/>
      </c>
    </row>
    <row r="296">
      <c r="A296" s="11" t="inlineStr">
        <is>
          <t>ORD-2024-1411</t>
        </is>
      </c>
      <c r="B296" s="11" t="inlineStr">
        <is>
          <t>2024-05-09</t>
        </is>
      </c>
      <c r="C296" s="11" t="inlineStr">
        <is>
          <t>TEC-TAB-003</t>
        </is>
      </c>
      <c r="D296" s="7" t="inlineStr">
        <is>
          <t>VisionPad Pro 11"</t>
        </is>
      </c>
      <c r="E296" s="7" t="inlineStr">
        <is>
          <t>Technology</t>
        </is>
      </c>
      <c r="F296" s="7" t="inlineStr">
        <is>
          <t>Phones &amp; Tablets</t>
        </is>
      </c>
      <c r="G296" s="7" t="inlineStr">
        <is>
          <t>Central</t>
        </is>
      </c>
      <c r="H296" s="7" t="inlineStr">
        <is>
          <t>Illinois</t>
        </is>
      </c>
      <c r="I296" s="7" t="inlineStr">
        <is>
          <t>Online</t>
        </is>
      </c>
      <c r="J296" s="7" t="inlineStr">
        <is>
          <t>Corporate</t>
        </is>
      </c>
      <c r="K296" s="12" t="n">
        <v>7</v>
      </c>
      <c r="L296" s="9" t="n">
        <v>649.99</v>
      </c>
      <c r="M296" s="10" t="n">
        <v>0</v>
      </c>
      <c r="N296" s="9" t="n">
        <v>487.49</v>
      </c>
      <c r="O296" s="9">
        <f>K296*L296</f>
        <v/>
      </c>
      <c r="P296" s="9">
        <f>O296*M296</f>
        <v/>
      </c>
      <c r="Q296" s="9">
        <f>O296-P296</f>
        <v/>
      </c>
      <c r="R296" s="9">
        <f>K296*N296</f>
        <v/>
      </c>
      <c r="S296" s="9">
        <f>Q296-R296</f>
        <v/>
      </c>
      <c r="T296" s="10">
        <f>IFERROR(S296/Q296, 0)</f>
        <v/>
      </c>
    </row>
    <row r="297">
      <c r="A297" s="11" t="inlineStr">
        <is>
          <t>ORD-2024-1411</t>
        </is>
      </c>
      <c r="B297" s="11" t="inlineStr">
        <is>
          <t>2024-05-09</t>
        </is>
      </c>
      <c r="C297" s="11" t="inlineStr">
        <is>
          <t>OFF-DSK-007</t>
        </is>
      </c>
      <c r="D297" s="7" t="inlineStr">
        <is>
          <t>Gel Ergo Mouse Pad &amp; Wrist Rest Combo</t>
        </is>
      </c>
      <c r="E297" s="7" t="inlineStr">
        <is>
          <t>Office Supplies</t>
        </is>
      </c>
      <c r="F297" s="7" t="inlineStr">
        <is>
          <t>Desk Supplies</t>
        </is>
      </c>
      <c r="G297" s="7" t="inlineStr">
        <is>
          <t>Central</t>
        </is>
      </c>
      <c r="H297" s="7" t="inlineStr">
        <is>
          <t>Illinois</t>
        </is>
      </c>
      <c r="I297" s="7" t="inlineStr">
        <is>
          <t>Online</t>
        </is>
      </c>
      <c r="J297" s="7" t="inlineStr">
        <is>
          <t>Corporate</t>
        </is>
      </c>
      <c r="K297" s="12" t="n">
        <v>5</v>
      </c>
      <c r="L297" s="9" t="n">
        <v>21.99</v>
      </c>
      <c r="M297" s="10" t="n">
        <v>0.1</v>
      </c>
      <c r="N297" s="9" t="n">
        <v>10.56</v>
      </c>
      <c r="O297" s="9">
        <f>K297*L297</f>
        <v/>
      </c>
      <c r="P297" s="9">
        <f>O297*M297</f>
        <v/>
      </c>
      <c r="Q297" s="9">
        <f>O297-P297</f>
        <v/>
      </c>
      <c r="R297" s="9">
        <f>K297*N297</f>
        <v/>
      </c>
      <c r="S297" s="9">
        <f>Q297-R297</f>
        <v/>
      </c>
      <c r="T297" s="10">
        <f>IFERROR(S297/Q297, 0)</f>
        <v/>
      </c>
    </row>
    <row r="298">
      <c r="A298" s="11" t="inlineStr">
        <is>
          <t>ORD-2024-1625</t>
        </is>
      </c>
      <c r="B298" s="11" t="inlineStr">
        <is>
          <t>2024-05-10</t>
        </is>
      </c>
      <c r="C298" s="11" t="inlineStr">
        <is>
          <t>OFF-ART-006</t>
        </is>
      </c>
      <c r="D298" s="7" t="inlineStr">
        <is>
          <t>Professional Presentation Dry Erase Board</t>
        </is>
      </c>
      <c r="E298" s="7" t="inlineStr">
        <is>
          <t>Office Supplies</t>
        </is>
      </c>
      <c r="F298" s="7" t="inlineStr">
        <is>
          <t>Presentation &amp; Art</t>
        </is>
      </c>
      <c r="G298" s="7" t="inlineStr">
        <is>
          <t>South</t>
        </is>
      </c>
      <c r="H298" s="7" t="inlineStr">
        <is>
          <t>North Carolina</t>
        </is>
      </c>
      <c r="I298" s="7" t="inlineStr">
        <is>
          <t>Online</t>
        </is>
      </c>
      <c r="J298" s="7" t="inlineStr">
        <is>
          <t>Corporate</t>
        </is>
      </c>
      <c r="K298" s="12" t="n">
        <v>7</v>
      </c>
      <c r="L298" s="9" t="n">
        <v>89.98999999999999</v>
      </c>
      <c r="M298" s="10" t="n">
        <v>0</v>
      </c>
      <c r="N298" s="9" t="n">
        <v>53.99</v>
      </c>
      <c r="O298" s="9">
        <f>K298*L298</f>
        <v/>
      </c>
      <c r="P298" s="9">
        <f>O298*M298</f>
        <v/>
      </c>
      <c r="Q298" s="9">
        <f>O298-P298</f>
        <v/>
      </c>
      <c r="R298" s="9">
        <f>K298*N298</f>
        <v/>
      </c>
      <c r="S298" s="9">
        <f>Q298-R298</f>
        <v/>
      </c>
      <c r="T298" s="10">
        <f>IFERROR(S298/Q298, 0)</f>
        <v/>
      </c>
    </row>
    <row r="299">
      <c r="A299" s="11" t="inlineStr">
        <is>
          <t>ORD-2024-1119</t>
        </is>
      </c>
      <c r="B299" s="11" t="inlineStr">
        <is>
          <t>2024-05-11</t>
        </is>
      </c>
      <c r="C299" s="11" t="inlineStr">
        <is>
          <t>OFF-ART-006</t>
        </is>
      </c>
      <c r="D299" s="7" t="inlineStr">
        <is>
          <t>Professional Presentation Dry Erase Board</t>
        </is>
      </c>
      <c r="E299" s="7" t="inlineStr">
        <is>
          <t>Office Supplies</t>
        </is>
      </c>
      <c r="F299" s="7" t="inlineStr">
        <is>
          <t>Presentation &amp; Art</t>
        </is>
      </c>
      <c r="G299" s="7" t="inlineStr">
        <is>
          <t>West</t>
        </is>
      </c>
      <c r="H299" s="7" t="inlineStr">
        <is>
          <t>Colorado</t>
        </is>
      </c>
      <c r="I299" s="7" t="inlineStr">
        <is>
          <t>Retail Partner</t>
        </is>
      </c>
      <c r="J299" s="7" t="inlineStr">
        <is>
          <t>Consumer</t>
        </is>
      </c>
      <c r="K299" s="12" t="n">
        <v>4</v>
      </c>
      <c r="L299" s="9" t="n">
        <v>89.98999999999999</v>
      </c>
      <c r="M299" s="10" t="n">
        <v>0.05</v>
      </c>
      <c r="N299" s="9" t="n">
        <v>53.99</v>
      </c>
      <c r="O299" s="9">
        <f>K299*L299</f>
        <v/>
      </c>
      <c r="P299" s="9">
        <f>O299*M299</f>
        <v/>
      </c>
      <c r="Q299" s="9">
        <f>O299-P299</f>
        <v/>
      </c>
      <c r="R299" s="9">
        <f>K299*N299</f>
        <v/>
      </c>
      <c r="S299" s="9">
        <f>Q299-R299</f>
        <v/>
      </c>
      <c r="T299" s="10">
        <f>IFERROR(S299/Q299, 0)</f>
        <v/>
      </c>
    </row>
    <row r="300">
      <c r="A300" s="11" t="inlineStr">
        <is>
          <t>ORD-2024-1446</t>
        </is>
      </c>
      <c r="B300" s="11" t="inlineStr">
        <is>
          <t>2024-05-11</t>
        </is>
      </c>
      <c r="C300" s="11" t="inlineStr">
        <is>
          <t>FUR-DSK-004</t>
        </is>
      </c>
      <c r="D300" s="7" t="inlineStr">
        <is>
          <t>Metro Compact Corner Workstation</t>
        </is>
      </c>
      <c r="E300" s="7" t="inlineStr">
        <is>
          <t>Furniture</t>
        </is>
      </c>
      <c r="F300" s="7" t="inlineStr">
        <is>
          <t>Desks &amp; Workstations</t>
        </is>
      </c>
      <c r="G300" s="7" t="inlineStr">
        <is>
          <t>East</t>
        </is>
      </c>
      <c r="H300" s="7" t="inlineStr">
        <is>
          <t>Massachusetts</t>
        </is>
      </c>
      <c r="I300" s="7" t="inlineStr">
        <is>
          <t>Online</t>
        </is>
      </c>
      <c r="J300" s="7" t="inlineStr">
        <is>
          <t>Corporate</t>
        </is>
      </c>
      <c r="K300" s="12" t="n">
        <v>5</v>
      </c>
      <c r="L300" s="9" t="n">
        <v>329.99</v>
      </c>
      <c r="M300" s="10" t="n">
        <v>0</v>
      </c>
      <c r="N300" s="9" t="n">
        <v>250.79</v>
      </c>
      <c r="O300" s="9">
        <f>K300*L300</f>
        <v/>
      </c>
      <c r="P300" s="9">
        <f>O300*M300</f>
        <v/>
      </c>
      <c r="Q300" s="9">
        <f>O300-P300</f>
        <v/>
      </c>
      <c r="R300" s="9">
        <f>K300*N300</f>
        <v/>
      </c>
      <c r="S300" s="9">
        <f>Q300-R300</f>
        <v/>
      </c>
      <c r="T300" s="10">
        <f>IFERROR(S300/Q300, 0)</f>
        <v/>
      </c>
    </row>
    <row r="301">
      <c r="A301" s="11" t="inlineStr">
        <is>
          <t>ORD-2024-1482</t>
        </is>
      </c>
      <c r="B301" s="11" t="inlineStr">
        <is>
          <t>2024-05-11</t>
        </is>
      </c>
      <c r="C301" s="11" t="inlineStr">
        <is>
          <t>OFF-DSK-008</t>
        </is>
      </c>
      <c r="D301" s="7" t="inlineStr">
        <is>
          <t>Steel Desktop Mesh Organizer Caddy</t>
        </is>
      </c>
      <c r="E301" s="7" t="inlineStr">
        <is>
          <t>Office Supplies</t>
        </is>
      </c>
      <c r="F301" s="7" t="inlineStr">
        <is>
          <t>Desk Supplies</t>
        </is>
      </c>
      <c r="G301" s="7" t="inlineStr">
        <is>
          <t>West</t>
        </is>
      </c>
      <c r="H301" s="7" t="inlineStr">
        <is>
          <t>Oregon</t>
        </is>
      </c>
      <c r="I301" s="7" t="inlineStr">
        <is>
          <t>Direct Sales</t>
        </is>
      </c>
      <c r="J301" s="7" t="inlineStr">
        <is>
          <t>Home Office</t>
        </is>
      </c>
      <c r="K301" s="12" t="n">
        <v>3</v>
      </c>
      <c r="L301" s="9" t="n">
        <v>18.99</v>
      </c>
      <c r="M301" s="10" t="n">
        <v>0</v>
      </c>
      <c r="N301" s="9" t="n">
        <v>8.550000000000001</v>
      </c>
      <c r="O301" s="9">
        <f>K301*L301</f>
        <v/>
      </c>
      <c r="P301" s="9">
        <f>O301*M301</f>
        <v/>
      </c>
      <c r="Q301" s="9">
        <f>O301-P301</f>
        <v/>
      </c>
      <c r="R301" s="9">
        <f>K301*N301</f>
        <v/>
      </c>
      <c r="S301" s="9">
        <f>Q301-R301</f>
        <v/>
      </c>
      <c r="T301" s="10">
        <f>IFERROR(S301/Q301, 0)</f>
        <v/>
      </c>
    </row>
    <row r="302">
      <c r="A302" s="11" t="inlineStr">
        <is>
          <t>ORD-2024-1482</t>
        </is>
      </c>
      <c r="B302" s="11" t="inlineStr">
        <is>
          <t>2024-05-11</t>
        </is>
      </c>
      <c r="C302" s="11" t="inlineStr">
        <is>
          <t>OFF-ART-006</t>
        </is>
      </c>
      <c r="D302" s="7" t="inlineStr">
        <is>
          <t>Professional Presentation Dry Erase Board</t>
        </is>
      </c>
      <c r="E302" s="7" t="inlineStr">
        <is>
          <t>Office Supplies</t>
        </is>
      </c>
      <c r="F302" s="7" t="inlineStr">
        <is>
          <t>Presentation &amp; Art</t>
        </is>
      </c>
      <c r="G302" s="7" t="inlineStr">
        <is>
          <t>West</t>
        </is>
      </c>
      <c r="H302" s="7" t="inlineStr">
        <is>
          <t>Oregon</t>
        </is>
      </c>
      <c r="I302" s="7" t="inlineStr">
        <is>
          <t>Direct Sales</t>
        </is>
      </c>
      <c r="J302" s="7" t="inlineStr">
        <is>
          <t>Home Office</t>
        </is>
      </c>
      <c r="K302" s="12" t="n">
        <v>4</v>
      </c>
      <c r="L302" s="9" t="n">
        <v>89.98999999999999</v>
      </c>
      <c r="M302" s="10" t="n">
        <v>0</v>
      </c>
      <c r="N302" s="9" t="n">
        <v>53.99</v>
      </c>
      <c r="O302" s="9">
        <f>K302*L302</f>
        <v/>
      </c>
      <c r="P302" s="9">
        <f>O302*M302</f>
        <v/>
      </c>
      <c r="Q302" s="9">
        <f>O302-P302</f>
        <v/>
      </c>
      <c r="R302" s="9">
        <f>K302*N302</f>
        <v/>
      </c>
      <c r="S302" s="9">
        <f>Q302-R302</f>
        <v/>
      </c>
      <c r="T302" s="10">
        <f>IFERROR(S302/Q302, 0)</f>
        <v/>
      </c>
    </row>
    <row r="303">
      <c r="A303" s="11" t="inlineStr">
        <is>
          <t>ORD-2024-1482</t>
        </is>
      </c>
      <c r="B303" s="11" t="inlineStr">
        <is>
          <t>2024-05-11</t>
        </is>
      </c>
      <c r="C303" s="11" t="inlineStr">
        <is>
          <t>TEC-ACC-007</t>
        </is>
      </c>
      <c r="D303" s="7" t="inlineStr">
        <is>
          <t>ErgoMechanical Wireless Keyboard</t>
        </is>
      </c>
      <c r="E303" s="7" t="inlineStr">
        <is>
          <t>Technology</t>
        </is>
      </c>
      <c r="F303" s="7" t="inlineStr">
        <is>
          <t>Audio &amp; Accessories</t>
        </is>
      </c>
      <c r="G303" s="7" t="inlineStr">
        <is>
          <t>West</t>
        </is>
      </c>
      <c r="H303" s="7" t="inlineStr">
        <is>
          <t>Oregon</t>
        </is>
      </c>
      <c r="I303" s="7" t="inlineStr">
        <is>
          <t>Direct Sales</t>
        </is>
      </c>
      <c r="J303" s="7" t="inlineStr">
        <is>
          <t>Home Office</t>
        </is>
      </c>
      <c r="K303" s="12" t="n">
        <v>2</v>
      </c>
      <c r="L303" s="9" t="n">
        <v>109.99</v>
      </c>
      <c r="M303" s="10" t="n">
        <v>0.1</v>
      </c>
      <c r="N303" s="9" t="n">
        <v>65.98999999999999</v>
      </c>
      <c r="O303" s="9">
        <f>K303*L303</f>
        <v/>
      </c>
      <c r="P303" s="9">
        <f>O303*M303</f>
        <v/>
      </c>
      <c r="Q303" s="9">
        <f>O303-P303</f>
        <v/>
      </c>
      <c r="R303" s="9">
        <f>K303*N303</f>
        <v/>
      </c>
      <c r="S303" s="9">
        <f>Q303-R303</f>
        <v/>
      </c>
      <c r="T303" s="10">
        <f>IFERROR(S303/Q303, 0)</f>
        <v/>
      </c>
    </row>
    <row r="304">
      <c r="A304" s="11" t="inlineStr">
        <is>
          <t>ORD-2024-1649</t>
        </is>
      </c>
      <c r="B304" s="11" t="inlineStr">
        <is>
          <t>2024-05-11</t>
        </is>
      </c>
      <c r="C304" s="11" t="inlineStr">
        <is>
          <t>OFF-DSK-008</t>
        </is>
      </c>
      <c r="D304" s="7" t="inlineStr">
        <is>
          <t>Steel Desktop Mesh Organizer Caddy</t>
        </is>
      </c>
      <c r="E304" s="7" t="inlineStr">
        <is>
          <t>Office Supplies</t>
        </is>
      </c>
      <c r="F304" s="7" t="inlineStr">
        <is>
          <t>Desk Supplies</t>
        </is>
      </c>
      <c r="G304" s="7" t="inlineStr">
        <is>
          <t>West</t>
        </is>
      </c>
      <c r="H304" s="7" t="inlineStr">
        <is>
          <t>California</t>
        </is>
      </c>
      <c r="I304" s="7" t="inlineStr">
        <is>
          <t>Online</t>
        </is>
      </c>
      <c r="J304" s="7" t="inlineStr">
        <is>
          <t>Consumer</t>
        </is>
      </c>
      <c r="K304" s="12" t="n">
        <v>2</v>
      </c>
      <c r="L304" s="9" t="n">
        <v>18.99</v>
      </c>
      <c r="M304" s="10" t="n">
        <v>0.05</v>
      </c>
      <c r="N304" s="9" t="n">
        <v>8.550000000000001</v>
      </c>
      <c r="O304" s="9">
        <f>K304*L304</f>
        <v/>
      </c>
      <c r="P304" s="9">
        <f>O304*M304</f>
        <v/>
      </c>
      <c r="Q304" s="9">
        <f>O304-P304</f>
        <v/>
      </c>
      <c r="R304" s="9">
        <f>K304*N304</f>
        <v/>
      </c>
      <c r="S304" s="9">
        <f>Q304-R304</f>
        <v/>
      </c>
      <c r="T304" s="10">
        <f>IFERROR(S304/Q304, 0)</f>
        <v/>
      </c>
    </row>
    <row r="305">
      <c r="A305" s="11" t="inlineStr">
        <is>
          <t>ORD-2024-1096</t>
        </is>
      </c>
      <c r="B305" s="11" t="inlineStr">
        <is>
          <t>2024-05-12</t>
        </is>
      </c>
      <c r="C305" s="11" t="inlineStr">
        <is>
          <t>FUR-LGT-006</t>
        </is>
      </c>
      <c r="D305" s="7" t="inlineStr">
        <is>
          <t>Architect LED Desk Task Lamp</t>
        </is>
      </c>
      <c r="E305" s="7" t="inlineStr">
        <is>
          <t>Furniture</t>
        </is>
      </c>
      <c r="F305" s="7" t="inlineStr">
        <is>
          <t>Lighting</t>
        </is>
      </c>
      <c r="G305" s="7" t="inlineStr">
        <is>
          <t>Central</t>
        </is>
      </c>
      <c r="H305" s="7" t="inlineStr">
        <is>
          <t>Ohio</t>
        </is>
      </c>
      <c r="I305" s="7" t="inlineStr">
        <is>
          <t>Retail Partner</t>
        </is>
      </c>
      <c r="J305" s="7" t="inlineStr">
        <is>
          <t>Consumer</t>
        </is>
      </c>
      <c r="K305" s="12" t="n">
        <v>1</v>
      </c>
      <c r="L305" s="9" t="n">
        <v>69.98999999999999</v>
      </c>
      <c r="M305" s="10" t="n">
        <v>0</v>
      </c>
      <c r="N305" s="9" t="n">
        <v>43.39</v>
      </c>
      <c r="O305" s="9">
        <f>K305*L305</f>
        <v/>
      </c>
      <c r="P305" s="9">
        <f>O305*M305</f>
        <v/>
      </c>
      <c r="Q305" s="9">
        <f>O305-P305</f>
        <v/>
      </c>
      <c r="R305" s="9">
        <f>K305*N305</f>
        <v/>
      </c>
      <c r="S305" s="9">
        <f>Q305-R305</f>
        <v/>
      </c>
      <c r="T305" s="10">
        <f>IFERROR(S305/Q305, 0)</f>
        <v/>
      </c>
    </row>
    <row r="306">
      <c r="A306" s="11" t="inlineStr">
        <is>
          <t>ORD-2024-1285</t>
        </is>
      </c>
      <c r="B306" s="11" t="inlineStr">
        <is>
          <t>2024-05-12</t>
        </is>
      </c>
      <c r="C306" s="11" t="inlineStr">
        <is>
          <t>OFF-BIN-005</t>
        </is>
      </c>
      <c r="D306" s="7" t="inlineStr">
        <is>
          <t>Heavy-Duty D-Ring Presentation Binder (6-Pk)</t>
        </is>
      </c>
      <c r="E306" s="7" t="inlineStr">
        <is>
          <t>Office Supplies</t>
        </is>
      </c>
      <c r="F306" s="7" t="inlineStr">
        <is>
          <t>Binders &amp; Fasteners</t>
        </is>
      </c>
      <c r="G306" s="7" t="inlineStr">
        <is>
          <t>Central</t>
        </is>
      </c>
      <c r="H306" s="7" t="inlineStr">
        <is>
          <t>Texas</t>
        </is>
      </c>
      <c r="I306" s="7" t="inlineStr">
        <is>
          <t>Direct Sales</t>
        </is>
      </c>
      <c r="J306" s="7" t="inlineStr">
        <is>
          <t>Consumer</t>
        </is>
      </c>
      <c r="K306" s="12" t="n">
        <v>3</v>
      </c>
      <c r="L306" s="9" t="n">
        <v>27.99</v>
      </c>
      <c r="M306" s="10" t="n">
        <v>0</v>
      </c>
      <c r="N306" s="9" t="n">
        <v>13.99</v>
      </c>
      <c r="O306" s="9">
        <f>K306*L306</f>
        <v/>
      </c>
      <c r="P306" s="9">
        <f>O306*M306</f>
        <v/>
      </c>
      <c r="Q306" s="9">
        <f>O306-P306</f>
        <v/>
      </c>
      <c r="R306" s="9">
        <f>K306*N306</f>
        <v/>
      </c>
      <c r="S306" s="9">
        <f>Q306-R306</f>
        <v/>
      </c>
      <c r="T306" s="10">
        <f>IFERROR(S306/Q306, 0)</f>
        <v/>
      </c>
    </row>
    <row r="307">
      <c r="A307" s="11" t="inlineStr">
        <is>
          <t>ORD-2024-1328</t>
        </is>
      </c>
      <c r="B307" s="11" t="inlineStr">
        <is>
          <t>2024-05-13</t>
        </is>
      </c>
      <c r="C307" s="11" t="inlineStr">
        <is>
          <t>FUR-DSK-003</t>
        </is>
      </c>
      <c r="D307" s="7" t="inlineStr">
        <is>
          <t>ApexMotor Dual-Motor Standing Desk</t>
        </is>
      </c>
      <c r="E307" s="7" t="inlineStr">
        <is>
          <t>Furniture</t>
        </is>
      </c>
      <c r="F307" s="7" t="inlineStr">
        <is>
          <t>Desks &amp; Workstations</t>
        </is>
      </c>
      <c r="G307" s="7" t="inlineStr">
        <is>
          <t>Central</t>
        </is>
      </c>
      <c r="H307" s="7" t="inlineStr">
        <is>
          <t>Illinois</t>
        </is>
      </c>
      <c r="I307" s="7" t="inlineStr">
        <is>
          <t>Direct Sales</t>
        </is>
      </c>
      <c r="J307" s="7" t="inlineStr">
        <is>
          <t>Corporate</t>
        </is>
      </c>
      <c r="K307" s="12" t="n">
        <v>3</v>
      </c>
      <c r="L307" s="9" t="n">
        <v>549.99</v>
      </c>
      <c r="M307" s="10" t="n">
        <v>0</v>
      </c>
      <c r="N307" s="9" t="n">
        <v>439.99</v>
      </c>
      <c r="O307" s="9">
        <f>K307*L307</f>
        <v/>
      </c>
      <c r="P307" s="9">
        <f>O307*M307</f>
        <v/>
      </c>
      <c r="Q307" s="9">
        <f>O307-P307</f>
        <v/>
      </c>
      <c r="R307" s="9">
        <f>K307*N307</f>
        <v/>
      </c>
      <c r="S307" s="9">
        <f>Q307-R307</f>
        <v/>
      </c>
      <c r="T307" s="10">
        <f>IFERROR(S307/Q307, 0)</f>
        <v/>
      </c>
    </row>
    <row r="308">
      <c r="A308" s="11" t="inlineStr">
        <is>
          <t>ORD-2024-1328</t>
        </is>
      </c>
      <c r="B308" s="11" t="inlineStr">
        <is>
          <t>2024-05-13</t>
        </is>
      </c>
      <c r="C308" s="11" t="inlineStr">
        <is>
          <t>OFF-ART-006</t>
        </is>
      </c>
      <c r="D308" s="7" t="inlineStr">
        <is>
          <t>Professional Presentation Dry Erase Board</t>
        </is>
      </c>
      <c r="E308" s="7" t="inlineStr">
        <is>
          <t>Office Supplies</t>
        </is>
      </c>
      <c r="F308" s="7" t="inlineStr">
        <is>
          <t>Presentation &amp; Art</t>
        </is>
      </c>
      <c r="G308" s="7" t="inlineStr">
        <is>
          <t>Central</t>
        </is>
      </c>
      <c r="H308" s="7" t="inlineStr">
        <is>
          <t>Illinois</t>
        </is>
      </c>
      <c r="I308" s="7" t="inlineStr">
        <is>
          <t>Direct Sales</t>
        </is>
      </c>
      <c r="J308" s="7" t="inlineStr">
        <is>
          <t>Corporate</t>
        </is>
      </c>
      <c r="K308" s="12" t="n">
        <v>5</v>
      </c>
      <c r="L308" s="9" t="n">
        <v>89.98999999999999</v>
      </c>
      <c r="M308" s="10" t="n">
        <v>0.1</v>
      </c>
      <c r="N308" s="9" t="n">
        <v>53.99</v>
      </c>
      <c r="O308" s="9">
        <f>K308*L308</f>
        <v/>
      </c>
      <c r="P308" s="9">
        <f>O308*M308</f>
        <v/>
      </c>
      <c r="Q308" s="9">
        <f>O308-P308</f>
        <v/>
      </c>
      <c r="R308" s="9">
        <f>K308*N308</f>
        <v/>
      </c>
      <c r="S308" s="9">
        <f>Q308-R308</f>
        <v/>
      </c>
      <c r="T308" s="10">
        <f>IFERROR(S308/Q308, 0)</f>
        <v/>
      </c>
    </row>
    <row r="309">
      <c r="A309" s="11" t="inlineStr">
        <is>
          <t>ORD-2024-1559</t>
        </is>
      </c>
      <c r="B309" s="11" t="inlineStr">
        <is>
          <t>2024-05-13</t>
        </is>
      </c>
      <c r="C309" s="11" t="inlineStr">
        <is>
          <t>TEC-TAB-003</t>
        </is>
      </c>
      <c r="D309" s="7" t="inlineStr">
        <is>
          <t>VisionPad Pro 11"</t>
        </is>
      </c>
      <c r="E309" s="7" t="inlineStr">
        <is>
          <t>Technology</t>
        </is>
      </c>
      <c r="F309" s="7" t="inlineStr">
        <is>
          <t>Phones &amp; Tablets</t>
        </is>
      </c>
      <c r="G309" s="7" t="inlineStr">
        <is>
          <t>East</t>
        </is>
      </c>
      <c r="H309" s="7" t="inlineStr">
        <is>
          <t>New York</t>
        </is>
      </c>
      <c r="I309" s="7" t="inlineStr">
        <is>
          <t>Online</t>
        </is>
      </c>
      <c r="J309" s="7" t="inlineStr">
        <is>
          <t>Corporate</t>
        </is>
      </c>
      <c r="K309" s="12" t="n">
        <v>3</v>
      </c>
      <c r="L309" s="9" t="n">
        <v>649.99</v>
      </c>
      <c r="M309" s="10" t="n">
        <v>0.1</v>
      </c>
      <c r="N309" s="9" t="n">
        <v>487.49</v>
      </c>
      <c r="O309" s="9">
        <f>K309*L309</f>
        <v/>
      </c>
      <c r="P309" s="9">
        <f>O309*M309</f>
        <v/>
      </c>
      <c r="Q309" s="9">
        <f>O309-P309</f>
        <v/>
      </c>
      <c r="R309" s="9">
        <f>K309*N309</f>
        <v/>
      </c>
      <c r="S309" s="9">
        <f>Q309-R309</f>
        <v/>
      </c>
      <c r="T309" s="10">
        <f>IFERROR(S309/Q309, 0)</f>
        <v/>
      </c>
    </row>
    <row r="310">
      <c r="A310" s="11" t="inlineStr">
        <is>
          <t>ORD-2024-1052</t>
        </is>
      </c>
      <c r="B310" s="11" t="inlineStr">
        <is>
          <t>2024-05-14</t>
        </is>
      </c>
      <c r="C310" s="11" t="inlineStr">
        <is>
          <t>TEC-LAP-002</t>
        </is>
      </c>
      <c r="D310" s="7" t="inlineStr">
        <is>
          <t>Apex Gaming Laptop 17"</t>
        </is>
      </c>
      <c r="E310" s="7" t="inlineStr">
        <is>
          <t>Technology</t>
        </is>
      </c>
      <c r="F310" s="7" t="inlineStr">
        <is>
          <t>Laptops</t>
        </is>
      </c>
      <c r="G310" s="7" t="inlineStr">
        <is>
          <t>East</t>
        </is>
      </c>
      <c r="H310" s="7" t="inlineStr">
        <is>
          <t>New Jersey</t>
        </is>
      </c>
      <c r="I310" s="7" t="inlineStr">
        <is>
          <t>Retail Partner</t>
        </is>
      </c>
      <c r="J310" s="7" t="inlineStr">
        <is>
          <t>Consumer</t>
        </is>
      </c>
      <c r="K310" s="12" t="n">
        <v>1</v>
      </c>
      <c r="L310" s="9" t="n">
        <v>1499.99</v>
      </c>
      <c r="M310" s="10" t="n">
        <v>0.1</v>
      </c>
      <c r="N310" s="9" t="n">
        <v>1259.99</v>
      </c>
      <c r="O310" s="9">
        <f>K310*L310</f>
        <v/>
      </c>
      <c r="P310" s="9">
        <f>O310*M310</f>
        <v/>
      </c>
      <c r="Q310" s="9">
        <f>O310-P310</f>
        <v/>
      </c>
      <c r="R310" s="9">
        <f>K310*N310</f>
        <v/>
      </c>
      <c r="S310" s="9">
        <f>Q310-R310</f>
        <v/>
      </c>
      <c r="T310" s="10">
        <f>IFERROR(S310/Q310, 0)</f>
        <v/>
      </c>
    </row>
    <row r="311">
      <c r="A311" s="11" t="inlineStr">
        <is>
          <t>ORD-2024-1493</t>
        </is>
      </c>
      <c r="B311" s="11" t="inlineStr">
        <is>
          <t>2024-05-14</t>
        </is>
      </c>
      <c r="C311" s="11" t="inlineStr">
        <is>
          <t>OFF-STR-002</t>
        </is>
      </c>
      <c r="D311" s="7" t="inlineStr">
        <is>
          <t>Stackable Heavy-Duty Storage Bins (4-Pk)</t>
        </is>
      </c>
      <c r="E311" s="7" t="inlineStr">
        <is>
          <t>Office Supplies</t>
        </is>
      </c>
      <c r="F311" s="7" t="inlineStr">
        <is>
          <t>Storage &amp; Organizers</t>
        </is>
      </c>
      <c r="G311" s="7" t="inlineStr">
        <is>
          <t>East</t>
        </is>
      </c>
      <c r="H311" s="7" t="inlineStr">
        <is>
          <t>Massachusetts</t>
        </is>
      </c>
      <c r="I311" s="7" t="inlineStr">
        <is>
          <t>Wholesale</t>
        </is>
      </c>
      <c r="J311" s="7" t="inlineStr">
        <is>
          <t>Corporate</t>
        </is>
      </c>
      <c r="K311" s="12" t="n">
        <v>6</v>
      </c>
      <c r="L311" s="9" t="n">
        <v>44.99</v>
      </c>
      <c r="M311" s="10" t="n">
        <v>0.15</v>
      </c>
      <c r="N311" s="9" t="n">
        <v>24.74</v>
      </c>
      <c r="O311" s="9">
        <f>K311*L311</f>
        <v/>
      </c>
      <c r="P311" s="9">
        <f>O311*M311</f>
        <v/>
      </c>
      <c r="Q311" s="9">
        <f>O311-P311</f>
        <v/>
      </c>
      <c r="R311" s="9">
        <f>K311*N311</f>
        <v/>
      </c>
      <c r="S311" s="9">
        <f>Q311-R311</f>
        <v/>
      </c>
      <c r="T311" s="10">
        <f>IFERROR(S311/Q311, 0)</f>
        <v/>
      </c>
    </row>
    <row r="312">
      <c r="A312" s="11" t="inlineStr">
        <is>
          <t>ORD-2024-1493</t>
        </is>
      </c>
      <c r="B312" s="11" t="inlineStr">
        <is>
          <t>2024-05-14</t>
        </is>
      </c>
      <c r="C312" s="11" t="inlineStr">
        <is>
          <t>OFF-DSK-008</t>
        </is>
      </c>
      <c r="D312" s="7" t="inlineStr">
        <is>
          <t>Steel Desktop Mesh Organizer Caddy</t>
        </is>
      </c>
      <c r="E312" s="7" t="inlineStr">
        <is>
          <t>Office Supplies</t>
        </is>
      </c>
      <c r="F312" s="7" t="inlineStr">
        <is>
          <t>Desk Supplies</t>
        </is>
      </c>
      <c r="G312" s="7" t="inlineStr">
        <is>
          <t>East</t>
        </is>
      </c>
      <c r="H312" s="7" t="inlineStr">
        <is>
          <t>Massachusetts</t>
        </is>
      </c>
      <c r="I312" s="7" t="inlineStr">
        <is>
          <t>Wholesale</t>
        </is>
      </c>
      <c r="J312" s="7" t="inlineStr">
        <is>
          <t>Corporate</t>
        </is>
      </c>
      <c r="K312" s="12" t="n">
        <v>7</v>
      </c>
      <c r="L312" s="9" t="n">
        <v>18.99</v>
      </c>
      <c r="M312" s="10" t="n">
        <v>0.15</v>
      </c>
      <c r="N312" s="9" t="n">
        <v>8.550000000000001</v>
      </c>
      <c r="O312" s="9">
        <f>K312*L312</f>
        <v/>
      </c>
      <c r="P312" s="9">
        <f>O312*M312</f>
        <v/>
      </c>
      <c r="Q312" s="9">
        <f>O312-P312</f>
        <v/>
      </c>
      <c r="R312" s="9">
        <f>K312*N312</f>
        <v/>
      </c>
      <c r="S312" s="9">
        <f>Q312-R312</f>
        <v/>
      </c>
      <c r="T312" s="10">
        <f>IFERROR(S312/Q312, 0)</f>
        <v/>
      </c>
    </row>
    <row r="313">
      <c r="A313" s="11" t="inlineStr">
        <is>
          <t>ORD-2024-1155</t>
        </is>
      </c>
      <c r="B313" s="11" t="inlineStr">
        <is>
          <t>2024-05-15</t>
        </is>
      </c>
      <c r="C313" s="11" t="inlineStr">
        <is>
          <t>FUR-LGT-006</t>
        </is>
      </c>
      <c r="D313" s="7" t="inlineStr">
        <is>
          <t>Architect LED Desk Task Lamp</t>
        </is>
      </c>
      <c r="E313" s="7" t="inlineStr">
        <is>
          <t>Furniture</t>
        </is>
      </c>
      <c r="F313" s="7" t="inlineStr">
        <is>
          <t>Lighting</t>
        </is>
      </c>
      <c r="G313" s="7" t="inlineStr">
        <is>
          <t>Central</t>
        </is>
      </c>
      <c r="H313" s="7" t="inlineStr">
        <is>
          <t>Texas</t>
        </is>
      </c>
      <c r="I313" s="7" t="inlineStr">
        <is>
          <t>Retail Partner</t>
        </is>
      </c>
      <c r="J313" s="7" t="inlineStr">
        <is>
          <t>Corporate</t>
        </is>
      </c>
      <c r="K313" s="12" t="n">
        <v>3</v>
      </c>
      <c r="L313" s="9" t="n">
        <v>69.98999999999999</v>
      </c>
      <c r="M313" s="10" t="n">
        <v>0.05</v>
      </c>
      <c r="N313" s="9" t="n">
        <v>43.39</v>
      </c>
      <c r="O313" s="9">
        <f>K313*L313</f>
        <v/>
      </c>
      <c r="P313" s="9">
        <f>O313*M313</f>
        <v/>
      </c>
      <c r="Q313" s="9">
        <f>O313-P313</f>
        <v/>
      </c>
      <c r="R313" s="9">
        <f>K313*N313</f>
        <v/>
      </c>
      <c r="S313" s="9">
        <f>Q313-R313</f>
        <v/>
      </c>
      <c r="T313" s="10">
        <f>IFERROR(S313/Q313, 0)</f>
        <v/>
      </c>
    </row>
    <row r="314">
      <c r="A314" s="11" t="inlineStr">
        <is>
          <t>ORD-2024-1314</t>
        </is>
      </c>
      <c r="B314" s="11" t="inlineStr">
        <is>
          <t>2024-05-15</t>
        </is>
      </c>
      <c r="C314" s="11" t="inlineStr">
        <is>
          <t>TEC-ACC-006</t>
        </is>
      </c>
      <c r="D314" s="7" t="inlineStr">
        <is>
          <t>MultiPort Thunderbolt 4 Dock</t>
        </is>
      </c>
      <c r="E314" s="7" t="inlineStr">
        <is>
          <t>Technology</t>
        </is>
      </c>
      <c r="F314" s="7" t="inlineStr">
        <is>
          <t>Audio &amp; Accessories</t>
        </is>
      </c>
      <c r="G314" s="7" t="inlineStr">
        <is>
          <t>West</t>
        </is>
      </c>
      <c r="H314" s="7" t="inlineStr">
        <is>
          <t>Oregon</t>
        </is>
      </c>
      <c r="I314" s="7" t="inlineStr">
        <is>
          <t>Retail Partner</t>
        </is>
      </c>
      <c r="J314" s="7" t="inlineStr">
        <is>
          <t>Consumer</t>
        </is>
      </c>
      <c r="K314" s="12" t="n">
        <v>3</v>
      </c>
      <c r="L314" s="9" t="n">
        <v>149.99</v>
      </c>
      <c r="M314" s="10" t="n">
        <v>0</v>
      </c>
      <c r="N314" s="9" t="n">
        <v>98.98999999999999</v>
      </c>
      <c r="O314" s="9">
        <f>K314*L314</f>
        <v/>
      </c>
      <c r="P314" s="9">
        <f>O314*M314</f>
        <v/>
      </c>
      <c r="Q314" s="9">
        <f>O314-P314</f>
        <v/>
      </c>
      <c r="R314" s="9">
        <f>K314*N314</f>
        <v/>
      </c>
      <c r="S314" s="9">
        <f>Q314-R314</f>
        <v/>
      </c>
      <c r="T314" s="10">
        <f>IFERROR(S314/Q314, 0)</f>
        <v/>
      </c>
    </row>
    <row r="315">
      <c r="A315" s="11" t="inlineStr">
        <is>
          <t>ORD-2024-1314</t>
        </is>
      </c>
      <c r="B315" s="11" t="inlineStr">
        <is>
          <t>2024-05-15</t>
        </is>
      </c>
      <c r="C315" s="11" t="inlineStr">
        <is>
          <t>FUR-CHA-002</t>
        </is>
      </c>
      <c r="D315" s="7" t="inlineStr">
        <is>
          <t>AeroTask Operator Task Chair</t>
        </is>
      </c>
      <c r="E315" s="7" t="inlineStr">
        <is>
          <t>Furniture</t>
        </is>
      </c>
      <c r="F315" s="7" t="inlineStr">
        <is>
          <t>Chairs</t>
        </is>
      </c>
      <c r="G315" s="7" t="inlineStr">
        <is>
          <t>West</t>
        </is>
      </c>
      <c r="H315" s="7" t="inlineStr">
        <is>
          <t>Oregon</t>
        </is>
      </c>
      <c r="I315" s="7" t="inlineStr">
        <is>
          <t>Retail Partner</t>
        </is>
      </c>
      <c r="J315" s="7" t="inlineStr">
        <is>
          <t>Consumer</t>
        </is>
      </c>
      <c r="K315" s="12" t="n">
        <v>3</v>
      </c>
      <c r="L315" s="9" t="n">
        <v>219.99</v>
      </c>
      <c r="M315" s="10" t="n">
        <v>0</v>
      </c>
      <c r="N315" s="9" t="n">
        <v>171.59</v>
      </c>
      <c r="O315" s="9">
        <f>K315*L315</f>
        <v/>
      </c>
      <c r="P315" s="9">
        <f>O315*M315</f>
        <v/>
      </c>
      <c r="Q315" s="9">
        <f>O315-P315</f>
        <v/>
      </c>
      <c r="R315" s="9">
        <f>K315*N315</f>
        <v/>
      </c>
      <c r="S315" s="9">
        <f>Q315-R315</f>
        <v/>
      </c>
      <c r="T315" s="10">
        <f>IFERROR(S315/Q315, 0)</f>
        <v/>
      </c>
    </row>
    <row r="316">
      <c r="A316" s="11" t="inlineStr">
        <is>
          <t>ORD-2024-1470</t>
        </is>
      </c>
      <c r="B316" s="11" t="inlineStr">
        <is>
          <t>2024-05-16</t>
        </is>
      </c>
      <c r="C316" s="11" t="inlineStr">
        <is>
          <t>FUR-DSK-004</t>
        </is>
      </c>
      <c r="D316" s="7" t="inlineStr">
        <is>
          <t>Metro Compact Corner Workstation</t>
        </is>
      </c>
      <c r="E316" s="7" t="inlineStr">
        <is>
          <t>Furniture</t>
        </is>
      </c>
      <c r="F316" s="7" t="inlineStr">
        <is>
          <t>Desks &amp; Workstations</t>
        </is>
      </c>
      <c r="G316" s="7" t="inlineStr">
        <is>
          <t>South</t>
        </is>
      </c>
      <c r="H316" s="7" t="inlineStr">
        <is>
          <t>Florida</t>
        </is>
      </c>
      <c r="I316" s="7" t="inlineStr">
        <is>
          <t>Retail Partner</t>
        </is>
      </c>
      <c r="J316" s="7" t="inlineStr">
        <is>
          <t>Corporate</t>
        </is>
      </c>
      <c r="K316" s="12" t="n">
        <v>4</v>
      </c>
      <c r="L316" s="9" t="n">
        <v>329.99</v>
      </c>
      <c r="M316" s="10" t="n">
        <v>0.05</v>
      </c>
      <c r="N316" s="9" t="n">
        <v>250.79</v>
      </c>
      <c r="O316" s="9">
        <f>K316*L316</f>
        <v/>
      </c>
      <c r="P316" s="9">
        <f>O316*M316</f>
        <v/>
      </c>
      <c r="Q316" s="9">
        <f>O316-P316</f>
        <v/>
      </c>
      <c r="R316" s="9">
        <f>K316*N316</f>
        <v/>
      </c>
      <c r="S316" s="9">
        <f>Q316-R316</f>
        <v/>
      </c>
      <c r="T316" s="10">
        <f>IFERROR(S316/Q316, 0)</f>
        <v/>
      </c>
    </row>
    <row r="317">
      <c r="A317" s="11" t="inlineStr">
        <is>
          <t>ORD-2024-1668</t>
        </is>
      </c>
      <c r="B317" s="11" t="inlineStr">
        <is>
          <t>2024-05-16</t>
        </is>
      </c>
      <c r="C317" s="11" t="inlineStr">
        <is>
          <t>TEC-ACC-005</t>
        </is>
      </c>
      <c r="D317" s="7" t="inlineStr">
        <is>
          <t>UltraWireless Noise-Canceling Headset</t>
        </is>
      </c>
      <c r="E317" s="7" t="inlineStr">
        <is>
          <t>Technology</t>
        </is>
      </c>
      <c r="F317" s="7" t="inlineStr">
        <is>
          <t>Audio &amp; Accessories</t>
        </is>
      </c>
      <c r="G317" s="7" t="inlineStr">
        <is>
          <t>West</t>
        </is>
      </c>
      <c r="H317" s="7" t="inlineStr">
        <is>
          <t>Oregon</t>
        </is>
      </c>
      <c r="I317" s="7" t="inlineStr">
        <is>
          <t>Direct Sales</t>
        </is>
      </c>
      <c r="J317" s="7" t="inlineStr">
        <is>
          <t>Home Office</t>
        </is>
      </c>
      <c r="K317" s="12" t="n">
        <v>2</v>
      </c>
      <c r="L317" s="9" t="n">
        <v>179.99</v>
      </c>
      <c r="M317" s="10" t="n">
        <v>0</v>
      </c>
      <c r="N317" s="9" t="n">
        <v>111.59</v>
      </c>
      <c r="O317" s="9">
        <f>K317*L317</f>
        <v/>
      </c>
      <c r="P317" s="9">
        <f>O317*M317</f>
        <v/>
      </c>
      <c r="Q317" s="9">
        <f>O317-P317</f>
        <v/>
      </c>
      <c r="R317" s="9">
        <f>K317*N317</f>
        <v/>
      </c>
      <c r="S317" s="9">
        <f>Q317-R317</f>
        <v/>
      </c>
      <c r="T317" s="10">
        <f>IFERROR(S317/Q317, 0)</f>
        <v/>
      </c>
    </row>
    <row r="318">
      <c r="A318" s="11" t="inlineStr">
        <is>
          <t>ORD-2024-1018</t>
        </is>
      </c>
      <c r="B318" s="11" t="inlineStr">
        <is>
          <t>2024-05-18</t>
        </is>
      </c>
      <c r="C318" s="11" t="inlineStr">
        <is>
          <t>TEC-ACC-006</t>
        </is>
      </c>
      <c r="D318" s="7" t="inlineStr">
        <is>
          <t>MultiPort Thunderbolt 4 Dock</t>
        </is>
      </c>
      <c r="E318" s="7" t="inlineStr">
        <is>
          <t>Technology</t>
        </is>
      </c>
      <c r="F318" s="7" t="inlineStr">
        <is>
          <t>Audio &amp; Accessories</t>
        </is>
      </c>
      <c r="G318" s="7" t="inlineStr">
        <is>
          <t>West</t>
        </is>
      </c>
      <c r="H318" s="7" t="inlineStr">
        <is>
          <t>Washington</t>
        </is>
      </c>
      <c r="I318" s="7" t="inlineStr">
        <is>
          <t>Wholesale</t>
        </is>
      </c>
      <c r="J318" s="7" t="inlineStr">
        <is>
          <t>Home Office</t>
        </is>
      </c>
      <c r="K318" s="12" t="n">
        <v>12</v>
      </c>
      <c r="L318" s="9" t="n">
        <v>149.99</v>
      </c>
      <c r="M318" s="10" t="n">
        <v>0.2</v>
      </c>
      <c r="N318" s="9" t="n">
        <v>98.98999999999999</v>
      </c>
      <c r="O318" s="9">
        <f>K318*L318</f>
        <v/>
      </c>
      <c r="P318" s="9">
        <f>O318*M318</f>
        <v/>
      </c>
      <c r="Q318" s="9">
        <f>O318-P318</f>
        <v/>
      </c>
      <c r="R318" s="9">
        <f>K318*N318</f>
        <v/>
      </c>
      <c r="S318" s="9">
        <f>Q318-R318</f>
        <v/>
      </c>
      <c r="T318" s="10">
        <f>IFERROR(S318/Q318, 0)</f>
        <v/>
      </c>
    </row>
    <row r="319">
      <c r="A319" s="11" t="inlineStr">
        <is>
          <t>ORD-2024-1590</t>
        </is>
      </c>
      <c r="B319" s="11" t="inlineStr">
        <is>
          <t>2024-05-18</t>
        </is>
      </c>
      <c r="C319" s="11" t="inlineStr">
        <is>
          <t>TEC-LAP-002</t>
        </is>
      </c>
      <c r="D319" s="7" t="inlineStr">
        <is>
          <t>Apex Gaming Laptop 17"</t>
        </is>
      </c>
      <c r="E319" s="7" t="inlineStr">
        <is>
          <t>Technology</t>
        </is>
      </c>
      <c r="F319" s="7" t="inlineStr">
        <is>
          <t>Laptops</t>
        </is>
      </c>
      <c r="G319" s="7" t="inlineStr">
        <is>
          <t>West</t>
        </is>
      </c>
      <c r="H319" s="7" t="inlineStr">
        <is>
          <t>Colorado</t>
        </is>
      </c>
      <c r="I319" s="7" t="inlineStr">
        <is>
          <t>Online</t>
        </is>
      </c>
      <c r="J319" s="7" t="inlineStr">
        <is>
          <t>Consumer</t>
        </is>
      </c>
      <c r="K319" s="12" t="n">
        <v>1</v>
      </c>
      <c r="L319" s="9" t="n">
        <v>1499.99</v>
      </c>
      <c r="M319" s="10" t="n">
        <v>0.25</v>
      </c>
      <c r="N319" s="9" t="n">
        <v>1259.99</v>
      </c>
      <c r="O319" s="9">
        <f>K319*L319</f>
        <v/>
      </c>
      <c r="P319" s="9">
        <f>O319*M319</f>
        <v/>
      </c>
      <c r="Q319" s="9">
        <f>O319-P319</f>
        <v/>
      </c>
      <c r="R319" s="9">
        <f>K319*N319</f>
        <v/>
      </c>
      <c r="S319" s="9">
        <f>Q319-R319</f>
        <v/>
      </c>
      <c r="T319" s="10">
        <f>IFERROR(S319/Q319, 0)</f>
        <v/>
      </c>
    </row>
    <row r="320">
      <c r="A320" s="11" t="inlineStr">
        <is>
          <t>ORD-2024-1147</t>
        </is>
      </c>
      <c r="B320" s="11" t="inlineStr">
        <is>
          <t>2024-05-19</t>
        </is>
      </c>
      <c r="C320" s="11" t="inlineStr">
        <is>
          <t>FUR-CHA-002</t>
        </is>
      </c>
      <c r="D320" s="7" t="inlineStr">
        <is>
          <t>AeroTask Operator Task Chair</t>
        </is>
      </c>
      <c r="E320" s="7" t="inlineStr">
        <is>
          <t>Furniture</t>
        </is>
      </c>
      <c r="F320" s="7" t="inlineStr">
        <is>
          <t>Chairs</t>
        </is>
      </c>
      <c r="G320" s="7" t="inlineStr">
        <is>
          <t>East</t>
        </is>
      </c>
      <c r="H320" s="7" t="inlineStr">
        <is>
          <t>New York</t>
        </is>
      </c>
      <c r="I320" s="7" t="inlineStr">
        <is>
          <t>Direct Sales</t>
        </is>
      </c>
      <c r="J320" s="7" t="inlineStr">
        <is>
          <t>Home Office</t>
        </is>
      </c>
      <c r="K320" s="12" t="n">
        <v>4</v>
      </c>
      <c r="L320" s="9" t="n">
        <v>219.99</v>
      </c>
      <c r="M320" s="10" t="n">
        <v>0</v>
      </c>
      <c r="N320" s="9" t="n">
        <v>171.59</v>
      </c>
      <c r="O320" s="9">
        <f>K320*L320</f>
        <v/>
      </c>
      <c r="P320" s="9">
        <f>O320*M320</f>
        <v/>
      </c>
      <c r="Q320" s="9">
        <f>O320-P320</f>
        <v/>
      </c>
      <c r="R320" s="9">
        <f>K320*N320</f>
        <v/>
      </c>
      <c r="S320" s="9">
        <f>Q320-R320</f>
        <v/>
      </c>
      <c r="T320" s="10">
        <f>IFERROR(S320/Q320, 0)</f>
        <v/>
      </c>
    </row>
    <row r="321">
      <c r="A321" s="11" t="inlineStr">
        <is>
          <t>ORD-2024-1630</t>
        </is>
      </c>
      <c r="B321" s="11" t="inlineStr">
        <is>
          <t>2024-05-19</t>
        </is>
      </c>
      <c r="C321" s="11" t="inlineStr">
        <is>
          <t>OFF-DSK-008</t>
        </is>
      </c>
      <c r="D321" s="7" t="inlineStr">
        <is>
          <t>Steel Desktop Mesh Organizer Caddy</t>
        </is>
      </c>
      <c r="E321" s="7" t="inlineStr">
        <is>
          <t>Office Supplies</t>
        </is>
      </c>
      <c r="F321" s="7" t="inlineStr">
        <is>
          <t>Desk Supplies</t>
        </is>
      </c>
      <c r="G321" s="7" t="inlineStr">
        <is>
          <t>East</t>
        </is>
      </c>
      <c r="H321" s="7" t="inlineStr">
        <is>
          <t>Pennsylvania</t>
        </is>
      </c>
      <c r="I321" s="7" t="inlineStr">
        <is>
          <t>Online</t>
        </is>
      </c>
      <c r="J321" s="7" t="inlineStr">
        <is>
          <t>Corporate</t>
        </is>
      </c>
      <c r="K321" s="12" t="n">
        <v>8</v>
      </c>
      <c r="L321" s="9" t="n">
        <v>18.99</v>
      </c>
      <c r="M321" s="10" t="n">
        <v>0</v>
      </c>
      <c r="N321" s="9" t="n">
        <v>8.550000000000001</v>
      </c>
      <c r="O321" s="9">
        <f>K321*L321</f>
        <v/>
      </c>
      <c r="P321" s="9">
        <f>O321*M321</f>
        <v/>
      </c>
      <c r="Q321" s="9">
        <f>O321-P321</f>
        <v/>
      </c>
      <c r="R321" s="9">
        <f>K321*N321</f>
        <v/>
      </c>
      <c r="S321" s="9">
        <f>Q321-R321</f>
        <v/>
      </c>
      <c r="T321" s="10">
        <f>IFERROR(S321/Q321, 0)</f>
        <v/>
      </c>
    </row>
    <row r="322">
      <c r="A322" s="11" t="inlineStr">
        <is>
          <t>ORD-2024-1624</t>
        </is>
      </c>
      <c r="B322" s="11" t="inlineStr">
        <is>
          <t>2024-05-20</t>
        </is>
      </c>
      <c r="C322" s="11" t="inlineStr">
        <is>
          <t>FUR-DSK-003</t>
        </is>
      </c>
      <c r="D322" s="7" t="inlineStr">
        <is>
          <t>ApexMotor Dual-Motor Standing Desk</t>
        </is>
      </c>
      <c r="E322" s="7" t="inlineStr">
        <is>
          <t>Furniture</t>
        </is>
      </c>
      <c r="F322" s="7" t="inlineStr">
        <is>
          <t>Desks &amp; Workstations</t>
        </is>
      </c>
      <c r="G322" s="7" t="inlineStr">
        <is>
          <t>West</t>
        </is>
      </c>
      <c r="H322" s="7" t="inlineStr">
        <is>
          <t>Colorado</t>
        </is>
      </c>
      <c r="I322" s="7" t="inlineStr">
        <is>
          <t>Direct Sales</t>
        </is>
      </c>
      <c r="J322" s="7" t="inlineStr">
        <is>
          <t>Consumer</t>
        </is>
      </c>
      <c r="K322" s="12" t="n">
        <v>4</v>
      </c>
      <c r="L322" s="9" t="n">
        <v>549.99</v>
      </c>
      <c r="M322" s="10" t="n">
        <v>0</v>
      </c>
      <c r="N322" s="9" t="n">
        <v>439.99</v>
      </c>
      <c r="O322" s="9">
        <f>K322*L322</f>
        <v/>
      </c>
      <c r="P322" s="9">
        <f>O322*M322</f>
        <v/>
      </c>
      <c r="Q322" s="9">
        <f>O322-P322</f>
        <v/>
      </c>
      <c r="R322" s="9">
        <f>K322*N322</f>
        <v/>
      </c>
      <c r="S322" s="9">
        <f>Q322-R322</f>
        <v/>
      </c>
      <c r="T322" s="10">
        <f>IFERROR(S322/Q322, 0)</f>
        <v/>
      </c>
    </row>
    <row r="323">
      <c r="A323" s="11" t="inlineStr">
        <is>
          <t>ORD-2024-1624</t>
        </is>
      </c>
      <c r="B323" s="11" t="inlineStr">
        <is>
          <t>2024-05-20</t>
        </is>
      </c>
      <c r="C323" s="11" t="inlineStr">
        <is>
          <t>FUR-DSK-003</t>
        </is>
      </c>
      <c r="D323" s="7" t="inlineStr">
        <is>
          <t>ApexMotor Dual-Motor Standing Desk</t>
        </is>
      </c>
      <c r="E323" s="7" t="inlineStr">
        <is>
          <t>Furniture</t>
        </is>
      </c>
      <c r="F323" s="7" t="inlineStr">
        <is>
          <t>Desks &amp; Workstations</t>
        </is>
      </c>
      <c r="G323" s="7" t="inlineStr">
        <is>
          <t>West</t>
        </is>
      </c>
      <c r="H323" s="7" t="inlineStr">
        <is>
          <t>Colorado</t>
        </is>
      </c>
      <c r="I323" s="7" t="inlineStr">
        <is>
          <t>Direct Sales</t>
        </is>
      </c>
      <c r="J323" s="7" t="inlineStr">
        <is>
          <t>Consumer</t>
        </is>
      </c>
      <c r="K323" s="12" t="n">
        <v>4</v>
      </c>
      <c r="L323" s="9" t="n">
        <v>549.99</v>
      </c>
      <c r="M323" s="10" t="n">
        <v>0</v>
      </c>
      <c r="N323" s="9" t="n">
        <v>439.99</v>
      </c>
      <c r="O323" s="9">
        <f>K323*L323</f>
        <v/>
      </c>
      <c r="P323" s="9">
        <f>O323*M323</f>
        <v/>
      </c>
      <c r="Q323" s="9">
        <f>O323-P323</f>
        <v/>
      </c>
      <c r="R323" s="9">
        <f>K323*N323</f>
        <v/>
      </c>
      <c r="S323" s="9">
        <f>Q323-R323</f>
        <v/>
      </c>
      <c r="T323" s="10">
        <f>IFERROR(S323/Q323, 0)</f>
        <v/>
      </c>
    </row>
    <row r="324">
      <c r="A324" s="11" t="inlineStr">
        <is>
          <t>ORD-2024-1624</t>
        </is>
      </c>
      <c r="B324" s="11" t="inlineStr">
        <is>
          <t>2024-05-20</t>
        </is>
      </c>
      <c r="C324" s="11" t="inlineStr">
        <is>
          <t>OFF-DSK-007</t>
        </is>
      </c>
      <c r="D324" s="7" t="inlineStr">
        <is>
          <t>Gel Ergo Mouse Pad &amp; Wrist Rest Combo</t>
        </is>
      </c>
      <c r="E324" s="7" t="inlineStr">
        <is>
          <t>Office Supplies</t>
        </is>
      </c>
      <c r="F324" s="7" t="inlineStr">
        <is>
          <t>Desk Supplies</t>
        </is>
      </c>
      <c r="G324" s="7" t="inlineStr">
        <is>
          <t>West</t>
        </is>
      </c>
      <c r="H324" s="7" t="inlineStr">
        <is>
          <t>Colorado</t>
        </is>
      </c>
      <c r="I324" s="7" t="inlineStr">
        <is>
          <t>Direct Sales</t>
        </is>
      </c>
      <c r="J324" s="7" t="inlineStr">
        <is>
          <t>Consumer</t>
        </is>
      </c>
      <c r="K324" s="12" t="n">
        <v>2</v>
      </c>
      <c r="L324" s="9" t="n">
        <v>21.99</v>
      </c>
      <c r="M324" s="10" t="n">
        <v>0.05</v>
      </c>
      <c r="N324" s="9" t="n">
        <v>10.56</v>
      </c>
      <c r="O324" s="9">
        <f>K324*L324</f>
        <v/>
      </c>
      <c r="P324" s="9">
        <f>O324*M324</f>
        <v/>
      </c>
      <c r="Q324" s="9">
        <f>O324-P324</f>
        <v/>
      </c>
      <c r="R324" s="9">
        <f>K324*N324</f>
        <v/>
      </c>
      <c r="S324" s="9">
        <f>Q324-R324</f>
        <v/>
      </c>
      <c r="T324" s="10">
        <f>IFERROR(S324/Q324, 0)</f>
        <v/>
      </c>
    </row>
    <row r="325">
      <c r="A325" s="11" t="inlineStr">
        <is>
          <t>ORD-2024-1639</t>
        </is>
      </c>
      <c r="B325" s="11" t="inlineStr">
        <is>
          <t>2024-05-20</t>
        </is>
      </c>
      <c r="C325" s="11" t="inlineStr">
        <is>
          <t>OFF-BIN-005</t>
        </is>
      </c>
      <c r="D325" s="7" t="inlineStr">
        <is>
          <t>Heavy-Duty D-Ring Presentation Binder (6-Pk)</t>
        </is>
      </c>
      <c r="E325" s="7" t="inlineStr">
        <is>
          <t>Office Supplies</t>
        </is>
      </c>
      <c r="F325" s="7" t="inlineStr">
        <is>
          <t>Binders &amp; Fasteners</t>
        </is>
      </c>
      <c r="G325" s="7" t="inlineStr">
        <is>
          <t>South</t>
        </is>
      </c>
      <c r="H325" s="7" t="inlineStr">
        <is>
          <t>Florida</t>
        </is>
      </c>
      <c r="I325" s="7" t="inlineStr">
        <is>
          <t>Online</t>
        </is>
      </c>
      <c r="J325" s="7" t="inlineStr">
        <is>
          <t>Consumer</t>
        </is>
      </c>
      <c r="K325" s="12" t="n">
        <v>4</v>
      </c>
      <c r="L325" s="9" t="n">
        <v>27.99</v>
      </c>
      <c r="M325" s="10" t="n">
        <v>0.05</v>
      </c>
      <c r="N325" s="9" t="n">
        <v>13.99</v>
      </c>
      <c r="O325" s="9">
        <f>K325*L325</f>
        <v/>
      </c>
      <c r="P325" s="9">
        <f>O325*M325</f>
        <v/>
      </c>
      <c r="Q325" s="9">
        <f>O325-P325</f>
        <v/>
      </c>
      <c r="R325" s="9">
        <f>K325*N325</f>
        <v/>
      </c>
      <c r="S325" s="9">
        <f>Q325-R325</f>
        <v/>
      </c>
      <c r="T325" s="10">
        <f>IFERROR(S325/Q325, 0)</f>
        <v/>
      </c>
    </row>
    <row r="326">
      <c r="A326" s="11" t="inlineStr">
        <is>
          <t>ORD-2024-1639</t>
        </is>
      </c>
      <c r="B326" s="11" t="inlineStr">
        <is>
          <t>2024-05-20</t>
        </is>
      </c>
      <c r="C326" s="11" t="inlineStr">
        <is>
          <t>FUR-DSK-003</t>
        </is>
      </c>
      <c r="D326" s="7" t="inlineStr">
        <is>
          <t>ApexMotor Dual-Motor Standing Desk</t>
        </is>
      </c>
      <c r="E326" s="7" t="inlineStr">
        <is>
          <t>Furniture</t>
        </is>
      </c>
      <c r="F326" s="7" t="inlineStr">
        <is>
          <t>Desks &amp; Workstations</t>
        </is>
      </c>
      <c r="G326" s="7" t="inlineStr">
        <is>
          <t>South</t>
        </is>
      </c>
      <c r="H326" s="7" t="inlineStr">
        <is>
          <t>Florida</t>
        </is>
      </c>
      <c r="I326" s="7" t="inlineStr">
        <is>
          <t>Online</t>
        </is>
      </c>
      <c r="J326" s="7" t="inlineStr">
        <is>
          <t>Consumer</t>
        </is>
      </c>
      <c r="K326" s="12" t="n">
        <v>4</v>
      </c>
      <c r="L326" s="9" t="n">
        <v>549.99</v>
      </c>
      <c r="M326" s="10" t="n">
        <v>0.1</v>
      </c>
      <c r="N326" s="9" t="n">
        <v>439.99</v>
      </c>
      <c r="O326" s="9">
        <f>K326*L326</f>
        <v/>
      </c>
      <c r="P326" s="9">
        <f>O326*M326</f>
        <v/>
      </c>
      <c r="Q326" s="9">
        <f>O326-P326</f>
        <v/>
      </c>
      <c r="R326" s="9">
        <f>K326*N326</f>
        <v/>
      </c>
      <c r="S326" s="9">
        <f>Q326-R326</f>
        <v/>
      </c>
      <c r="T326" s="10">
        <f>IFERROR(S326/Q326, 0)</f>
        <v/>
      </c>
    </row>
    <row r="327">
      <c r="A327" s="11" t="inlineStr">
        <is>
          <t>ORD-2024-1639</t>
        </is>
      </c>
      <c r="B327" s="11" t="inlineStr">
        <is>
          <t>2024-05-20</t>
        </is>
      </c>
      <c r="C327" s="11" t="inlineStr">
        <is>
          <t>TEC-TAB-004</t>
        </is>
      </c>
      <c r="D327" s="7" t="inlineStr">
        <is>
          <t>VisionPad Lite 8.5"</t>
        </is>
      </c>
      <c r="E327" s="7" t="inlineStr">
        <is>
          <t>Technology</t>
        </is>
      </c>
      <c r="F327" s="7" t="inlineStr">
        <is>
          <t>Phones &amp; Tablets</t>
        </is>
      </c>
      <c r="G327" s="7" t="inlineStr">
        <is>
          <t>South</t>
        </is>
      </c>
      <c r="H327" s="7" t="inlineStr">
        <is>
          <t>Florida</t>
        </is>
      </c>
      <c r="I327" s="7" t="inlineStr">
        <is>
          <t>Online</t>
        </is>
      </c>
      <c r="J327" s="7" t="inlineStr">
        <is>
          <t>Consumer</t>
        </is>
      </c>
      <c r="K327" s="12" t="n">
        <v>1</v>
      </c>
      <c r="L327" s="9" t="n">
        <v>299.99</v>
      </c>
      <c r="M327" s="10" t="n">
        <v>0</v>
      </c>
      <c r="N327" s="9" t="n">
        <v>245.99</v>
      </c>
      <c r="O327" s="9">
        <f>K327*L327</f>
        <v/>
      </c>
      <c r="P327" s="9">
        <f>O327*M327</f>
        <v/>
      </c>
      <c r="Q327" s="9">
        <f>O327-P327</f>
        <v/>
      </c>
      <c r="R327" s="9">
        <f>K327*N327</f>
        <v/>
      </c>
      <c r="S327" s="9">
        <f>Q327-R327</f>
        <v/>
      </c>
      <c r="T327" s="10">
        <f>IFERROR(S327/Q327, 0)</f>
        <v/>
      </c>
    </row>
    <row r="328">
      <c r="A328" s="11" t="inlineStr">
        <is>
          <t>ORD-2024-1350</t>
        </is>
      </c>
      <c r="B328" s="11" t="inlineStr">
        <is>
          <t>2024-05-21</t>
        </is>
      </c>
      <c r="C328" s="11" t="inlineStr">
        <is>
          <t>TEC-LAP-002</t>
        </is>
      </c>
      <c r="D328" s="7" t="inlineStr">
        <is>
          <t>Apex Gaming Laptop 17"</t>
        </is>
      </c>
      <c r="E328" s="7" t="inlineStr">
        <is>
          <t>Technology</t>
        </is>
      </c>
      <c r="F328" s="7" t="inlineStr">
        <is>
          <t>Laptops</t>
        </is>
      </c>
      <c r="G328" s="7" t="inlineStr">
        <is>
          <t>West</t>
        </is>
      </c>
      <c r="H328" s="7" t="inlineStr">
        <is>
          <t>Washington</t>
        </is>
      </c>
      <c r="I328" s="7" t="inlineStr">
        <is>
          <t>Retail Partner</t>
        </is>
      </c>
      <c r="J328" s="7" t="inlineStr">
        <is>
          <t>Consumer</t>
        </is>
      </c>
      <c r="K328" s="12" t="n">
        <v>2</v>
      </c>
      <c r="L328" s="9" t="n">
        <v>1499.99</v>
      </c>
      <c r="M328" s="10" t="n">
        <v>0.25</v>
      </c>
      <c r="N328" s="9" t="n">
        <v>1259.99</v>
      </c>
      <c r="O328" s="9">
        <f>K328*L328</f>
        <v/>
      </c>
      <c r="P328" s="9">
        <f>O328*M328</f>
        <v/>
      </c>
      <c r="Q328" s="9">
        <f>O328-P328</f>
        <v/>
      </c>
      <c r="R328" s="9">
        <f>K328*N328</f>
        <v/>
      </c>
      <c r="S328" s="9">
        <f>Q328-R328</f>
        <v/>
      </c>
      <c r="T328" s="10">
        <f>IFERROR(S328/Q328, 0)</f>
        <v/>
      </c>
    </row>
    <row r="329">
      <c r="A329" s="11" t="inlineStr">
        <is>
          <t>ORD-2024-1350</t>
        </is>
      </c>
      <c r="B329" s="11" t="inlineStr">
        <is>
          <t>2024-05-21</t>
        </is>
      </c>
      <c r="C329" s="11" t="inlineStr">
        <is>
          <t>OFF-STR-001</t>
        </is>
      </c>
      <c r="D329" s="7" t="inlineStr">
        <is>
          <t>SteelLock 3-Drawer File Cabinet</t>
        </is>
      </c>
      <c r="E329" s="7" t="inlineStr">
        <is>
          <t>Office Supplies</t>
        </is>
      </c>
      <c r="F329" s="7" t="inlineStr">
        <is>
          <t>Storage &amp; Organizers</t>
        </is>
      </c>
      <c r="G329" s="7" t="inlineStr">
        <is>
          <t>West</t>
        </is>
      </c>
      <c r="H329" s="7" t="inlineStr">
        <is>
          <t>Washington</t>
        </is>
      </c>
      <c r="I329" s="7" t="inlineStr">
        <is>
          <t>Retail Partner</t>
        </is>
      </c>
      <c r="J329" s="7" t="inlineStr">
        <is>
          <t>Consumer</t>
        </is>
      </c>
      <c r="K329" s="12" t="n">
        <v>4</v>
      </c>
      <c r="L329" s="9" t="n">
        <v>169.99</v>
      </c>
      <c r="M329" s="10" t="n">
        <v>0.05</v>
      </c>
      <c r="N329" s="9" t="n">
        <v>115.59</v>
      </c>
      <c r="O329" s="9">
        <f>K329*L329</f>
        <v/>
      </c>
      <c r="P329" s="9">
        <f>O329*M329</f>
        <v/>
      </c>
      <c r="Q329" s="9">
        <f>O329-P329</f>
        <v/>
      </c>
      <c r="R329" s="9">
        <f>K329*N329</f>
        <v/>
      </c>
      <c r="S329" s="9">
        <f>Q329-R329</f>
        <v/>
      </c>
      <c r="T329" s="10">
        <f>IFERROR(S329/Q329, 0)</f>
        <v/>
      </c>
    </row>
    <row r="330">
      <c r="A330" s="11" t="inlineStr">
        <is>
          <t>ORD-2024-1489</t>
        </is>
      </c>
      <c r="B330" s="11" t="inlineStr">
        <is>
          <t>2024-05-21</t>
        </is>
      </c>
      <c r="C330" s="11" t="inlineStr">
        <is>
          <t>OFF-STR-002</t>
        </is>
      </c>
      <c r="D330" s="7" t="inlineStr">
        <is>
          <t>Stackable Heavy-Duty Storage Bins (4-Pk)</t>
        </is>
      </c>
      <c r="E330" s="7" t="inlineStr">
        <is>
          <t>Office Supplies</t>
        </is>
      </c>
      <c r="F330" s="7" t="inlineStr">
        <is>
          <t>Storage &amp; Organizers</t>
        </is>
      </c>
      <c r="G330" s="7" t="inlineStr">
        <is>
          <t>West</t>
        </is>
      </c>
      <c r="H330" s="7" t="inlineStr">
        <is>
          <t>Oregon</t>
        </is>
      </c>
      <c r="I330" s="7" t="inlineStr">
        <is>
          <t>Online</t>
        </is>
      </c>
      <c r="J330" s="7" t="inlineStr">
        <is>
          <t>Consumer</t>
        </is>
      </c>
      <c r="K330" s="12" t="n">
        <v>2</v>
      </c>
      <c r="L330" s="9" t="n">
        <v>44.99</v>
      </c>
      <c r="M330" s="10" t="n">
        <v>0</v>
      </c>
      <c r="N330" s="9" t="n">
        <v>24.74</v>
      </c>
      <c r="O330" s="9">
        <f>K330*L330</f>
        <v/>
      </c>
      <c r="P330" s="9">
        <f>O330*M330</f>
        <v/>
      </c>
      <c r="Q330" s="9">
        <f>O330-P330</f>
        <v/>
      </c>
      <c r="R330" s="9">
        <f>K330*N330</f>
        <v/>
      </c>
      <c r="S330" s="9">
        <f>Q330-R330</f>
        <v/>
      </c>
      <c r="T330" s="10">
        <f>IFERROR(S330/Q330, 0)</f>
        <v/>
      </c>
    </row>
    <row r="331">
      <c r="A331" s="11" t="inlineStr">
        <is>
          <t>ORD-2024-1603</t>
        </is>
      </c>
      <c r="B331" s="11" t="inlineStr">
        <is>
          <t>2024-05-21</t>
        </is>
      </c>
      <c r="C331" s="11" t="inlineStr">
        <is>
          <t>OFF-STR-001</t>
        </is>
      </c>
      <c r="D331" s="7" t="inlineStr">
        <is>
          <t>SteelLock 3-Drawer File Cabinet</t>
        </is>
      </c>
      <c r="E331" s="7" t="inlineStr">
        <is>
          <t>Office Supplies</t>
        </is>
      </c>
      <c r="F331" s="7" t="inlineStr">
        <is>
          <t>Storage &amp; Organizers</t>
        </is>
      </c>
      <c r="G331" s="7" t="inlineStr">
        <is>
          <t>South</t>
        </is>
      </c>
      <c r="H331" s="7" t="inlineStr">
        <is>
          <t>North Carolina</t>
        </is>
      </c>
      <c r="I331" s="7" t="inlineStr">
        <is>
          <t>Online</t>
        </is>
      </c>
      <c r="J331" s="7" t="inlineStr">
        <is>
          <t>Home Office</t>
        </is>
      </c>
      <c r="K331" s="12" t="n">
        <v>4</v>
      </c>
      <c r="L331" s="9" t="n">
        <v>169.99</v>
      </c>
      <c r="M331" s="10" t="n">
        <v>0</v>
      </c>
      <c r="N331" s="9" t="n">
        <v>115.59</v>
      </c>
      <c r="O331" s="9">
        <f>K331*L331</f>
        <v/>
      </c>
      <c r="P331" s="9">
        <f>O331*M331</f>
        <v/>
      </c>
      <c r="Q331" s="9">
        <f>O331-P331</f>
        <v/>
      </c>
      <c r="R331" s="9">
        <f>K331*N331</f>
        <v/>
      </c>
      <c r="S331" s="9">
        <f>Q331-R331</f>
        <v/>
      </c>
      <c r="T331" s="10">
        <f>IFERROR(S331/Q331, 0)</f>
        <v/>
      </c>
    </row>
    <row r="332">
      <c r="A332" s="11" t="inlineStr">
        <is>
          <t>ORD-2024-1480</t>
        </is>
      </c>
      <c r="B332" s="11" t="inlineStr">
        <is>
          <t>2024-05-22</t>
        </is>
      </c>
      <c r="C332" s="11" t="inlineStr">
        <is>
          <t>OFF-PAP-003</t>
        </is>
      </c>
      <c r="D332" s="7" t="inlineStr">
        <is>
          <t>UltraWhite Premium Multipurpose Paper (Case)</t>
        </is>
      </c>
      <c r="E332" s="7" t="inlineStr">
        <is>
          <t>Office Supplies</t>
        </is>
      </c>
      <c r="F332" s="7" t="inlineStr">
        <is>
          <t>Paper Products</t>
        </is>
      </c>
      <c r="G332" s="7" t="inlineStr">
        <is>
          <t>West</t>
        </is>
      </c>
      <c r="H332" s="7" t="inlineStr">
        <is>
          <t>Colorado</t>
        </is>
      </c>
      <c r="I332" s="7" t="inlineStr">
        <is>
          <t>Direct Sales</t>
        </is>
      </c>
      <c r="J332" s="7" t="inlineStr">
        <is>
          <t>Corporate</t>
        </is>
      </c>
      <c r="K332" s="12" t="n">
        <v>5</v>
      </c>
      <c r="L332" s="9" t="n">
        <v>54.99</v>
      </c>
      <c r="M332" s="10" t="n">
        <v>0</v>
      </c>
      <c r="N332" s="9" t="n">
        <v>31.89</v>
      </c>
      <c r="O332" s="9">
        <f>K332*L332</f>
        <v/>
      </c>
      <c r="P332" s="9">
        <f>O332*M332</f>
        <v/>
      </c>
      <c r="Q332" s="9">
        <f>O332-P332</f>
        <v/>
      </c>
      <c r="R332" s="9">
        <f>K332*N332</f>
        <v/>
      </c>
      <c r="S332" s="9">
        <f>Q332-R332</f>
        <v/>
      </c>
      <c r="T332" s="10">
        <f>IFERROR(S332/Q332, 0)</f>
        <v/>
      </c>
    </row>
    <row r="333">
      <c r="A333" s="11" t="inlineStr">
        <is>
          <t>ORD-2024-1098</t>
        </is>
      </c>
      <c r="B333" s="11" t="inlineStr">
        <is>
          <t>2024-05-23</t>
        </is>
      </c>
      <c r="C333" s="11" t="inlineStr">
        <is>
          <t>TEC-LAP-001</t>
        </is>
      </c>
      <c r="D333" s="7" t="inlineStr">
        <is>
          <t>ProBook Elite 15.6"</t>
        </is>
      </c>
      <c r="E333" s="7" t="inlineStr">
        <is>
          <t>Technology</t>
        </is>
      </c>
      <c r="F333" s="7" t="inlineStr">
        <is>
          <t>Laptops</t>
        </is>
      </c>
      <c r="G333" s="7" t="inlineStr">
        <is>
          <t>Central</t>
        </is>
      </c>
      <c r="H333" s="7" t="inlineStr">
        <is>
          <t>Michigan</t>
        </is>
      </c>
      <c r="I333" s="7" t="inlineStr">
        <is>
          <t>Wholesale</t>
        </is>
      </c>
      <c r="J333" s="7" t="inlineStr">
        <is>
          <t>Corporate</t>
        </is>
      </c>
      <c r="K333" s="12" t="n">
        <v>13</v>
      </c>
      <c r="L333" s="9" t="n">
        <v>1199.99</v>
      </c>
      <c r="M333" s="10" t="n">
        <v>0.1</v>
      </c>
      <c r="N333" s="9" t="n">
        <v>863.99</v>
      </c>
      <c r="O333" s="9">
        <f>K333*L333</f>
        <v/>
      </c>
      <c r="P333" s="9">
        <f>O333*M333</f>
        <v/>
      </c>
      <c r="Q333" s="9">
        <f>O333-P333</f>
        <v/>
      </c>
      <c r="R333" s="9">
        <f>K333*N333</f>
        <v/>
      </c>
      <c r="S333" s="9">
        <f>Q333-R333</f>
        <v/>
      </c>
      <c r="T333" s="10">
        <f>IFERROR(S333/Q333, 0)</f>
        <v/>
      </c>
    </row>
    <row r="334">
      <c r="A334" s="11" t="inlineStr">
        <is>
          <t>ORD-2024-1023</t>
        </is>
      </c>
      <c r="B334" s="11" t="inlineStr">
        <is>
          <t>2024-05-24</t>
        </is>
      </c>
      <c r="C334" s="11" t="inlineStr">
        <is>
          <t>OFF-BIN-005</t>
        </is>
      </c>
      <c r="D334" s="7" t="inlineStr">
        <is>
          <t>Heavy-Duty D-Ring Presentation Binder (6-Pk)</t>
        </is>
      </c>
      <c r="E334" s="7" t="inlineStr">
        <is>
          <t>Office Supplies</t>
        </is>
      </c>
      <c r="F334" s="7" t="inlineStr">
        <is>
          <t>Binders &amp; Fasteners</t>
        </is>
      </c>
      <c r="G334" s="7" t="inlineStr">
        <is>
          <t>West</t>
        </is>
      </c>
      <c r="H334" s="7" t="inlineStr">
        <is>
          <t>Oregon</t>
        </is>
      </c>
      <c r="I334" s="7" t="inlineStr">
        <is>
          <t>Direct Sales</t>
        </is>
      </c>
      <c r="J334" s="7" t="inlineStr">
        <is>
          <t>Corporate</t>
        </is>
      </c>
      <c r="K334" s="12" t="n">
        <v>5</v>
      </c>
      <c r="L334" s="9" t="n">
        <v>27.99</v>
      </c>
      <c r="M334" s="10" t="n">
        <v>0</v>
      </c>
      <c r="N334" s="9" t="n">
        <v>13.99</v>
      </c>
      <c r="O334" s="9">
        <f>K334*L334</f>
        <v/>
      </c>
      <c r="P334" s="9">
        <f>O334*M334</f>
        <v/>
      </c>
      <c r="Q334" s="9">
        <f>O334-P334</f>
        <v/>
      </c>
      <c r="R334" s="9">
        <f>K334*N334</f>
        <v/>
      </c>
      <c r="S334" s="9">
        <f>Q334-R334</f>
        <v/>
      </c>
      <c r="T334" s="10">
        <f>IFERROR(S334/Q334, 0)</f>
        <v/>
      </c>
    </row>
    <row r="335">
      <c r="A335" s="11" t="inlineStr">
        <is>
          <t>ORD-2024-1641</t>
        </is>
      </c>
      <c r="B335" s="11" t="inlineStr">
        <is>
          <t>2024-05-24</t>
        </is>
      </c>
      <c r="C335" s="11" t="inlineStr">
        <is>
          <t>OFF-STR-001</t>
        </is>
      </c>
      <c r="D335" s="7" t="inlineStr">
        <is>
          <t>SteelLock 3-Drawer File Cabinet</t>
        </is>
      </c>
      <c r="E335" s="7" t="inlineStr">
        <is>
          <t>Office Supplies</t>
        </is>
      </c>
      <c r="F335" s="7" t="inlineStr">
        <is>
          <t>Storage &amp; Organizers</t>
        </is>
      </c>
      <c r="G335" s="7" t="inlineStr">
        <is>
          <t>Central</t>
        </is>
      </c>
      <c r="H335" s="7" t="inlineStr">
        <is>
          <t>Texas</t>
        </is>
      </c>
      <c r="I335" s="7" t="inlineStr">
        <is>
          <t>Online</t>
        </is>
      </c>
      <c r="J335" s="7" t="inlineStr">
        <is>
          <t>Corporate</t>
        </is>
      </c>
      <c r="K335" s="12" t="n">
        <v>4</v>
      </c>
      <c r="L335" s="9" t="n">
        <v>169.99</v>
      </c>
      <c r="M335" s="10" t="n">
        <v>0.05</v>
      </c>
      <c r="N335" s="9" t="n">
        <v>115.59</v>
      </c>
      <c r="O335" s="9">
        <f>K335*L335</f>
        <v/>
      </c>
      <c r="P335" s="9">
        <f>O335*M335</f>
        <v/>
      </c>
      <c r="Q335" s="9">
        <f>O335-P335</f>
        <v/>
      </c>
      <c r="R335" s="9">
        <f>K335*N335</f>
        <v/>
      </c>
      <c r="S335" s="9">
        <f>Q335-R335</f>
        <v/>
      </c>
      <c r="T335" s="10">
        <f>IFERROR(S335/Q335, 0)</f>
        <v/>
      </c>
    </row>
    <row r="336">
      <c r="A336" s="11" t="inlineStr">
        <is>
          <t>ORD-2024-1713</t>
        </is>
      </c>
      <c r="B336" s="11" t="inlineStr">
        <is>
          <t>2024-05-24</t>
        </is>
      </c>
      <c r="C336" s="11" t="inlineStr">
        <is>
          <t>OFF-DSK-007</t>
        </is>
      </c>
      <c r="D336" s="7" t="inlineStr">
        <is>
          <t>Gel Ergo Mouse Pad &amp; Wrist Rest Combo</t>
        </is>
      </c>
      <c r="E336" s="7" t="inlineStr">
        <is>
          <t>Office Supplies</t>
        </is>
      </c>
      <c r="F336" s="7" t="inlineStr">
        <is>
          <t>Desk Supplies</t>
        </is>
      </c>
      <c r="G336" s="7" t="inlineStr">
        <is>
          <t>East</t>
        </is>
      </c>
      <c r="H336" s="7" t="inlineStr">
        <is>
          <t>Pennsylvania</t>
        </is>
      </c>
      <c r="I336" s="7" t="inlineStr">
        <is>
          <t>Direct Sales</t>
        </is>
      </c>
      <c r="J336" s="7" t="inlineStr">
        <is>
          <t>Consumer</t>
        </is>
      </c>
      <c r="K336" s="12" t="n">
        <v>2</v>
      </c>
      <c r="L336" s="9" t="n">
        <v>21.99</v>
      </c>
      <c r="M336" s="10" t="n">
        <v>0</v>
      </c>
      <c r="N336" s="9" t="n">
        <v>10.56</v>
      </c>
      <c r="O336" s="9">
        <f>K336*L336</f>
        <v/>
      </c>
      <c r="P336" s="9">
        <f>O336*M336</f>
        <v/>
      </c>
      <c r="Q336" s="9">
        <f>O336-P336</f>
        <v/>
      </c>
      <c r="R336" s="9">
        <f>K336*N336</f>
        <v/>
      </c>
      <c r="S336" s="9">
        <f>Q336-R336</f>
        <v/>
      </c>
      <c r="T336" s="10">
        <f>IFERROR(S336/Q336, 0)</f>
        <v/>
      </c>
    </row>
    <row r="337">
      <c r="A337" s="11" t="inlineStr">
        <is>
          <t>ORD-2024-1142</t>
        </is>
      </c>
      <c r="B337" s="11" t="inlineStr">
        <is>
          <t>2024-05-25</t>
        </is>
      </c>
      <c r="C337" s="11" t="inlineStr">
        <is>
          <t>TEC-LAP-001</t>
        </is>
      </c>
      <c r="D337" s="7" t="inlineStr">
        <is>
          <t>ProBook Elite 15.6"</t>
        </is>
      </c>
      <c r="E337" s="7" t="inlineStr">
        <is>
          <t>Technology</t>
        </is>
      </c>
      <c r="F337" s="7" t="inlineStr">
        <is>
          <t>Laptops</t>
        </is>
      </c>
      <c r="G337" s="7" t="inlineStr">
        <is>
          <t>East</t>
        </is>
      </c>
      <c r="H337" s="7" t="inlineStr">
        <is>
          <t>New York</t>
        </is>
      </c>
      <c r="I337" s="7" t="inlineStr">
        <is>
          <t>Direct Sales</t>
        </is>
      </c>
      <c r="J337" s="7" t="inlineStr">
        <is>
          <t>Consumer</t>
        </is>
      </c>
      <c r="K337" s="12" t="n">
        <v>2</v>
      </c>
      <c r="L337" s="9" t="n">
        <v>1199.99</v>
      </c>
      <c r="M337" s="10" t="n">
        <v>0</v>
      </c>
      <c r="N337" s="9" t="n">
        <v>863.99</v>
      </c>
      <c r="O337" s="9">
        <f>K337*L337</f>
        <v/>
      </c>
      <c r="P337" s="9">
        <f>O337*M337</f>
        <v/>
      </c>
      <c r="Q337" s="9">
        <f>O337-P337</f>
        <v/>
      </c>
      <c r="R337" s="9">
        <f>K337*N337</f>
        <v/>
      </c>
      <c r="S337" s="9">
        <f>Q337-R337</f>
        <v/>
      </c>
      <c r="T337" s="10">
        <f>IFERROR(S337/Q337, 0)</f>
        <v/>
      </c>
    </row>
    <row r="338">
      <c r="A338" s="11" t="inlineStr">
        <is>
          <t>ORD-2024-1207</t>
        </is>
      </c>
      <c r="B338" s="11" t="inlineStr">
        <is>
          <t>2024-05-25</t>
        </is>
      </c>
      <c r="C338" s="11" t="inlineStr">
        <is>
          <t>OFF-PAP-003</t>
        </is>
      </c>
      <c r="D338" s="7" t="inlineStr">
        <is>
          <t>UltraWhite Premium Multipurpose Paper (Case)</t>
        </is>
      </c>
      <c r="E338" s="7" t="inlineStr">
        <is>
          <t>Office Supplies</t>
        </is>
      </c>
      <c r="F338" s="7" t="inlineStr">
        <is>
          <t>Paper Products</t>
        </is>
      </c>
      <c r="G338" s="7" t="inlineStr">
        <is>
          <t>West</t>
        </is>
      </c>
      <c r="H338" s="7" t="inlineStr">
        <is>
          <t>Colorado</t>
        </is>
      </c>
      <c r="I338" s="7" t="inlineStr">
        <is>
          <t>Wholesale</t>
        </is>
      </c>
      <c r="J338" s="7" t="inlineStr">
        <is>
          <t>Consumer</t>
        </is>
      </c>
      <c r="K338" s="12" t="n">
        <v>5</v>
      </c>
      <c r="L338" s="9" t="n">
        <v>54.99</v>
      </c>
      <c r="M338" s="10" t="n">
        <v>0.1</v>
      </c>
      <c r="N338" s="9" t="n">
        <v>31.89</v>
      </c>
      <c r="O338" s="9">
        <f>K338*L338</f>
        <v/>
      </c>
      <c r="P338" s="9">
        <f>O338*M338</f>
        <v/>
      </c>
      <c r="Q338" s="9">
        <f>O338-P338</f>
        <v/>
      </c>
      <c r="R338" s="9">
        <f>K338*N338</f>
        <v/>
      </c>
      <c r="S338" s="9">
        <f>Q338-R338</f>
        <v/>
      </c>
      <c r="T338" s="10">
        <f>IFERROR(S338/Q338, 0)</f>
        <v/>
      </c>
    </row>
    <row r="339">
      <c r="A339" s="11" t="inlineStr">
        <is>
          <t>ORD-2024-1207</t>
        </is>
      </c>
      <c r="B339" s="11" t="inlineStr">
        <is>
          <t>2024-05-25</t>
        </is>
      </c>
      <c r="C339" s="11" t="inlineStr">
        <is>
          <t>OFF-DSK-008</t>
        </is>
      </c>
      <c r="D339" s="7" t="inlineStr">
        <is>
          <t>Steel Desktop Mesh Organizer Caddy</t>
        </is>
      </c>
      <c r="E339" s="7" t="inlineStr">
        <is>
          <t>Office Supplies</t>
        </is>
      </c>
      <c r="F339" s="7" t="inlineStr">
        <is>
          <t>Desk Supplies</t>
        </is>
      </c>
      <c r="G339" s="7" t="inlineStr">
        <is>
          <t>West</t>
        </is>
      </c>
      <c r="H339" s="7" t="inlineStr">
        <is>
          <t>Colorado</t>
        </is>
      </c>
      <c r="I339" s="7" t="inlineStr">
        <is>
          <t>Wholesale</t>
        </is>
      </c>
      <c r="J339" s="7" t="inlineStr">
        <is>
          <t>Consumer</t>
        </is>
      </c>
      <c r="K339" s="12" t="n">
        <v>13</v>
      </c>
      <c r="L339" s="9" t="n">
        <v>18.99</v>
      </c>
      <c r="M339" s="10" t="n">
        <v>0.1</v>
      </c>
      <c r="N339" s="9" t="n">
        <v>8.550000000000001</v>
      </c>
      <c r="O339" s="9">
        <f>K339*L339</f>
        <v/>
      </c>
      <c r="P339" s="9">
        <f>O339*M339</f>
        <v/>
      </c>
      <c r="Q339" s="9">
        <f>O339-P339</f>
        <v/>
      </c>
      <c r="R339" s="9">
        <f>K339*N339</f>
        <v/>
      </c>
      <c r="S339" s="9">
        <f>Q339-R339</f>
        <v/>
      </c>
      <c r="T339" s="10">
        <f>IFERROR(S339/Q339, 0)</f>
        <v/>
      </c>
    </row>
    <row r="340">
      <c r="A340" s="11" t="inlineStr">
        <is>
          <t>ORD-2024-1207</t>
        </is>
      </c>
      <c r="B340" s="11" t="inlineStr">
        <is>
          <t>2024-05-25</t>
        </is>
      </c>
      <c r="C340" s="11" t="inlineStr">
        <is>
          <t>OFF-STR-001</t>
        </is>
      </c>
      <c r="D340" s="7" t="inlineStr">
        <is>
          <t>SteelLock 3-Drawer File Cabinet</t>
        </is>
      </c>
      <c r="E340" s="7" t="inlineStr">
        <is>
          <t>Office Supplies</t>
        </is>
      </c>
      <c r="F340" s="7" t="inlineStr">
        <is>
          <t>Storage &amp; Organizers</t>
        </is>
      </c>
      <c r="G340" s="7" t="inlineStr">
        <is>
          <t>West</t>
        </is>
      </c>
      <c r="H340" s="7" t="inlineStr">
        <is>
          <t>Colorado</t>
        </is>
      </c>
      <c r="I340" s="7" t="inlineStr">
        <is>
          <t>Wholesale</t>
        </is>
      </c>
      <c r="J340" s="7" t="inlineStr">
        <is>
          <t>Consumer</t>
        </is>
      </c>
      <c r="K340" s="12" t="n">
        <v>11</v>
      </c>
      <c r="L340" s="9" t="n">
        <v>169.99</v>
      </c>
      <c r="M340" s="10" t="n">
        <v>0.15</v>
      </c>
      <c r="N340" s="9" t="n">
        <v>115.59</v>
      </c>
      <c r="O340" s="9">
        <f>K340*L340</f>
        <v/>
      </c>
      <c r="P340" s="9">
        <f>O340*M340</f>
        <v/>
      </c>
      <c r="Q340" s="9">
        <f>O340-P340</f>
        <v/>
      </c>
      <c r="R340" s="9">
        <f>K340*N340</f>
        <v/>
      </c>
      <c r="S340" s="9">
        <f>Q340-R340</f>
        <v/>
      </c>
      <c r="T340" s="10">
        <f>IFERROR(S340/Q340, 0)</f>
        <v/>
      </c>
    </row>
    <row r="341">
      <c r="A341" s="11" t="inlineStr">
        <is>
          <t>ORD-2024-1210</t>
        </is>
      </c>
      <c r="B341" s="11" t="inlineStr">
        <is>
          <t>2024-05-25</t>
        </is>
      </c>
      <c r="C341" s="11" t="inlineStr">
        <is>
          <t>TEC-ACC-007</t>
        </is>
      </c>
      <c r="D341" s="7" t="inlineStr">
        <is>
          <t>ErgoMechanical Wireless Keyboard</t>
        </is>
      </c>
      <c r="E341" s="7" t="inlineStr">
        <is>
          <t>Technology</t>
        </is>
      </c>
      <c r="F341" s="7" t="inlineStr">
        <is>
          <t>Audio &amp; Accessories</t>
        </is>
      </c>
      <c r="G341" s="7" t="inlineStr">
        <is>
          <t>East</t>
        </is>
      </c>
      <c r="H341" s="7" t="inlineStr">
        <is>
          <t>New York</t>
        </is>
      </c>
      <c r="I341" s="7" t="inlineStr">
        <is>
          <t>Retail Partner</t>
        </is>
      </c>
      <c r="J341" s="7" t="inlineStr">
        <is>
          <t>Corporate</t>
        </is>
      </c>
      <c r="K341" s="12" t="n">
        <v>4</v>
      </c>
      <c r="L341" s="9" t="n">
        <v>109.99</v>
      </c>
      <c r="M341" s="10" t="n">
        <v>0</v>
      </c>
      <c r="N341" s="9" t="n">
        <v>65.98999999999999</v>
      </c>
      <c r="O341" s="9">
        <f>K341*L341</f>
        <v/>
      </c>
      <c r="P341" s="9">
        <f>O341*M341</f>
        <v/>
      </c>
      <c r="Q341" s="9">
        <f>O341-P341</f>
        <v/>
      </c>
      <c r="R341" s="9">
        <f>K341*N341</f>
        <v/>
      </c>
      <c r="S341" s="9">
        <f>Q341-R341</f>
        <v/>
      </c>
      <c r="T341" s="10">
        <f>IFERROR(S341/Q341, 0)</f>
        <v/>
      </c>
    </row>
    <row r="342">
      <c r="A342" s="11" t="inlineStr">
        <is>
          <t>ORD-2024-1681</t>
        </is>
      </c>
      <c r="B342" s="11" t="inlineStr">
        <is>
          <t>2024-05-25</t>
        </is>
      </c>
      <c r="C342" s="11" t="inlineStr">
        <is>
          <t>TEC-ACC-007</t>
        </is>
      </c>
      <c r="D342" s="7" t="inlineStr">
        <is>
          <t>ErgoMechanical Wireless Keyboard</t>
        </is>
      </c>
      <c r="E342" s="7" t="inlineStr">
        <is>
          <t>Technology</t>
        </is>
      </c>
      <c r="F342" s="7" t="inlineStr">
        <is>
          <t>Audio &amp; Accessories</t>
        </is>
      </c>
      <c r="G342" s="7" t="inlineStr">
        <is>
          <t>West</t>
        </is>
      </c>
      <c r="H342" s="7" t="inlineStr">
        <is>
          <t>Washington</t>
        </is>
      </c>
      <c r="I342" s="7" t="inlineStr">
        <is>
          <t>Direct Sales</t>
        </is>
      </c>
      <c r="J342" s="7" t="inlineStr">
        <is>
          <t>Corporate</t>
        </is>
      </c>
      <c r="K342" s="12" t="n">
        <v>8</v>
      </c>
      <c r="L342" s="9" t="n">
        <v>109.99</v>
      </c>
      <c r="M342" s="10" t="n">
        <v>0</v>
      </c>
      <c r="N342" s="9" t="n">
        <v>65.98999999999999</v>
      </c>
      <c r="O342" s="9">
        <f>K342*L342</f>
        <v/>
      </c>
      <c r="P342" s="9">
        <f>O342*M342</f>
        <v/>
      </c>
      <c r="Q342" s="9">
        <f>O342-P342</f>
        <v/>
      </c>
      <c r="R342" s="9">
        <f>K342*N342</f>
        <v/>
      </c>
      <c r="S342" s="9">
        <f>Q342-R342</f>
        <v/>
      </c>
      <c r="T342" s="10">
        <f>IFERROR(S342/Q342, 0)</f>
        <v/>
      </c>
    </row>
    <row r="343">
      <c r="A343" s="11" t="inlineStr">
        <is>
          <t>ORD-2024-1499</t>
        </is>
      </c>
      <c r="B343" s="11" t="inlineStr">
        <is>
          <t>2024-05-26</t>
        </is>
      </c>
      <c r="C343" s="11" t="inlineStr">
        <is>
          <t>TEC-ACC-006</t>
        </is>
      </c>
      <c r="D343" s="7" t="inlineStr">
        <is>
          <t>MultiPort Thunderbolt 4 Dock</t>
        </is>
      </c>
      <c r="E343" s="7" t="inlineStr">
        <is>
          <t>Technology</t>
        </is>
      </c>
      <c r="F343" s="7" t="inlineStr">
        <is>
          <t>Audio &amp; Accessories</t>
        </is>
      </c>
      <c r="G343" s="7" t="inlineStr">
        <is>
          <t>West</t>
        </is>
      </c>
      <c r="H343" s="7" t="inlineStr">
        <is>
          <t>Colorado</t>
        </is>
      </c>
      <c r="I343" s="7" t="inlineStr">
        <is>
          <t>Online</t>
        </is>
      </c>
      <c r="J343" s="7" t="inlineStr">
        <is>
          <t>Corporate</t>
        </is>
      </c>
      <c r="K343" s="12" t="n">
        <v>7</v>
      </c>
      <c r="L343" s="9" t="n">
        <v>149.99</v>
      </c>
      <c r="M343" s="10" t="n">
        <v>0</v>
      </c>
      <c r="N343" s="9" t="n">
        <v>98.98999999999999</v>
      </c>
      <c r="O343" s="9">
        <f>K343*L343</f>
        <v/>
      </c>
      <c r="P343" s="9">
        <f>O343*M343</f>
        <v/>
      </c>
      <c r="Q343" s="9">
        <f>O343-P343</f>
        <v/>
      </c>
      <c r="R343" s="9">
        <f>K343*N343</f>
        <v/>
      </c>
      <c r="S343" s="9">
        <f>Q343-R343</f>
        <v/>
      </c>
      <c r="T343" s="10">
        <f>IFERROR(S343/Q343, 0)</f>
        <v/>
      </c>
    </row>
    <row r="344">
      <c r="A344" s="11" t="inlineStr">
        <is>
          <t>ORD-2024-1728</t>
        </is>
      </c>
      <c r="B344" s="11" t="inlineStr">
        <is>
          <t>2024-05-26</t>
        </is>
      </c>
      <c r="C344" s="11" t="inlineStr">
        <is>
          <t>OFF-PAP-004</t>
        </is>
      </c>
      <c r="D344" s="7" t="inlineStr">
        <is>
          <t>EcoRecycled Copy Paper (5 Reams)</t>
        </is>
      </c>
      <c r="E344" s="7" t="inlineStr">
        <is>
          <t>Office Supplies</t>
        </is>
      </c>
      <c r="F344" s="7" t="inlineStr">
        <is>
          <t>Paper Products</t>
        </is>
      </c>
      <c r="G344" s="7" t="inlineStr">
        <is>
          <t>Central</t>
        </is>
      </c>
      <c r="H344" s="7" t="inlineStr">
        <is>
          <t>Texas</t>
        </is>
      </c>
      <c r="I344" s="7" t="inlineStr">
        <is>
          <t>Retail Partner</t>
        </is>
      </c>
      <c r="J344" s="7" t="inlineStr">
        <is>
          <t>Consumer</t>
        </is>
      </c>
      <c r="K344" s="12" t="n">
        <v>3</v>
      </c>
      <c r="L344" s="9" t="n">
        <v>32.99</v>
      </c>
      <c r="M344" s="10" t="n">
        <v>0</v>
      </c>
      <c r="N344" s="9" t="n">
        <v>19.79</v>
      </c>
      <c r="O344" s="9">
        <f>K344*L344</f>
        <v/>
      </c>
      <c r="P344" s="9">
        <f>O344*M344</f>
        <v/>
      </c>
      <c r="Q344" s="9">
        <f>O344-P344</f>
        <v/>
      </c>
      <c r="R344" s="9">
        <f>K344*N344</f>
        <v/>
      </c>
      <c r="S344" s="9">
        <f>Q344-R344</f>
        <v/>
      </c>
      <c r="T344" s="10">
        <f>IFERROR(S344/Q344, 0)</f>
        <v/>
      </c>
    </row>
    <row r="345">
      <c r="A345" s="11" t="inlineStr">
        <is>
          <t>ORD-2024-1728</t>
        </is>
      </c>
      <c r="B345" s="11" t="inlineStr">
        <is>
          <t>2024-05-26</t>
        </is>
      </c>
      <c r="C345" s="11" t="inlineStr">
        <is>
          <t>FUR-BOK-005</t>
        </is>
      </c>
      <c r="D345" s="7" t="inlineStr">
        <is>
          <t>Modular 5-Tier Steel Bookcase</t>
        </is>
      </c>
      <c r="E345" s="7" t="inlineStr">
        <is>
          <t>Furniture</t>
        </is>
      </c>
      <c r="F345" s="7" t="inlineStr">
        <is>
          <t>Bookcases</t>
        </is>
      </c>
      <c r="G345" s="7" t="inlineStr">
        <is>
          <t>Central</t>
        </is>
      </c>
      <c r="H345" s="7" t="inlineStr">
        <is>
          <t>Texas</t>
        </is>
      </c>
      <c r="I345" s="7" t="inlineStr">
        <is>
          <t>Retail Partner</t>
        </is>
      </c>
      <c r="J345" s="7" t="inlineStr">
        <is>
          <t>Consumer</t>
        </is>
      </c>
      <c r="K345" s="12" t="n">
        <v>1</v>
      </c>
      <c r="L345" s="9" t="n">
        <v>189.99</v>
      </c>
      <c r="M345" s="10" t="n">
        <v>0.05</v>
      </c>
      <c r="N345" s="9" t="n">
        <v>142.49</v>
      </c>
      <c r="O345" s="9">
        <f>K345*L345</f>
        <v/>
      </c>
      <c r="P345" s="9">
        <f>O345*M345</f>
        <v/>
      </c>
      <c r="Q345" s="9">
        <f>O345-P345</f>
        <v/>
      </c>
      <c r="R345" s="9">
        <f>K345*N345</f>
        <v/>
      </c>
      <c r="S345" s="9">
        <f>Q345-R345</f>
        <v/>
      </c>
      <c r="T345" s="10">
        <f>IFERROR(S345/Q345, 0)</f>
        <v/>
      </c>
    </row>
    <row r="346">
      <c r="A346" s="11" t="inlineStr">
        <is>
          <t>ORD-2024-1728</t>
        </is>
      </c>
      <c r="B346" s="11" t="inlineStr">
        <is>
          <t>2024-05-26</t>
        </is>
      </c>
      <c r="C346" s="11" t="inlineStr">
        <is>
          <t>FUR-CHA-002</t>
        </is>
      </c>
      <c r="D346" s="7" t="inlineStr">
        <is>
          <t>AeroTask Operator Task Chair</t>
        </is>
      </c>
      <c r="E346" s="7" t="inlineStr">
        <is>
          <t>Furniture</t>
        </is>
      </c>
      <c r="F346" s="7" t="inlineStr">
        <is>
          <t>Chairs</t>
        </is>
      </c>
      <c r="G346" s="7" t="inlineStr">
        <is>
          <t>Central</t>
        </is>
      </c>
      <c r="H346" s="7" t="inlineStr">
        <is>
          <t>Texas</t>
        </is>
      </c>
      <c r="I346" s="7" t="inlineStr">
        <is>
          <t>Retail Partner</t>
        </is>
      </c>
      <c r="J346" s="7" t="inlineStr">
        <is>
          <t>Consumer</t>
        </is>
      </c>
      <c r="K346" s="12" t="n">
        <v>4</v>
      </c>
      <c r="L346" s="9" t="n">
        <v>219.99</v>
      </c>
      <c r="M346" s="10" t="n">
        <v>0.05</v>
      </c>
      <c r="N346" s="9" t="n">
        <v>171.59</v>
      </c>
      <c r="O346" s="9">
        <f>K346*L346</f>
        <v/>
      </c>
      <c r="P346" s="9">
        <f>O346*M346</f>
        <v/>
      </c>
      <c r="Q346" s="9">
        <f>O346-P346</f>
        <v/>
      </c>
      <c r="R346" s="9">
        <f>K346*N346</f>
        <v/>
      </c>
      <c r="S346" s="9">
        <f>Q346-R346</f>
        <v/>
      </c>
      <c r="T346" s="10">
        <f>IFERROR(S346/Q346, 0)</f>
        <v/>
      </c>
    </row>
    <row r="347">
      <c r="A347" s="11" t="inlineStr">
        <is>
          <t>ORD-2024-1078</t>
        </is>
      </c>
      <c r="B347" s="11" t="inlineStr">
        <is>
          <t>2024-05-27</t>
        </is>
      </c>
      <c r="C347" s="11" t="inlineStr">
        <is>
          <t>TEC-LAP-002</t>
        </is>
      </c>
      <c r="D347" s="7" t="inlineStr">
        <is>
          <t>Apex Gaming Laptop 17"</t>
        </is>
      </c>
      <c r="E347" s="7" t="inlineStr">
        <is>
          <t>Technology</t>
        </is>
      </c>
      <c r="F347" s="7" t="inlineStr">
        <is>
          <t>Laptops</t>
        </is>
      </c>
      <c r="G347" s="7" t="inlineStr">
        <is>
          <t>Central</t>
        </is>
      </c>
      <c r="H347" s="7" t="inlineStr">
        <is>
          <t>Ohio</t>
        </is>
      </c>
      <c r="I347" s="7" t="inlineStr">
        <is>
          <t>Retail Partner</t>
        </is>
      </c>
      <c r="J347" s="7" t="inlineStr">
        <is>
          <t>Consumer</t>
        </is>
      </c>
      <c r="K347" s="12" t="n">
        <v>1</v>
      </c>
      <c r="L347" s="9" t="n">
        <v>1499.99</v>
      </c>
      <c r="M347" s="10" t="n">
        <v>0.25</v>
      </c>
      <c r="N347" s="9" t="n">
        <v>1259.99</v>
      </c>
      <c r="O347" s="9">
        <f>K347*L347</f>
        <v/>
      </c>
      <c r="P347" s="9">
        <f>O347*M347</f>
        <v/>
      </c>
      <c r="Q347" s="9">
        <f>O347-P347</f>
        <v/>
      </c>
      <c r="R347" s="9">
        <f>K347*N347</f>
        <v/>
      </c>
      <c r="S347" s="9">
        <f>Q347-R347</f>
        <v/>
      </c>
      <c r="T347" s="10">
        <f>IFERROR(S347/Q347, 0)</f>
        <v/>
      </c>
    </row>
    <row r="348">
      <c r="A348" s="11" t="inlineStr">
        <is>
          <t>ORD-2024-1078</t>
        </is>
      </c>
      <c r="B348" s="11" t="inlineStr">
        <is>
          <t>2024-05-27</t>
        </is>
      </c>
      <c r="C348" s="11" t="inlineStr">
        <is>
          <t>FUR-DSK-003</t>
        </is>
      </c>
      <c r="D348" s="7" t="inlineStr">
        <is>
          <t>ApexMotor Dual-Motor Standing Desk</t>
        </is>
      </c>
      <c r="E348" s="7" t="inlineStr">
        <is>
          <t>Furniture</t>
        </is>
      </c>
      <c r="F348" s="7" t="inlineStr">
        <is>
          <t>Desks &amp; Workstations</t>
        </is>
      </c>
      <c r="G348" s="7" t="inlineStr">
        <is>
          <t>Central</t>
        </is>
      </c>
      <c r="H348" s="7" t="inlineStr">
        <is>
          <t>Ohio</t>
        </is>
      </c>
      <c r="I348" s="7" t="inlineStr">
        <is>
          <t>Retail Partner</t>
        </is>
      </c>
      <c r="J348" s="7" t="inlineStr">
        <is>
          <t>Consumer</t>
        </is>
      </c>
      <c r="K348" s="12" t="n">
        <v>2</v>
      </c>
      <c r="L348" s="9" t="n">
        <v>549.99</v>
      </c>
      <c r="M348" s="10" t="n">
        <v>0.1</v>
      </c>
      <c r="N348" s="9" t="n">
        <v>439.99</v>
      </c>
      <c r="O348" s="9">
        <f>K348*L348</f>
        <v/>
      </c>
      <c r="P348" s="9">
        <f>O348*M348</f>
        <v/>
      </c>
      <c r="Q348" s="9">
        <f>O348-P348</f>
        <v/>
      </c>
      <c r="R348" s="9">
        <f>K348*N348</f>
        <v/>
      </c>
      <c r="S348" s="9">
        <f>Q348-R348</f>
        <v/>
      </c>
      <c r="T348" s="10">
        <f>IFERROR(S348/Q348, 0)</f>
        <v/>
      </c>
    </row>
    <row r="349">
      <c r="A349" s="11" t="inlineStr">
        <is>
          <t>ORD-2024-1382</t>
        </is>
      </c>
      <c r="B349" s="11" t="inlineStr">
        <is>
          <t>2024-05-27</t>
        </is>
      </c>
      <c r="C349" s="11" t="inlineStr">
        <is>
          <t>TEC-ACC-005</t>
        </is>
      </c>
      <c r="D349" s="7" t="inlineStr">
        <is>
          <t>UltraWireless Noise-Canceling Headset</t>
        </is>
      </c>
      <c r="E349" s="7" t="inlineStr">
        <is>
          <t>Technology</t>
        </is>
      </c>
      <c r="F349" s="7" t="inlineStr">
        <is>
          <t>Audio &amp; Accessories</t>
        </is>
      </c>
      <c r="G349" s="7" t="inlineStr">
        <is>
          <t>South</t>
        </is>
      </c>
      <c r="H349" s="7" t="inlineStr">
        <is>
          <t>North Carolina</t>
        </is>
      </c>
      <c r="I349" s="7" t="inlineStr">
        <is>
          <t>Direct Sales</t>
        </is>
      </c>
      <c r="J349" s="7" t="inlineStr">
        <is>
          <t>Home Office</t>
        </is>
      </c>
      <c r="K349" s="12" t="n">
        <v>2</v>
      </c>
      <c r="L349" s="9" t="n">
        <v>179.99</v>
      </c>
      <c r="M349" s="10" t="n">
        <v>0</v>
      </c>
      <c r="N349" s="9" t="n">
        <v>111.59</v>
      </c>
      <c r="O349" s="9">
        <f>K349*L349</f>
        <v/>
      </c>
      <c r="P349" s="9">
        <f>O349*M349</f>
        <v/>
      </c>
      <c r="Q349" s="9">
        <f>O349-P349</f>
        <v/>
      </c>
      <c r="R349" s="9">
        <f>K349*N349</f>
        <v/>
      </c>
      <c r="S349" s="9">
        <f>Q349-R349</f>
        <v/>
      </c>
      <c r="T349" s="10">
        <f>IFERROR(S349/Q349, 0)</f>
        <v/>
      </c>
    </row>
    <row r="350">
      <c r="A350" s="11" t="inlineStr">
        <is>
          <t>ORD-2024-1382</t>
        </is>
      </c>
      <c r="B350" s="11" t="inlineStr">
        <is>
          <t>2024-05-27</t>
        </is>
      </c>
      <c r="C350" s="11" t="inlineStr">
        <is>
          <t>TEC-LAP-002</t>
        </is>
      </c>
      <c r="D350" s="7" t="inlineStr">
        <is>
          <t>Apex Gaming Laptop 17"</t>
        </is>
      </c>
      <c r="E350" s="7" t="inlineStr">
        <is>
          <t>Technology</t>
        </is>
      </c>
      <c r="F350" s="7" t="inlineStr">
        <is>
          <t>Laptops</t>
        </is>
      </c>
      <c r="G350" s="7" t="inlineStr">
        <is>
          <t>South</t>
        </is>
      </c>
      <c r="H350" s="7" t="inlineStr">
        <is>
          <t>North Carolina</t>
        </is>
      </c>
      <c r="I350" s="7" t="inlineStr">
        <is>
          <t>Direct Sales</t>
        </is>
      </c>
      <c r="J350" s="7" t="inlineStr">
        <is>
          <t>Home Office</t>
        </is>
      </c>
      <c r="K350" s="12" t="n">
        <v>3</v>
      </c>
      <c r="L350" s="9" t="n">
        <v>1499.99</v>
      </c>
      <c r="M350" s="10" t="n">
        <v>0.25</v>
      </c>
      <c r="N350" s="9" t="n">
        <v>1259.99</v>
      </c>
      <c r="O350" s="9">
        <f>K350*L350</f>
        <v/>
      </c>
      <c r="P350" s="9">
        <f>O350*M350</f>
        <v/>
      </c>
      <c r="Q350" s="9">
        <f>O350-P350</f>
        <v/>
      </c>
      <c r="R350" s="9">
        <f>K350*N350</f>
        <v/>
      </c>
      <c r="S350" s="9">
        <f>Q350-R350</f>
        <v/>
      </c>
      <c r="T350" s="10">
        <f>IFERROR(S350/Q350, 0)</f>
        <v/>
      </c>
    </row>
    <row r="351">
      <c r="A351" s="11" t="inlineStr">
        <is>
          <t>ORD-2024-1382</t>
        </is>
      </c>
      <c r="B351" s="11" t="inlineStr">
        <is>
          <t>2024-05-27</t>
        </is>
      </c>
      <c r="C351" s="11" t="inlineStr">
        <is>
          <t>OFF-STR-002</t>
        </is>
      </c>
      <c r="D351" s="7" t="inlineStr">
        <is>
          <t>Stackable Heavy-Duty Storage Bins (4-Pk)</t>
        </is>
      </c>
      <c r="E351" s="7" t="inlineStr">
        <is>
          <t>Office Supplies</t>
        </is>
      </c>
      <c r="F351" s="7" t="inlineStr">
        <is>
          <t>Storage &amp; Organizers</t>
        </is>
      </c>
      <c r="G351" s="7" t="inlineStr">
        <is>
          <t>South</t>
        </is>
      </c>
      <c r="H351" s="7" t="inlineStr">
        <is>
          <t>North Carolina</t>
        </is>
      </c>
      <c r="I351" s="7" t="inlineStr">
        <is>
          <t>Direct Sales</t>
        </is>
      </c>
      <c r="J351" s="7" t="inlineStr">
        <is>
          <t>Home Office</t>
        </is>
      </c>
      <c r="K351" s="12" t="n">
        <v>2</v>
      </c>
      <c r="L351" s="9" t="n">
        <v>44.99</v>
      </c>
      <c r="M351" s="10" t="n">
        <v>0</v>
      </c>
      <c r="N351" s="9" t="n">
        <v>24.74</v>
      </c>
      <c r="O351" s="9">
        <f>K351*L351</f>
        <v/>
      </c>
      <c r="P351" s="9">
        <f>O351*M351</f>
        <v/>
      </c>
      <c r="Q351" s="9">
        <f>O351-P351</f>
        <v/>
      </c>
      <c r="R351" s="9">
        <f>K351*N351</f>
        <v/>
      </c>
      <c r="S351" s="9">
        <f>Q351-R351</f>
        <v/>
      </c>
      <c r="T351" s="10">
        <f>IFERROR(S351/Q351, 0)</f>
        <v/>
      </c>
    </row>
    <row r="352">
      <c r="A352" s="11" t="inlineStr">
        <is>
          <t>ORD-2024-1382</t>
        </is>
      </c>
      <c r="B352" s="11" t="inlineStr">
        <is>
          <t>2024-05-27</t>
        </is>
      </c>
      <c r="C352" s="11" t="inlineStr">
        <is>
          <t>OFF-STR-002</t>
        </is>
      </c>
      <c r="D352" s="7" t="inlineStr">
        <is>
          <t>Stackable Heavy-Duty Storage Bins (4-Pk)</t>
        </is>
      </c>
      <c r="E352" s="7" t="inlineStr">
        <is>
          <t>Office Supplies</t>
        </is>
      </c>
      <c r="F352" s="7" t="inlineStr">
        <is>
          <t>Storage &amp; Organizers</t>
        </is>
      </c>
      <c r="G352" s="7" t="inlineStr">
        <is>
          <t>South</t>
        </is>
      </c>
      <c r="H352" s="7" t="inlineStr">
        <is>
          <t>North Carolina</t>
        </is>
      </c>
      <c r="I352" s="7" t="inlineStr">
        <is>
          <t>Direct Sales</t>
        </is>
      </c>
      <c r="J352" s="7" t="inlineStr">
        <is>
          <t>Home Office</t>
        </is>
      </c>
      <c r="K352" s="12" t="n">
        <v>4</v>
      </c>
      <c r="L352" s="9" t="n">
        <v>44.99</v>
      </c>
      <c r="M352" s="10" t="n">
        <v>0</v>
      </c>
      <c r="N352" s="9" t="n">
        <v>24.74</v>
      </c>
      <c r="O352" s="9">
        <f>K352*L352</f>
        <v/>
      </c>
      <c r="P352" s="9">
        <f>O352*M352</f>
        <v/>
      </c>
      <c r="Q352" s="9">
        <f>O352-P352</f>
        <v/>
      </c>
      <c r="R352" s="9">
        <f>K352*N352</f>
        <v/>
      </c>
      <c r="S352" s="9">
        <f>Q352-R352</f>
        <v/>
      </c>
      <c r="T352" s="10">
        <f>IFERROR(S352/Q352, 0)</f>
        <v/>
      </c>
    </row>
    <row r="353">
      <c r="A353" s="11" t="inlineStr">
        <is>
          <t>ORD-2024-1083</t>
        </is>
      </c>
      <c r="B353" s="11" t="inlineStr">
        <is>
          <t>2024-05-29</t>
        </is>
      </c>
      <c r="C353" s="11" t="inlineStr">
        <is>
          <t>TEC-ACC-007</t>
        </is>
      </c>
      <c r="D353" s="7" t="inlineStr">
        <is>
          <t>ErgoMechanical Wireless Keyboard</t>
        </is>
      </c>
      <c r="E353" s="7" t="inlineStr">
        <is>
          <t>Technology</t>
        </is>
      </c>
      <c r="F353" s="7" t="inlineStr">
        <is>
          <t>Audio &amp; Accessories</t>
        </is>
      </c>
      <c r="G353" s="7" t="inlineStr">
        <is>
          <t>East</t>
        </is>
      </c>
      <c r="H353" s="7" t="inlineStr">
        <is>
          <t>Massachusetts</t>
        </is>
      </c>
      <c r="I353" s="7" t="inlineStr">
        <is>
          <t>Online</t>
        </is>
      </c>
      <c r="J353" s="7" t="inlineStr">
        <is>
          <t>Home Office</t>
        </is>
      </c>
      <c r="K353" s="12" t="n">
        <v>2</v>
      </c>
      <c r="L353" s="9" t="n">
        <v>109.99</v>
      </c>
      <c r="M353" s="10" t="n">
        <v>0</v>
      </c>
      <c r="N353" s="9" t="n">
        <v>65.98999999999999</v>
      </c>
      <c r="O353" s="9">
        <f>K353*L353</f>
        <v/>
      </c>
      <c r="P353" s="9">
        <f>O353*M353</f>
        <v/>
      </c>
      <c r="Q353" s="9">
        <f>O353-P353</f>
        <v/>
      </c>
      <c r="R353" s="9">
        <f>K353*N353</f>
        <v/>
      </c>
      <c r="S353" s="9">
        <f>Q353-R353</f>
        <v/>
      </c>
      <c r="T353" s="10">
        <f>IFERROR(S353/Q353, 0)</f>
        <v/>
      </c>
    </row>
    <row r="354">
      <c r="A354" s="11" t="inlineStr">
        <is>
          <t>ORD-2024-1403</t>
        </is>
      </c>
      <c r="B354" s="11" t="inlineStr">
        <is>
          <t>2024-05-29</t>
        </is>
      </c>
      <c r="C354" s="11" t="inlineStr">
        <is>
          <t>OFF-STR-001</t>
        </is>
      </c>
      <c r="D354" s="7" t="inlineStr">
        <is>
          <t>SteelLock 3-Drawer File Cabinet</t>
        </is>
      </c>
      <c r="E354" s="7" t="inlineStr">
        <is>
          <t>Office Supplies</t>
        </is>
      </c>
      <c r="F354" s="7" t="inlineStr">
        <is>
          <t>Storage &amp; Organizers</t>
        </is>
      </c>
      <c r="G354" s="7" t="inlineStr">
        <is>
          <t>West</t>
        </is>
      </c>
      <c r="H354" s="7" t="inlineStr">
        <is>
          <t>Colorado</t>
        </is>
      </c>
      <c r="I354" s="7" t="inlineStr">
        <is>
          <t>Online</t>
        </is>
      </c>
      <c r="J354" s="7" t="inlineStr">
        <is>
          <t>Home Office</t>
        </is>
      </c>
      <c r="K354" s="12" t="n">
        <v>4</v>
      </c>
      <c r="L354" s="9" t="n">
        <v>169.99</v>
      </c>
      <c r="M354" s="10" t="n">
        <v>0</v>
      </c>
      <c r="N354" s="9" t="n">
        <v>115.59</v>
      </c>
      <c r="O354" s="9">
        <f>K354*L354</f>
        <v/>
      </c>
      <c r="P354" s="9">
        <f>O354*M354</f>
        <v/>
      </c>
      <c r="Q354" s="9">
        <f>O354-P354</f>
        <v/>
      </c>
      <c r="R354" s="9">
        <f>K354*N354</f>
        <v/>
      </c>
      <c r="S354" s="9">
        <f>Q354-R354</f>
        <v/>
      </c>
      <c r="T354" s="10">
        <f>IFERROR(S354/Q354, 0)</f>
        <v/>
      </c>
    </row>
    <row r="355">
      <c r="A355" s="11" t="inlineStr">
        <is>
          <t>ORD-2024-1403</t>
        </is>
      </c>
      <c r="B355" s="11" t="inlineStr">
        <is>
          <t>2024-05-29</t>
        </is>
      </c>
      <c r="C355" s="11" t="inlineStr">
        <is>
          <t>FUR-DSK-003</t>
        </is>
      </c>
      <c r="D355" s="7" t="inlineStr">
        <is>
          <t>ApexMotor Dual-Motor Standing Desk</t>
        </is>
      </c>
      <c r="E355" s="7" t="inlineStr">
        <is>
          <t>Furniture</t>
        </is>
      </c>
      <c r="F355" s="7" t="inlineStr">
        <is>
          <t>Desks &amp; Workstations</t>
        </is>
      </c>
      <c r="G355" s="7" t="inlineStr">
        <is>
          <t>West</t>
        </is>
      </c>
      <c r="H355" s="7" t="inlineStr">
        <is>
          <t>Colorado</t>
        </is>
      </c>
      <c r="I355" s="7" t="inlineStr">
        <is>
          <t>Online</t>
        </is>
      </c>
      <c r="J355" s="7" t="inlineStr">
        <is>
          <t>Home Office</t>
        </is>
      </c>
      <c r="K355" s="12" t="n">
        <v>2</v>
      </c>
      <c r="L355" s="9" t="n">
        <v>549.99</v>
      </c>
      <c r="M355" s="10" t="n">
        <v>0.1</v>
      </c>
      <c r="N355" s="9" t="n">
        <v>439.99</v>
      </c>
      <c r="O355" s="9">
        <f>K355*L355</f>
        <v/>
      </c>
      <c r="P355" s="9">
        <f>O355*M355</f>
        <v/>
      </c>
      <c r="Q355" s="9">
        <f>O355-P355</f>
        <v/>
      </c>
      <c r="R355" s="9">
        <f>K355*N355</f>
        <v/>
      </c>
      <c r="S355" s="9">
        <f>Q355-R355</f>
        <v/>
      </c>
      <c r="T355" s="10">
        <f>IFERROR(S355/Q355, 0)</f>
        <v/>
      </c>
    </row>
    <row r="356">
      <c r="A356" s="11" t="inlineStr">
        <is>
          <t>ORD-2024-1158</t>
        </is>
      </c>
      <c r="B356" s="11" t="inlineStr">
        <is>
          <t>2024-05-30</t>
        </is>
      </c>
      <c r="C356" s="11" t="inlineStr">
        <is>
          <t>FUR-CHA-001</t>
        </is>
      </c>
      <c r="D356" s="7" t="inlineStr">
        <is>
          <t>ErgoFlex Executive Mesh Chair</t>
        </is>
      </c>
      <c r="E356" s="7" t="inlineStr">
        <is>
          <t>Furniture</t>
        </is>
      </c>
      <c r="F356" s="7" t="inlineStr">
        <is>
          <t>Chairs</t>
        </is>
      </c>
      <c r="G356" s="7" t="inlineStr">
        <is>
          <t>East</t>
        </is>
      </c>
      <c r="H356" s="7" t="inlineStr">
        <is>
          <t>New York</t>
        </is>
      </c>
      <c r="I356" s="7" t="inlineStr">
        <is>
          <t>Online</t>
        </is>
      </c>
      <c r="J356" s="7" t="inlineStr">
        <is>
          <t>Home Office</t>
        </is>
      </c>
      <c r="K356" s="12" t="n">
        <v>4</v>
      </c>
      <c r="L356" s="9" t="n">
        <v>389.99</v>
      </c>
      <c r="M356" s="10" t="n">
        <v>0.05</v>
      </c>
      <c r="N356" s="9" t="n">
        <v>331.49</v>
      </c>
      <c r="O356" s="9">
        <f>K356*L356</f>
        <v/>
      </c>
      <c r="P356" s="9">
        <f>O356*M356</f>
        <v/>
      </c>
      <c r="Q356" s="9">
        <f>O356-P356</f>
        <v/>
      </c>
      <c r="R356" s="9">
        <f>K356*N356</f>
        <v/>
      </c>
      <c r="S356" s="9">
        <f>Q356-R356</f>
        <v/>
      </c>
      <c r="T356" s="10">
        <f>IFERROR(S356/Q356, 0)</f>
        <v/>
      </c>
    </row>
    <row r="357">
      <c r="A357" s="11" t="inlineStr">
        <is>
          <t>ORD-2024-1158</t>
        </is>
      </c>
      <c r="B357" s="11" t="inlineStr">
        <is>
          <t>2024-05-30</t>
        </is>
      </c>
      <c r="C357" s="11" t="inlineStr">
        <is>
          <t>TEC-ACC-008</t>
        </is>
      </c>
      <c r="D357" s="7" t="inlineStr">
        <is>
          <t>Precision Laser Bluetooth Mouse</t>
        </is>
      </c>
      <c r="E357" s="7" t="inlineStr">
        <is>
          <t>Technology</t>
        </is>
      </c>
      <c r="F357" s="7" t="inlineStr">
        <is>
          <t>Audio &amp; Accessories</t>
        </is>
      </c>
      <c r="G357" s="7" t="inlineStr">
        <is>
          <t>East</t>
        </is>
      </c>
      <c r="H357" s="7" t="inlineStr">
        <is>
          <t>New York</t>
        </is>
      </c>
      <c r="I357" s="7" t="inlineStr">
        <is>
          <t>Online</t>
        </is>
      </c>
      <c r="J357" s="7" t="inlineStr">
        <is>
          <t>Home Office</t>
        </is>
      </c>
      <c r="K357" s="12" t="n">
        <v>4</v>
      </c>
      <c r="L357" s="9" t="n">
        <v>49.99</v>
      </c>
      <c r="M357" s="10" t="n">
        <v>0.05</v>
      </c>
      <c r="N357" s="9" t="n">
        <v>27.49</v>
      </c>
      <c r="O357" s="9">
        <f>K357*L357</f>
        <v/>
      </c>
      <c r="P357" s="9">
        <f>O357*M357</f>
        <v/>
      </c>
      <c r="Q357" s="9">
        <f>O357-P357</f>
        <v/>
      </c>
      <c r="R357" s="9">
        <f>K357*N357</f>
        <v/>
      </c>
      <c r="S357" s="9">
        <f>Q357-R357</f>
        <v/>
      </c>
      <c r="T357" s="10">
        <f>IFERROR(S357/Q357, 0)</f>
        <v/>
      </c>
    </row>
    <row r="358">
      <c r="A358" s="11" t="inlineStr">
        <is>
          <t>ORD-2024-1158</t>
        </is>
      </c>
      <c r="B358" s="11" t="inlineStr">
        <is>
          <t>2024-05-30</t>
        </is>
      </c>
      <c r="C358" s="11" t="inlineStr">
        <is>
          <t>OFF-BIN-005</t>
        </is>
      </c>
      <c r="D358" s="7" t="inlineStr">
        <is>
          <t>Heavy-Duty D-Ring Presentation Binder (6-Pk)</t>
        </is>
      </c>
      <c r="E358" s="7" t="inlineStr">
        <is>
          <t>Office Supplies</t>
        </is>
      </c>
      <c r="F358" s="7" t="inlineStr">
        <is>
          <t>Binders &amp; Fasteners</t>
        </is>
      </c>
      <c r="G358" s="7" t="inlineStr">
        <is>
          <t>East</t>
        </is>
      </c>
      <c r="H358" s="7" t="inlineStr">
        <is>
          <t>New York</t>
        </is>
      </c>
      <c r="I358" s="7" t="inlineStr">
        <is>
          <t>Online</t>
        </is>
      </c>
      <c r="J358" s="7" t="inlineStr">
        <is>
          <t>Home Office</t>
        </is>
      </c>
      <c r="K358" s="12" t="n">
        <v>4</v>
      </c>
      <c r="L358" s="9" t="n">
        <v>27.99</v>
      </c>
      <c r="M358" s="10" t="n">
        <v>0.1</v>
      </c>
      <c r="N358" s="9" t="n">
        <v>13.99</v>
      </c>
      <c r="O358" s="9">
        <f>K358*L358</f>
        <v/>
      </c>
      <c r="P358" s="9">
        <f>O358*M358</f>
        <v/>
      </c>
      <c r="Q358" s="9">
        <f>O358-P358</f>
        <v/>
      </c>
      <c r="R358" s="9">
        <f>K358*N358</f>
        <v/>
      </c>
      <c r="S358" s="9">
        <f>Q358-R358</f>
        <v/>
      </c>
      <c r="T358" s="10">
        <f>IFERROR(S358/Q358, 0)</f>
        <v/>
      </c>
    </row>
    <row r="359">
      <c r="A359" s="11" t="inlineStr">
        <is>
          <t>ORD-2024-1259</t>
        </is>
      </c>
      <c r="B359" s="11" t="inlineStr">
        <is>
          <t>2024-05-30</t>
        </is>
      </c>
      <c r="C359" s="11" t="inlineStr">
        <is>
          <t>FUR-CHA-002</t>
        </is>
      </c>
      <c r="D359" s="7" t="inlineStr">
        <is>
          <t>AeroTask Operator Task Chair</t>
        </is>
      </c>
      <c r="E359" s="7" t="inlineStr">
        <is>
          <t>Furniture</t>
        </is>
      </c>
      <c r="F359" s="7" t="inlineStr">
        <is>
          <t>Chairs</t>
        </is>
      </c>
      <c r="G359" s="7" t="inlineStr">
        <is>
          <t>West</t>
        </is>
      </c>
      <c r="H359" s="7" t="inlineStr">
        <is>
          <t>Colorado</t>
        </is>
      </c>
      <c r="I359" s="7" t="inlineStr">
        <is>
          <t>Online</t>
        </is>
      </c>
      <c r="J359" s="7" t="inlineStr">
        <is>
          <t>Consumer</t>
        </is>
      </c>
      <c r="K359" s="12" t="n">
        <v>3</v>
      </c>
      <c r="L359" s="9" t="n">
        <v>219.99</v>
      </c>
      <c r="M359" s="10" t="n">
        <v>0.05</v>
      </c>
      <c r="N359" s="9" t="n">
        <v>171.59</v>
      </c>
      <c r="O359" s="9">
        <f>K359*L359</f>
        <v/>
      </c>
      <c r="P359" s="9">
        <f>O359*M359</f>
        <v/>
      </c>
      <c r="Q359" s="9">
        <f>O359-P359</f>
        <v/>
      </c>
      <c r="R359" s="9">
        <f>K359*N359</f>
        <v/>
      </c>
      <c r="S359" s="9">
        <f>Q359-R359</f>
        <v/>
      </c>
      <c r="T359" s="10">
        <f>IFERROR(S359/Q359, 0)</f>
        <v/>
      </c>
    </row>
    <row r="360">
      <c r="A360" s="11" t="inlineStr">
        <is>
          <t>ORD-2024-1259</t>
        </is>
      </c>
      <c r="B360" s="11" t="inlineStr">
        <is>
          <t>2024-05-30</t>
        </is>
      </c>
      <c r="C360" s="11" t="inlineStr">
        <is>
          <t>TEC-TAB-004</t>
        </is>
      </c>
      <c r="D360" s="7" t="inlineStr">
        <is>
          <t>VisionPad Lite 8.5"</t>
        </is>
      </c>
      <c r="E360" s="7" t="inlineStr">
        <is>
          <t>Technology</t>
        </is>
      </c>
      <c r="F360" s="7" t="inlineStr">
        <is>
          <t>Phones &amp; Tablets</t>
        </is>
      </c>
      <c r="G360" s="7" t="inlineStr">
        <is>
          <t>West</t>
        </is>
      </c>
      <c r="H360" s="7" t="inlineStr">
        <is>
          <t>Colorado</t>
        </is>
      </c>
      <c r="I360" s="7" t="inlineStr">
        <is>
          <t>Online</t>
        </is>
      </c>
      <c r="J360" s="7" t="inlineStr">
        <is>
          <t>Consumer</t>
        </is>
      </c>
      <c r="K360" s="12" t="n">
        <v>4</v>
      </c>
      <c r="L360" s="9" t="n">
        <v>299.99</v>
      </c>
      <c r="M360" s="10" t="n">
        <v>0</v>
      </c>
      <c r="N360" s="9" t="n">
        <v>245.99</v>
      </c>
      <c r="O360" s="9">
        <f>K360*L360</f>
        <v/>
      </c>
      <c r="P360" s="9">
        <f>O360*M360</f>
        <v/>
      </c>
      <c r="Q360" s="9">
        <f>O360-P360</f>
        <v/>
      </c>
      <c r="R360" s="9">
        <f>K360*N360</f>
        <v/>
      </c>
      <c r="S360" s="9">
        <f>Q360-R360</f>
        <v/>
      </c>
      <c r="T360" s="10">
        <f>IFERROR(S360/Q360, 0)</f>
        <v/>
      </c>
    </row>
    <row r="361">
      <c r="A361" s="11" t="inlineStr">
        <is>
          <t>ORD-2024-1259</t>
        </is>
      </c>
      <c r="B361" s="11" t="inlineStr">
        <is>
          <t>2024-05-30</t>
        </is>
      </c>
      <c r="C361" s="11" t="inlineStr">
        <is>
          <t>TEC-TAB-003</t>
        </is>
      </c>
      <c r="D361" s="7" t="inlineStr">
        <is>
          <t>VisionPad Pro 11"</t>
        </is>
      </c>
      <c r="E361" s="7" t="inlineStr">
        <is>
          <t>Technology</t>
        </is>
      </c>
      <c r="F361" s="7" t="inlineStr">
        <is>
          <t>Phones &amp; Tablets</t>
        </is>
      </c>
      <c r="G361" s="7" t="inlineStr">
        <is>
          <t>West</t>
        </is>
      </c>
      <c r="H361" s="7" t="inlineStr">
        <is>
          <t>Colorado</t>
        </is>
      </c>
      <c r="I361" s="7" t="inlineStr">
        <is>
          <t>Online</t>
        </is>
      </c>
      <c r="J361" s="7" t="inlineStr">
        <is>
          <t>Consumer</t>
        </is>
      </c>
      <c r="K361" s="12" t="n">
        <v>2</v>
      </c>
      <c r="L361" s="9" t="n">
        <v>649.99</v>
      </c>
      <c r="M361" s="10" t="n">
        <v>0</v>
      </c>
      <c r="N361" s="9" t="n">
        <v>487.49</v>
      </c>
      <c r="O361" s="9">
        <f>K361*L361</f>
        <v/>
      </c>
      <c r="P361" s="9">
        <f>O361*M361</f>
        <v/>
      </c>
      <c r="Q361" s="9">
        <f>O361-P361</f>
        <v/>
      </c>
      <c r="R361" s="9">
        <f>K361*N361</f>
        <v/>
      </c>
      <c r="S361" s="9">
        <f>Q361-R361</f>
        <v/>
      </c>
      <c r="T361" s="10">
        <f>IFERROR(S361/Q361, 0)</f>
        <v/>
      </c>
    </row>
    <row r="362">
      <c r="A362" s="11" t="inlineStr">
        <is>
          <t>ORD-2024-1584</t>
        </is>
      </c>
      <c r="B362" s="11" t="inlineStr">
        <is>
          <t>2024-05-30</t>
        </is>
      </c>
      <c r="C362" s="11" t="inlineStr">
        <is>
          <t>OFF-PAP-003</t>
        </is>
      </c>
      <c r="D362" s="7" t="inlineStr">
        <is>
          <t>UltraWhite Premium Multipurpose Paper (Case)</t>
        </is>
      </c>
      <c r="E362" s="7" t="inlineStr">
        <is>
          <t>Office Supplies</t>
        </is>
      </c>
      <c r="F362" s="7" t="inlineStr">
        <is>
          <t>Paper Products</t>
        </is>
      </c>
      <c r="G362" s="7" t="inlineStr">
        <is>
          <t>East</t>
        </is>
      </c>
      <c r="H362" s="7" t="inlineStr">
        <is>
          <t>New York</t>
        </is>
      </c>
      <c r="I362" s="7" t="inlineStr">
        <is>
          <t>Online</t>
        </is>
      </c>
      <c r="J362" s="7" t="inlineStr">
        <is>
          <t>Consumer</t>
        </is>
      </c>
      <c r="K362" s="12" t="n">
        <v>2</v>
      </c>
      <c r="L362" s="9" t="n">
        <v>54.99</v>
      </c>
      <c r="M362" s="10" t="n">
        <v>0</v>
      </c>
      <c r="N362" s="9" t="n">
        <v>31.89</v>
      </c>
      <c r="O362" s="9">
        <f>K362*L362</f>
        <v/>
      </c>
      <c r="P362" s="9">
        <f>O362*M362</f>
        <v/>
      </c>
      <c r="Q362" s="9">
        <f>O362-P362</f>
        <v/>
      </c>
      <c r="R362" s="9">
        <f>K362*N362</f>
        <v/>
      </c>
      <c r="S362" s="9">
        <f>Q362-R362</f>
        <v/>
      </c>
      <c r="T362" s="10">
        <f>IFERROR(S362/Q362, 0)</f>
        <v/>
      </c>
    </row>
    <row r="363">
      <c r="A363" s="11" t="inlineStr">
        <is>
          <t>ORD-2024-1065</t>
        </is>
      </c>
      <c r="B363" s="11" t="inlineStr">
        <is>
          <t>2024-05-31</t>
        </is>
      </c>
      <c r="C363" s="11" t="inlineStr">
        <is>
          <t>OFF-BIN-005</t>
        </is>
      </c>
      <c r="D363" s="7" t="inlineStr">
        <is>
          <t>Heavy-Duty D-Ring Presentation Binder (6-Pk)</t>
        </is>
      </c>
      <c r="E363" s="7" t="inlineStr">
        <is>
          <t>Office Supplies</t>
        </is>
      </c>
      <c r="F363" s="7" t="inlineStr">
        <is>
          <t>Binders &amp; Fasteners</t>
        </is>
      </c>
      <c r="G363" s="7" t="inlineStr">
        <is>
          <t>West</t>
        </is>
      </c>
      <c r="H363" s="7" t="inlineStr">
        <is>
          <t>Washington</t>
        </is>
      </c>
      <c r="I363" s="7" t="inlineStr">
        <is>
          <t>Retail Partner</t>
        </is>
      </c>
      <c r="J363" s="7" t="inlineStr">
        <is>
          <t>Corporate</t>
        </is>
      </c>
      <c r="K363" s="12" t="n">
        <v>6</v>
      </c>
      <c r="L363" s="9" t="n">
        <v>27.99</v>
      </c>
      <c r="M363" s="10" t="n">
        <v>0.05</v>
      </c>
      <c r="N363" s="9" t="n">
        <v>13.99</v>
      </c>
      <c r="O363" s="9">
        <f>K363*L363</f>
        <v/>
      </c>
      <c r="P363" s="9">
        <f>O363*M363</f>
        <v/>
      </c>
      <c r="Q363" s="9">
        <f>O363-P363</f>
        <v/>
      </c>
      <c r="R363" s="9">
        <f>K363*N363</f>
        <v/>
      </c>
      <c r="S363" s="9">
        <f>Q363-R363</f>
        <v/>
      </c>
      <c r="T363" s="10">
        <f>IFERROR(S363/Q363, 0)</f>
        <v/>
      </c>
    </row>
    <row r="364">
      <c r="A364" s="11" t="inlineStr">
        <is>
          <t>ORD-2024-1065</t>
        </is>
      </c>
      <c r="B364" s="11" t="inlineStr">
        <is>
          <t>2024-05-31</t>
        </is>
      </c>
      <c r="C364" s="11" t="inlineStr">
        <is>
          <t>TEC-LAP-002</t>
        </is>
      </c>
      <c r="D364" s="7" t="inlineStr">
        <is>
          <t>Apex Gaming Laptop 17"</t>
        </is>
      </c>
      <c r="E364" s="7" t="inlineStr">
        <is>
          <t>Technology</t>
        </is>
      </c>
      <c r="F364" s="7" t="inlineStr">
        <is>
          <t>Laptops</t>
        </is>
      </c>
      <c r="G364" s="7" t="inlineStr">
        <is>
          <t>West</t>
        </is>
      </c>
      <c r="H364" s="7" t="inlineStr">
        <is>
          <t>Washington</t>
        </is>
      </c>
      <c r="I364" s="7" t="inlineStr">
        <is>
          <t>Retail Partner</t>
        </is>
      </c>
      <c r="J364" s="7" t="inlineStr">
        <is>
          <t>Corporate</t>
        </is>
      </c>
      <c r="K364" s="12" t="n">
        <v>6</v>
      </c>
      <c r="L364" s="9" t="n">
        <v>1499.99</v>
      </c>
      <c r="M364" s="10" t="n">
        <v>0.1</v>
      </c>
      <c r="N364" s="9" t="n">
        <v>1259.99</v>
      </c>
      <c r="O364" s="9">
        <f>K364*L364</f>
        <v/>
      </c>
      <c r="P364" s="9">
        <f>O364*M364</f>
        <v/>
      </c>
      <c r="Q364" s="9">
        <f>O364-P364</f>
        <v/>
      </c>
      <c r="R364" s="9">
        <f>K364*N364</f>
        <v/>
      </c>
      <c r="S364" s="9">
        <f>Q364-R364</f>
        <v/>
      </c>
      <c r="T364" s="10">
        <f>IFERROR(S364/Q364, 0)</f>
        <v/>
      </c>
    </row>
    <row r="365">
      <c r="A365" s="11" t="inlineStr">
        <is>
          <t>ORD-2024-1378</t>
        </is>
      </c>
      <c r="B365" s="11" t="inlineStr">
        <is>
          <t>2024-05-31</t>
        </is>
      </c>
      <c r="C365" s="11" t="inlineStr">
        <is>
          <t>OFF-STR-001</t>
        </is>
      </c>
      <c r="D365" s="7" t="inlineStr">
        <is>
          <t>SteelLock 3-Drawer File Cabinet</t>
        </is>
      </c>
      <c r="E365" s="7" t="inlineStr">
        <is>
          <t>Office Supplies</t>
        </is>
      </c>
      <c r="F365" s="7" t="inlineStr">
        <is>
          <t>Storage &amp; Organizers</t>
        </is>
      </c>
      <c r="G365" s="7" t="inlineStr">
        <is>
          <t>Central</t>
        </is>
      </c>
      <c r="H365" s="7" t="inlineStr">
        <is>
          <t>Texas</t>
        </is>
      </c>
      <c r="I365" s="7" t="inlineStr">
        <is>
          <t>Direct Sales</t>
        </is>
      </c>
      <c r="J365" s="7" t="inlineStr">
        <is>
          <t>Consumer</t>
        </is>
      </c>
      <c r="K365" s="12" t="n">
        <v>3</v>
      </c>
      <c r="L365" s="9" t="n">
        <v>169.99</v>
      </c>
      <c r="M365" s="10" t="n">
        <v>0.15</v>
      </c>
      <c r="N365" s="9" t="n">
        <v>115.59</v>
      </c>
      <c r="O365" s="9">
        <f>K365*L365</f>
        <v/>
      </c>
      <c r="P365" s="9">
        <f>O365*M365</f>
        <v/>
      </c>
      <c r="Q365" s="9">
        <f>O365-P365</f>
        <v/>
      </c>
      <c r="R365" s="9">
        <f>K365*N365</f>
        <v/>
      </c>
      <c r="S365" s="9">
        <f>Q365-R365</f>
        <v/>
      </c>
      <c r="T365" s="10">
        <f>IFERROR(S365/Q365, 0)</f>
        <v/>
      </c>
    </row>
    <row r="366">
      <c r="A366" s="11" t="inlineStr">
        <is>
          <t>ORD-2024-1587</t>
        </is>
      </c>
      <c r="B366" s="11" t="inlineStr">
        <is>
          <t>2024-05-31</t>
        </is>
      </c>
      <c r="C366" s="11" t="inlineStr">
        <is>
          <t>OFF-STR-001</t>
        </is>
      </c>
      <c r="D366" s="7" t="inlineStr">
        <is>
          <t>SteelLock 3-Drawer File Cabinet</t>
        </is>
      </c>
      <c r="E366" s="7" t="inlineStr">
        <is>
          <t>Office Supplies</t>
        </is>
      </c>
      <c r="F366" s="7" t="inlineStr">
        <is>
          <t>Storage &amp; Organizers</t>
        </is>
      </c>
      <c r="G366" s="7" t="inlineStr">
        <is>
          <t>East</t>
        </is>
      </c>
      <c r="H366" s="7" t="inlineStr">
        <is>
          <t>New Jersey</t>
        </is>
      </c>
      <c r="I366" s="7" t="inlineStr">
        <is>
          <t>Direct Sales</t>
        </is>
      </c>
      <c r="J366" s="7" t="inlineStr">
        <is>
          <t>Corporate</t>
        </is>
      </c>
      <c r="K366" s="12" t="n">
        <v>6</v>
      </c>
      <c r="L366" s="9" t="n">
        <v>169.99</v>
      </c>
      <c r="M366" s="10" t="n">
        <v>0.05</v>
      </c>
      <c r="N366" s="9" t="n">
        <v>115.59</v>
      </c>
      <c r="O366" s="9">
        <f>K366*L366</f>
        <v/>
      </c>
      <c r="P366" s="9">
        <f>O366*M366</f>
        <v/>
      </c>
      <c r="Q366" s="9">
        <f>O366-P366</f>
        <v/>
      </c>
      <c r="R366" s="9">
        <f>K366*N366</f>
        <v/>
      </c>
      <c r="S366" s="9">
        <f>Q366-R366</f>
        <v/>
      </c>
      <c r="T366" s="10">
        <f>IFERROR(S366/Q366, 0)</f>
        <v/>
      </c>
    </row>
    <row r="367">
      <c r="A367" s="11" t="inlineStr">
        <is>
          <t>ORD-2024-1587</t>
        </is>
      </c>
      <c r="B367" s="11" t="inlineStr">
        <is>
          <t>2024-05-31</t>
        </is>
      </c>
      <c r="C367" s="11" t="inlineStr">
        <is>
          <t>TEC-ACC-008</t>
        </is>
      </c>
      <c r="D367" s="7" t="inlineStr">
        <is>
          <t>Precision Laser Bluetooth Mouse</t>
        </is>
      </c>
      <c r="E367" s="7" t="inlineStr">
        <is>
          <t>Technology</t>
        </is>
      </c>
      <c r="F367" s="7" t="inlineStr">
        <is>
          <t>Audio &amp; Accessories</t>
        </is>
      </c>
      <c r="G367" s="7" t="inlineStr">
        <is>
          <t>East</t>
        </is>
      </c>
      <c r="H367" s="7" t="inlineStr">
        <is>
          <t>New Jersey</t>
        </is>
      </c>
      <c r="I367" s="7" t="inlineStr">
        <is>
          <t>Direct Sales</t>
        </is>
      </c>
      <c r="J367" s="7" t="inlineStr">
        <is>
          <t>Corporate</t>
        </is>
      </c>
      <c r="K367" s="12" t="n">
        <v>7</v>
      </c>
      <c r="L367" s="9" t="n">
        <v>49.99</v>
      </c>
      <c r="M367" s="10" t="n">
        <v>0.1</v>
      </c>
      <c r="N367" s="9" t="n">
        <v>27.49</v>
      </c>
      <c r="O367" s="9">
        <f>K367*L367</f>
        <v/>
      </c>
      <c r="P367" s="9">
        <f>O367*M367</f>
        <v/>
      </c>
      <c r="Q367" s="9">
        <f>O367-P367</f>
        <v/>
      </c>
      <c r="R367" s="9">
        <f>K367*N367</f>
        <v/>
      </c>
      <c r="S367" s="9">
        <f>Q367-R367</f>
        <v/>
      </c>
      <c r="T367" s="10">
        <f>IFERROR(S367/Q367, 0)</f>
        <v/>
      </c>
    </row>
    <row r="368">
      <c r="A368" s="11" t="inlineStr">
        <is>
          <t>ORD-2024-1100</t>
        </is>
      </c>
      <c r="B368" s="11" t="inlineStr">
        <is>
          <t>2024-06-03</t>
        </is>
      </c>
      <c r="C368" s="11" t="inlineStr">
        <is>
          <t>OFF-ART-006</t>
        </is>
      </c>
      <c r="D368" s="7" t="inlineStr">
        <is>
          <t>Professional Presentation Dry Erase Board</t>
        </is>
      </c>
      <c r="E368" s="7" t="inlineStr">
        <is>
          <t>Office Supplies</t>
        </is>
      </c>
      <c r="F368" s="7" t="inlineStr">
        <is>
          <t>Presentation &amp; Art</t>
        </is>
      </c>
      <c r="G368" s="7" t="inlineStr">
        <is>
          <t>West</t>
        </is>
      </c>
      <c r="H368" s="7" t="inlineStr">
        <is>
          <t>Oregon</t>
        </is>
      </c>
      <c r="I368" s="7" t="inlineStr">
        <is>
          <t>Online</t>
        </is>
      </c>
      <c r="J368" s="7" t="inlineStr">
        <is>
          <t>Consumer</t>
        </is>
      </c>
      <c r="K368" s="12" t="n">
        <v>3</v>
      </c>
      <c r="L368" s="9" t="n">
        <v>89.98999999999999</v>
      </c>
      <c r="M368" s="10" t="n">
        <v>0.05</v>
      </c>
      <c r="N368" s="9" t="n">
        <v>53.99</v>
      </c>
      <c r="O368" s="9">
        <f>K368*L368</f>
        <v/>
      </c>
      <c r="P368" s="9">
        <f>O368*M368</f>
        <v/>
      </c>
      <c r="Q368" s="9">
        <f>O368-P368</f>
        <v/>
      </c>
      <c r="R368" s="9">
        <f>K368*N368</f>
        <v/>
      </c>
      <c r="S368" s="9">
        <f>Q368-R368</f>
        <v/>
      </c>
      <c r="T368" s="10">
        <f>IFERROR(S368/Q368, 0)</f>
        <v/>
      </c>
    </row>
    <row r="369">
      <c r="A369" s="11" t="inlineStr">
        <is>
          <t>ORD-2024-1100</t>
        </is>
      </c>
      <c r="B369" s="11" t="inlineStr">
        <is>
          <t>2024-06-03</t>
        </is>
      </c>
      <c r="C369" s="11" t="inlineStr">
        <is>
          <t>OFF-DSK-008</t>
        </is>
      </c>
      <c r="D369" s="7" t="inlineStr">
        <is>
          <t>Steel Desktop Mesh Organizer Caddy</t>
        </is>
      </c>
      <c r="E369" s="7" t="inlineStr">
        <is>
          <t>Office Supplies</t>
        </is>
      </c>
      <c r="F369" s="7" t="inlineStr">
        <is>
          <t>Desk Supplies</t>
        </is>
      </c>
      <c r="G369" s="7" t="inlineStr">
        <is>
          <t>West</t>
        </is>
      </c>
      <c r="H369" s="7" t="inlineStr">
        <is>
          <t>Oregon</t>
        </is>
      </c>
      <c r="I369" s="7" t="inlineStr">
        <is>
          <t>Online</t>
        </is>
      </c>
      <c r="J369" s="7" t="inlineStr">
        <is>
          <t>Consumer</t>
        </is>
      </c>
      <c r="K369" s="12" t="n">
        <v>1</v>
      </c>
      <c r="L369" s="9" t="n">
        <v>18.99</v>
      </c>
      <c r="M369" s="10" t="n">
        <v>0.05</v>
      </c>
      <c r="N369" s="9" t="n">
        <v>8.550000000000001</v>
      </c>
      <c r="O369" s="9">
        <f>K369*L369</f>
        <v/>
      </c>
      <c r="P369" s="9">
        <f>O369*M369</f>
        <v/>
      </c>
      <c r="Q369" s="9">
        <f>O369-P369</f>
        <v/>
      </c>
      <c r="R369" s="9">
        <f>K369*N369</f>
        <v/>
      </c>
      <c r="S369" s="9">
        <f>Q369-R369</f>
        <v/>
      </c>
      <c r="T369" s="10">
        <f>IFERROR(S369/Q369, 0)</f>
        <v/>
      </c>
    </row>
    <row r="370">
      <c r="A370" s="11" t="inlineStr">
        <is>
          <t>ORD-2024-1236</t>
        </is>
      </c>
      <c r="B370" s="11" t="inlineStr">
        <is>
          <t>2024-06-03</t>
        </is>
      </c>
      <c r="C370" s="11" t="inlineStr">
        <is>
          <t>TEC-TAB-004</t>
        </is>
      </c>
      <c r="D370" s="7" t="inlineStr">
        <is>
          <t>VisionPad Lite 8.5"</t>
        </is>
      </c>
      <c r="E370" s="7" t="inlineStr">
        <is>
          <t>Technology</t>
        </is>
      </c>
      <c r="F370" s="7" t="inlineStr">
        <is>
          <t>Phones &amp; Tablets</t>
        </is>
      </c>
      <c r="G370" s="7" t="inlineStr">
        <is>
          <t>East</t>
        </is>
      </c>
      <c r="H370" s="7" t="inlineStr">
        <is>
          <t>New Jersey</t>
        </is>
      </c>
      <c r="I370" s="7" t="inlineStr">
        <is>
          <t>Online</t>
        </is>
      </c>
      <c r="J370" s="7" t="inlineStr">
        <is>
          <t>Corporate</t>
        </is>
      </c>
      <c r="K370" s="12" t="n">
        <v>8</v>
      </c>
      <c r="L370" s="9" t="n">
        <v>299.99</v>
      </c>
      <c r="M370" s="10" t="n">
        <v>0.05</v>
      </c>
      <c r="N370" s="9" t="n">
        <v>245.99</v>
      </c>
      <c r="O370" s="9">
        <f>K370*L370</f>
        <v/>
      </c>
      <c r="P370" s="9">
        <f>O370*M370</f>
        <v/>
      </c>
      <c r="Q370" s="9">
        <f>O370-P370</f>
        <v/>
      </c>
      <c r="R370" s="9">
        <f>K370*N370</f>
        <v/>
      </c>
      <c r="S370" s="9">
        <f>Q370-R370</f>
        <v/>
      </c>
      <c r="T370" s="10">
        <f>IFERROR(S370/Q370, 0)</f>
        <v/>
      </c>
    </row>
    <row r="371">
      <c r="A371" s="11" t="inlineStr">
        <is>
          <t>ORD-2024-1385</t>
        </is>
      </c>
      <c r="B371" s="11" t="inlineStr">
        <is>
          <t>2024-06-04</t>
        </is>
      </c>
      <c r="C371" s="11" t="inlineStr">
        <is>
          <t>TEC-ACC-008</t>
        </is>
      </c>
      <c r="D371" s="7" t="inlineStr">
        <is>
          <t>Precision Laser Bluetooth Mouse</t>
        </is>
      </c>
      <c r="E371" s="7" t="inlineStr">
        <is>
          <t>Technology</t>
        </is>
      </c>
      <c r="F371" s="7" t="inlineStr">
        <is>
          <t>Audio &amp; Accessories</t>
        </is>
      </c>
      <c r="G371" s="7" t="inlineStr">
        <is>
          <t>West</t>
        </is>
      </c>
      <c r="H371" s="7" t="inlineStr">
        <is>
          <t>Oregon</t>
        </is>
      </c>
      <c r="I371" s="7" t="inlineStr">
        <is>
          <t>Wholesale</t>
        </is>
      </c>
      <c r="J371" s="7" t="inlineStr">
        <is>
          <t>Corporate</t>
        </is>
      </c>
      <c r="K371" s="12" t="n">
        <v>9</v>
      </c>
      <c r="L371" s="9" t="n">
        <v>49.99</v>
      </c>
      <c r="M371" s="10" t="n">
        <v>0.15</v>
      </c>
      <c r="N371" s="9" t="n">
        <v>27.49</v>
      </c>
      <c r="O371" s="9">
        <f>K371*L371</f>
        <v/>
      </c>
      <c r="P371" s="9">
        <f>O371*M371</f>
        <v/>
      </c>
      <c r="Q371" s="9">
        <f>O371-P371</f>
        <v/>
      </c>
      <c r="R371" s="9">
        <f>K371*N371</f>
        <v/>
      </c>
      <c r="S371" s="9">
        <f>Q371-R371</f>
        <v/>
      </c>
      <c r="T371" s="10">
        <f>IFERROR(S371/Q371, 0)</f>
        <v/>
      </c>
    </row>
    <row r="372">
      <c r="A372" s="11" t="inlineStr">
        <is>
          <t>ORD-2024-1022</t>
        </is>
      </c>
      <c r="B372" s="11" t="inlineStr">
        <is>
          <t>2024-06-05</t>
        </is>
      </c>
      <c r="C372" s="11" t="inlineStr">
        <is>
          <t>TEC-ACC-005</t>
        </is>
      </c>
      <c r="D372" s="7" t="inlineStr">
        <is>
          <t>UltraWireless Noise-Canceling Headset</t>
        </is>
      </c>
      <c r="E372" s="7" t="inlineStr">
        <is>
          <t>Technology</t>
        </is>
      </c>
      <c r="F372" s="7" t="inlineStr">
        <is>
          <t>Audio &amp; Accessories</t>
        </is>
      </c>
      <c r="G372" s="7" t="inlineStr">
        <is>
          <t>South</t>
        </is>
      </c>
      <c r="H372" s="7" t="inlineStr">
        <is>
          <t>North Carolina</t>
        </is>
      </c>
      <c r="I372" s="7" t="inlineStr">
        <is>
          <t>Wholesale</t>
        </is>
      </c>
      <c r="J372" s="7" t="inlineStr">
        <is>
          <t>Consumer</t>
        </is>
      </c>
      <c r="K372" s="12" t="n">
        <v>8</v>
      </c>
      <c r="L372" s="9" t="n">
        <v>179.99</v>
      </c>
      <c r="M372" s="10" t="n">
        <v>0.1</v>
      </c>
      <c r="N372" s="9" t="n">
        <v>111.59</v>
      </c>
      <c r="O372" s="9">
        <f>K372*L372</f>
        <v/>
      </c>
      <c r="P372" s="9">
        <f>O372*M372</f>
        <v/>
      </c>
      <c r="Q372" s="9">
        <f>O372-P372</f>
        <v/>
      </c>
      <c r="R372" s="9">
        <f>K372*N372</f>
        <v/>
      </c>
      <c r="S372" s="9">
        <f>Q372-R372</f>
        <v/>
      </c>
      <c r="T372" s="10">
        <f>IFERROR(S372/Q372, 0)</f>
        <v/>
      </c>
    </row>
    <row r="373">
      <c r="A373" s="11" t="inlineStr">
        <is>
          <t>ORD-2024-1283</t>
        </is>
      </c>
      <c r="B373" s="11" t="inlineStr">
        <is>
          <t>2024-06-05</t>
        </is>
      </c>
      <c r="C373" s="11" t="inlineStr">
        <is>
          <t>TEC-ACC-006</t>
        </is>
      </c>
      <c r="D373" s="7" t="inlineStr">
        <is>
          <t>MultiPort Thunderbolt 4 Dock</t>
        </is>
      </c>
      <c r="E373" s="7" t="inlineStr">
        <is>
          <t>Technology</t>
        </is>
      </c>
      <c r="F373" s="7" t="inlineStr">
        <is>
          <t>Audio &amp; Accessories</t>
        </is>
      </c>
      <c r="G373" s="7" t="inlineStr">
        <is>
          <t>Central</t>
        </is>
      </c>
      <c r="H373" s="7" t="inlineStr">
        <is>
          <t>Ohio</t>
        </is>
      </c>
      <c r="I373" s="7" t="inlineStr">
        <is>
          <t>Direct Sales</t>
        </is>
      </c>
      <c r="J373" s="7" t="inlineStr">
        <is>
          <t>Consumer</t>
        </is>
      </c>
      <c r="K373" s="12" t="n">
        <v>1</v>
      </c>
      <c r="L373" s="9" t="n">
        <v>149.99</v>
      </c>
      <c r="M373" s="10" t="n">
        <v>0</v>
      </c>
      <c r="N373" s="9" t="n">
        <v>98.98999999999999</v>
      </c>
      <c r="O373" s="9">
        <f>K373*L373</f>
        <v/>
      </c>
      <c r="P373" s="9">
        <f>O373*M373</f>
        <v/>
      </c>
      <c r="Q373" s="9">
        <f>O373-P373</f>
        <v/>
      </c>
      <c r="R373" s="9">
        <f>K373*N373</f>
        <v/>
      </c>
      <c r="S373" s="9">
        <f>Q373-R373</f>
        <v/>
      </c>
      <c r="T373" s="10">
        <f>IFERROR(S373/Q373, 0)</f>
        <v/>
      </c>
    </row>
    <row r="374">
      <c r="A374" s="11" t="inlineStr">
        <is>
          <t>ORD-2024-1634</t>
        </is>
      </c>
      <c r="B374" s="11" t="inlineStr">
        <is>
          <t>2024-06-05</t>
        </is>
      </c>
      <c r="C374" s="11" t="inlineStr">
        <is>
          <t>TEC-ACC-008</t>
        </is>
      </c>
      <c r="D374" s="7" t="inlineStr">
        <is>
          <t>Precision Laser Bluetooth Mouse</t>
        </is>
      </c>
      <c r="E374" s="7" t="inlineStr">
        <is>
          <t>Technology</t>
        </is>
      </c>
      <c r="F374" s="7" t="inlineStr">
        <is>
          <t>Audio &amp; Accessories</t>
        </is>
      </c>
      <c r="G374" s="7" t="inlineStr">
        <is>
          <t>Central</t>
        </is>
      </c>
      <c r="H374" s="7" t="inlineStr">
        <is>
          <t>Ohio</t>
        </is>
      </c>
      <c r="I374" s="7" t="inlineStr">
        <is>
          <t>Online</t>
        </is>
      </c>
      <c r="J374" s="7" t="inlineStr">
        <is>
          <t>Consumer</t>
        </is>
      </c>
      <c r="K374" s="12" t="n">
        <v>3</v>
      </c>
      <c r="L374" s="9" t="n">
        <v>49.99</v>
      </c>
      <c r="M374" s="10" t="n">
        <v>0</v>
      </c>
      <c r="N374" s="9" t="n">
        <v>27.49</v>
      </c>
      <c r="O374" s="9">
        <f>K374*L374</f>
        <v/>
      </c>
      <c r="P374" s="9">
        <f>O374*M374</f>
        <v/>
      </c>
      <c r="Q374" s="9">
        <f>O374-P374</f>
        <v/>
      </c>
      <c r="R374" s="9">
        <f>K374*N374</f>
        <v/>
      </c>
      <c r="S374" s="9">
        <f>Q374-R374</f>
        <v/>
      </c>
      <c r="T374" s="10">
        <f>IFERROR(S374/Q374, 0)</f>
        <v/>
      </c>
    </row>
    <row r="375">
      <c r="A375" s="11" t="inlineStr">
        <is>
          <t>ORD-2024-1634</t>
        </is>
      </c>
      <c r="B375" s="11" t="inlineStr">
        <is>
          <t>2024-06-05</t>
        </is>
      </c>
      <c r="C375" s="11" t="inlineStr">
        <is>
          <t>OFF-DSK-008</t>
        </is>
      </c>
      <c r="D375" s="7" t="inlineStr">
        <is>
          <t>Steel Desktop Mesh Organizer Caddy</t>
        </is>
      </c>
      <c r="E375" s="7" t="inlineStr">
        <is>
          <t>Office Supplies</t>
        </is>
      </c>
      <c r="F375" s="7" t="inlineStr">
        <is>
          <t>Desk Supplies</t>
        </is>
      </c>
      <c r="G375" s="7" t="inlineStr">
        <is>
          <t>Central</t>
        </is>
      </c>
      <c r="H375" s="7" t="inlineStr">
        <is>
          <t>Ohio</t>
        </is>
      </c>
      <c r="I375" s="7" t="inlineStr">
        <is>
          <t>Online</t>
        </is>
      </c>
      <c r="J375" s="7" t="inlineStr">
        <is>
          <t>Consumer</t>
        </is>
      </c>
      <c r="K375" s="12" t="n">
        <v>2</v>
      </c>
      <c r="L375" s="9" t="n">
        <v>18.99</v>
      </c>
      <c r="M375" s="10" t="n">
        <v>0.15</v>
      </c>
      <c r="N375" s="9" t="n">
        <v>8.550000000000001</v>
      </c>
      <c r="O375" s="9">
        <f>K375*L375</f>
        <v/>
      </c>
      <c r="P375" s="9">
        <f>O375*M375</f>
        <v/>
      </c>
      <c r="Q375" s="9">
        <f>O375-P375</f>
        <v/>
      </c>
      <c r="R375" s="9">
        <f>K375*N375</f>
        <v/>
      </c>
      <c r="S375" s="9">
        <f>Q375-R375</f>
        <v/>
      </c>
      <c r="T375" s="10">
        <f>IFERROR(S375/Q375, 0)</f>
        <v/>
      </c>
    </row>
    <row r="376">
      <c r="A376" s="11" t="inlineStr">
        <is>
          <t>ORD-2024-1634</t>
        </is>
      </c>
      <c r="B376" s="11" t="inlineStr">
        <is>
          <t>2024-06-05</t>
        </is>
      </c>
      <c r="C376" s="11" t="inlineStr">
        <is>
          <t>FUR-LGT-006</t>
        </is>
      </c>
      <c r="D376" s="7" t="inlineStr">
        <is>
          <t>Architect LED Desk Task Lamp</t>
        </is>
      </c>
      <c r="E376" s="7" t="inlineStr">
        <is>
          <t>Furniture</t>
        </is>
      </c>
      <c r="F376" s="7" t="inlineStr">
        <is>
          <t>Lighting</t>
        </is>
      </c>
      <c r="G376" s="7" t="inlineStr">
        <is>
          <t>Central</t>
        </is>
      </c>
      <c r="H376" s="7" t="inlineStr">
        <is>
          <t>Ohio</t>
        </is>
      </c>
      <c r="I376" s="7" t="inlineStr">
        <is>
          <t>Online</t>
        </is>
      </c>
      <c r="J376" s="7" t="inlineStr">
        <is>
          <t>Consumer</t>
        </is>
      </c>
      <c r="K376" s="12" t="n">
        <v>4</v>
      </c>
      <c r="L376" s="9" t="n">
        <v>69.98999999999999</v>
      </c>
      <c r="M376" s="10" t="n">
        <v>0.15</v>
      </c>
      <c r="N376" s="9" t="n">
        <v>43.39</v>
      </c>
      <c r="O376" s="9">
        <f>K376*L376</f>
        <v/>
      </c>
      <c r="P376" s="9">
        <f>O376*M376</f>
        <v/>
      </c>
      <c r="Q376" s="9">
        <f>O376-P376</f>
        <v/>
      </c>
      <c r="R376" s="9">
        <f>K376*N376</f>
        <v/>
      </c>
      <c r="S376" s="9">
        <f>Q376-R376</f>
        <v/>
      </c>
      <c r="T376" s="10">
        <f>IFERROR(S376/Q376, 0)</f>
        <v/>
      </c>
    </row>
    <row r="377">
      <c r="A377" s="11" t="inlineStr">
        <is>
          <t>ORD-2024-1634</t>
        </is>
      </c>
      <c r="B377" s="11" t="inlineStr">
        <is>
          <t>2024-06-05</t>
        </is>
      </c>
      <c r="C377" s="11" t="inlineStr">
        <is>
          <t>TEC-TAB-003</t>
        </is>
      </c>
      <c r="D377" s="7" t="inlineStr">
        <is>
          <t>VisionPad Pro 11"</t>
        </is>
      </c>
      <c r="E377" s="7" t="inlineStr">
        <is>
          <t>Technology</t>
        </is>
      </c>
      <c r="F377" s="7" t="inlineStr">
        <is>
          <t>Phones &amp; Tablets</t>
        </is>
      </c>
      <c r="G377" s="7" t="inlineStr">
        <is>
          <t>Central</t>
        </is>
      </c>
      <c r="H377" s="7" t="inlineStr">
        <is>
          <t>Ohio</t>
        </is>
      </c>
      <c r="I377" s="7" t="inlineStr">
        <is>
          <t>Online</t>
        </is>
      </c>
      <c r="J377" s="7" t="inlineStr">
        <is>
          <t>Consumer</t>
        </is>
      </c>
      <c r="K377" s="12" t="n">
        <v>4</v>
      </c>
      <c r="L377" s="9" t="n">
        <v>649.99</v>
      </c>
      <c r="M377" s="10" t="n">
        <v>0.05</v>
      </c>
      <c r="N377" s="9" t="n">
        <v>487.49</v>
      </c>
      <c r="O377" s="9">
        <f>K377*L377</f>
        <v/>
      </c>
      <c r="P377" s="9">
        <f>O377*M377</f>
        <v/>
      </c>
      <c r="Q377" s="9">
        <f>O377-P377</f>
        <v/>
      </c>
      <c r="R377" s="9">
        <f>K377*N377</f>
        <v/>
      </c>
      <c r="S377" s="9">
        <f>Q377-R377</f>
        <v/>
      </c>
      <c r="T377" s="10">
        <f>IFERROR(S377/Q377, 0)</f>
        <v/>
      </c>
    </row>
    <row r="378">
      <c r="A378" s="11" t="inlineStr">
        <is>
          <t>ORD-2024-1316</t>
        </is>
      </c>
      <c r="B378" s="11" t="inlineStr">
        <is>
          <t>2024-06-06</t>
        </is>
      </c>
      <c r="C378" s="11" t="inlineStr">
        <is>
          <t>OFF-DSK-008</t>
        </is>
      </c>
      <c r="D378" s="7" t="inlineStr">
        <is>
          <t>Steel Desktop Mesh Organizer Caddy</t>
        </is>
      </c>
      <c r="E378" s="7" t="inlineStr">
        <is>
          <t>Office Supplies</t>
        </is>
      </c>
      <c r="F378" s="7" t="inlineStr">
        <is>
          <t>Desk Supplies</t>
        </is>
      </c>
      <c r="G378" s="7" t="inlineStr">
        <is>
          <t>South</t>
        </is>
      </c>
      <c r="H378" s="7" t="inlineStr">
        <is>
          <t>Florida</t>
        </is>
      </c>
      <c r="I378" s="7" t="inlineStr">
        <is>
          <t>Online</t>
        </is>
      </c>
      <c r="J378" s="7" t="inlineStr">
        <is>
          <t>Corporate</t>
        </is>
      </c>
      <c r="K378" s="12" t="n">
        <v>2</v>
      </c>
      <c r="L378" s="9" t="n">
        <v>18.99</v>
      </c>
      <c r="M378" s="10" t="n">
        <v>0.05</v>
      </c>
      <c r="N378" s="9" t="n">
        <v>8.550000000000001</v>
      </c>
      <c r="O378" s="9">
        <f>K378*L378</f>
        <v/>
      </c>
      <c r="P378" s="9">
        <f>O378*M378</f>
        <v/>
      </c>
      <c r="Q378" s="9">
        <f>O378-P378</f>
        <v/>
      </c>
      <c r="R378" s="9">
        <f>K378*N378</f>
        <v/>
      </c>
      <c r="S378" s="9">
        <f>Q378-R378</f>
        <v/>
      </c>
      <c r="T378" s="10">
        <f>IFERROR(S378/Q378, 0)</f>
        <v/>
      </c>
    </row>
    <row r="379">
      <c r="A379" s="11" t="inlineStr">
        <is>
          <t>ORD-2024-1316</t>
        </is>
      </c>
      <c r="B379" s="11" t="inlineStr">
        <is>
          <t>2024-06-06</t>
        </is>
      </c>
      <c r="C379" s="11" t="inlineStr">
        <is>
          <t>FUR-CHA-001</t>
        </is>
      </c>
      <c r="D379" s="7" t="inlineStr">
        <is>
          <t>ErgoFlex Executive Mesh Chair</t>
        </is>
      </c>
      <c r="E379" s="7" t="inlineStr">
        <is>
          <t>Furniture</t>
        </is>
      </c>
      <c r="F379" s="7" t="inlineStr">
        <is>
          <t>Chairs</t>
        </is>
      </c>
      <c r="G379" s="7" t="inlineStr">
        <is>
          <t>South</t>
        </is>
      </c>
      <c r="H379" s="7" t="inlineStr">
        <is>
          <t>Florida</t>
        </is>
      </c>
      <c r="I379" s="7" t="inlineStr">
        <is>
          <t>Online</t>
        </is>
      </c>
      <c r="J379" s="7" t="inlineStr">
        <is>
          <t>Corporate</t>
        </is>
      </c>
      <c r="K379" s="12" t="n">
        <v>5</v>
      </c>
      <c r="L379" s="9" t="n">
        <v>389.99</v>
      </c>
      <c r="M379" s="10" t="n">
        <v>0.2</v>
      </c>
      <c r="N379" s="9" t="n">
        <v>331.49</v>
      </c>
      <c r="O379" s="9">
        <f>K379*L379</f>
        <v/>
      </c>
      <c r="P379" s="9">
        <f>O379*M379</f>
        <v/>
      </c>
      <c r="Q379" s="9">
        <f>O379-P379</f>
        <v/>
      </c>
      <c r="R379" s="9">
        <f>K379*N379</f>
        <v/>
      </c>
      <c r="S379" s="9">
        <f>Q379-R379</f>
        <v/>
      </c>
      <c r="T379" s="10">
        <f>IFERROR(S379/Q379, 0)</f>
        <v/>
      </c>
    </row>
    <row r="380">
      <c r="A380" s="11" t="inlineStr">
        <is>
          <t>ORD-2024-1316</t>
        </is>
      </c>
      <c r="B380" s="11" t="inlineStr">
        <is>
          <t>2024-06-06</t>
        </is>
      </c>
      <c r="C380" s="11" t="inlineStr">
        <is>
          <t>OFF-DSK-008</t>
        </is>
      </c>
      <c r="D380" s="7" t="inlineStr">
        <is>
          <t>Steel Desktop Mesh Organizer Caddy</t>
        </is>
      </c>
      <c r="E380" s="7" t="inlineStr">
        <is>
          <t>Office Supplies</t>
        </is>
      </c>
      <c r="F380" s="7" t="inlineStr">
        <is>
          <t>Desk Supplies</t>
        </is>
      </c>
      <c r="G380" s="7" t="inlineStr">
        <is>
          <t>South</t>
        </is>
      </c>
      <c r="H380" s="7" t="inlineStr">
        <is>
          <t>Florida</t>
        </is>
      </c>
      <c r="I380" s="7" t="inlineStr">
        <is>
          <t>Online</t>
        </is>
      </c>
      <c r="J380" s="7" t="inlineStr">
        <is>
          <t>Corporate</t>
        </is>
      </c>
      <c r="K380" s="12" t="n">
        <v>5</v>
      </c>
      <c r="L380" s="9" t="n">
        <v>18.99</v>
      </c>
      <c r="M380" s="10" t="n">
        <v>0</v>
      </c>
      <c r="N380" s="9" t="n">
        <v>8.550000000000001</v>
      </c>
      <c r="O380" s="9">
        <f>K380*L380</f>
        <v/>
      </c>
      <c r="P380" s="9">
        <f>O380*M380</f>
        <v/>
      </c>
      <c r="Q380" s="9">
        <f>O380-P380</f>
        <v/>
      </c>
      <c r="R380" s="9">
        <f>K380*N380</f>
        <v/>
      </c>
      <c r="S380" s="9">
        <f>Q380-R380</f>
        <v/>
      </c>
      <c r="T380" s="10">
        <f>IFERROR(S380/Q380, 0)</f>
        <v/>
      </c>
    </row>
    <row r="381">
      <c r="A381" s="11" t="inlineStr">
        <is>
          <t>ORD-2024-1367</t>
        </is>
      </c>
      <c r="B381" s="11" t="inlineStr">
        <is>
          <t>2024-06-06</t>
        </is>
      </c>
      <c r="C381" s="11" t="inlineStr">
        <is>
          <t>OFF-STR-001</t>
        </is>
      </c>
      <c r="D381" s="7" t="inlineStr">
        <is>
          <t>SteelLock 3-Drawer File Cabinet</t>
        </is>
      </c>
      <c r="E381" s="7" t="inlineStr">
        <is>
          <t>Office Supplies</t>
        </is>
      </c>
      <c r="F381" s="7" t="inlineStr">
        <is>
          <t>Storage &amp; Organizers</t>
        </is>
      </c>
      <c r="G381" s="7" t="inlineStr">
        <is>
          <t>East</t>
        </is>
      </c>
      <c r="H381" s="7" t="inlineStr">
        <is>
          <t>Pennsylvania</t>
        </is>
      </c>
      <c r="I381" s="7" t="inlineStr">
        <is>
          <t>Online</t>
        </is>
      </c>
      <c r="J381" s="7" t="inlineStr">
        <is>
          <t>Consumer</t>
        </is>
      </c>
      <c r="K381" s="12" t="n">
        <v>1</v>
      </c>
      <c r="L381" s="9" t="n">
        <v>169.99</v>
      </c>
      <c r="M381" s="10" t="n">
        <v>0.05</v>
      </c>
      <c r="N381" s="9" t="n">
        <v>115.59</v>
      </c>
      <c r="O381" s="9">
        <f>K381*L381</f>
        <v/>
      </c>
      <c r="P381" s="9">
        <f>O381*M381</f>
        <v/>
      </c>
      <c r="Q381" s="9">
        <f>O381-P381</f>
        <v/>
      </c>
      <c r="R381" s="9">
        <f>K381*N381</f>
        <v/>
      </c>
      <c r="S381" s="9">
        <f>Q381-R381</f>
        <v/>
      </c>
      <c r="T381" s="10">
        <f>IFERROR(S381/Q381, 0)</f>
        <v/>
      </c>
    </row>
    <row r="382">
      <c r="A382" s="11" t="inlineStr">
        <is>
          <t>ORD-2024-1653</t>
        </is>
      </c>
      <c r="B382" s="11" t="inlineStr">
        <is>
          <t>2024-06-06</t>
        </is>
      </c>
      <c r="C382" s="11" t="inlineStr">
        <is>
          <t>FUR-BOK-005</t>
        </is>
      </c>
      <c r="D382" s="7" t="inlineStr">
        <is>
          <t>Modular 5-Tier Steel Bookcase</t>
        </is>
      </c>
      <c r="E382" s="7" t="inlineStr">
        <is>
          <t>Furniture</t>
        </is>
      </c>
      <c r="F382" s="7" t="inlineStr">
        <is>
          <t>Bookcases</t>
        </is>
      </c>
      <c r="G382" s="7" t="inlineStr">
        <is>
          <t>West</t>
        </is>
      </c>
      <c r="H382" s="7" t="inlineStr">
        <is>
          <t>Colorado</t>
        </is>
      </c>
      <c r="I382" s="7" t="inlineStr">
        <is>
          <t>Online</t>
        </is>
      </c>
      <c r="J382" s="7" t="inlineStr">
        <is>
          <t>Corporate</t>
        </is>
      </c>
      <c r="K382" s="12" t="n">
        <v>2</v>
      </c>
      <c r="L382" s="9" t="n">
        <v>189.99</v>
      </c>
      <c r="M382" s="10" t="n">
        <v>0.15</v>
      </c>
      <c r="N382" s="9" t="n">
        <v>142.49</v>
      </c>
      <c r="O382" s="9">
        <f>K382*L382</f>
        <v/>
      </c>
      <c r="P382" s="9">
        <f>O382*M382</f>
        <v/>
      </c>
      <c r="Q382" s="9">
        <f>O382-P382</f>
        <v/>
      </c>
      <c r="R382" s="9">
        <f>K382*N382</f>
        <v/>
      </c>
      <c r="S382" s="9">
        <f>Q382-R382</f>
        <v/>
      </c>
      <c r="T382" s="10">
        <f>IFERROR(S382/Q382, 0)</f>
        <v/>
      </c>
    </row>
    <row r="383">
      <c r="A383" s="11" t="inlineStr">
        <is>
          <t>ORD-2024-1653</t>
        </is>
      </c>
      <c r="B383" s="11" t="inlineStr">
        <is>
          <t>2024-06-06</t>
        </is>
      </c>
      <c r="C383" s="11" t="inlineStr">
        <is>
          <t>OFF-ART-006</t>
        </is>
      </c>
      <c r="D383" s="7" t="inlineStr">
        <is>
          <t>Professional Presentation Dry Erase Board</t>
        </is>
      </c>
      <c r="E383" s="7" t="inlineStr">
        <is>
          <t>Office Supplies</t>
        </is>
      </c>
      <c r="F383" s="7" t="inlineStr">
        <is>
          <t>Presentation &amp; Art</t>
        </is>
      </c>
      <c r="G383" s="7" t="inlineStr">
        <is>
          <t>West</t>
        </is>
      </c>
      <c r="H383" s="7" t="inlineStr">
        <is>
          <t>Colorado</t>
        </is>
      </c>
      <c r="I383" s="7" t="inlineStr">
        <is>
          <t>Online</t>
        </is>
      </c>
      <c r="J383" s="7" t="inlineStr">
        <is>
          <t>Corporate</t>
        </is>
      </c>
      <c r="K383" s="12" t="n">
        <v>3</v>
      </c>
      <c r="L383" s="9" t="n">
        <v>89.98999999999999</v>
      </c>
      <c r="M383" s="10" t="n">
        <v>0.05</v>
      </c>
      <c r="N383" s="9" t="n">
        <v>53.99</v>
      </c>
      <c r="O383" s="9">
        <f>K383*L383</f>
        <v/>
      </c>
      <c r="P383" s="9">
        <f>O383*M383</f>
        <v/>
      </c>
      <c r="Q383" s="9">
        <f>O383-P383</f>
        <v/>
      </c>
      <c r="R383" s="9">
        <f>K383*N383</f>
        <v/>
      </c>
      <c r="S383" s="9">
        <f>Q383-R383</f>
        <v/>
      </c>
      <c r="T383" s="10">
        <f>IFERROR(S383/Q383, 0)</f>
        <v/>
      </c>
    </row>
    <row r="384">
      <c r="A384" s="11" t="inlineStr">
        <is>
          <t>ORD-2024-1363</t>
        </is>
      </c>
      <c r="B384" s="11" t="inlineStr">
        <is>
          <t>2024-06-07</t>
        </is>
      </c>
      <c r="C384" s="11" t="inlineStr">
        <is>
          <t>OFF-STR-002</t>
        </is>
      </c>
      <c r="D384" s="7" t="inlineStr">
        <is>
          <t>Stackable Heavy-Duty Storage Bins (4-Pk)</t>
        </is>
      </c>
      <c r="E384" s="7" t="inlineStr">
        <is>
          <t>Office Supplies</t>
        </is>
      </c>
      <c r="F384" s="7" t="inlineStr">
        <is>
          <t>Storage &amp; Organizers</t>
        </is>
      </c>
      <c r="G384" s="7" t="inlineStr">
        <is>
          <t>East</t>
        </is>
      </c>
      <c r="H384" s="7" t="inlineStr">
        <is>
          <t>Massachusetts</t>
        </is>
      </c>
      <c r="I384" s="7" t="inlineStr">
        <is>
          <t>Wholesale</t>
        </is>
      </c>
      <c r="J384" s="7" t="inlineStr">
        <is>
          <t>Corporate</t>
        </is>
      </c>
      <c r="K384" s="12" t="n">
        <v>8</v>
      </c>
      <c r="L384" s="9" t="n">
        <v>44.99</v>
      </c>
      <c r="M384" s="10" t="n">
        <v>0.2</v>
      </c>
      <c r="N384" s="9" t="n">
        <v>24.74</v>
      </c>
      <c r="O384" s="9">
        <f>K384*L384</f>
        <v/>
      </c>
      <c r="P384" s="9">
        <f>O384*M384</f>
        <v/>
      </c>
      <c r="Q384" s="9">
        <f>O384-P384</f>
        <v/>
      </c>
      <c r="R384" s="9">
        <f>K384*N384</f>
        <v/>
      </c>
      <c r="S384" s="9">
        <f>Q384-R384</f>
        <v/>
      </c>
      <c r="T384" s="10">
        <f>IFERROR(S384/Q384, 0)</f>
        <v/>
      </c>
    </row>
    <row r="385">
      <c r="A385" s="11" t="inlineStr">
        <is>
          <t>ORD-2024-1516</t>
        </is>
      </c>
      <c r="B385" s="11" t="inlineStr">
        <is>
          <t>2024-06-08</t>
        </is>
      </c>
      <c r="C385" s="11" t="inlineStr">
        <is>
          <t>OFF-STR-002</t>
        </is>
      </c>
      <c r="D385" s="7" t="inlineStr">
        <is>
          <t>Stackable Heavy-Duty Storage Bins (4-Pk)</t>
        </is>
      </c>
      <c r="E385" s="7" t="inlineStr">
        <is>
          <t>Office Supplies</t>
        </is>
      </c>
      <c r="F385" s="7" t="inlineStr">
        <is>
          <t>Storage &amp; Organizers</t>
        </is>
      </c>
      <c r="G385" s="7" t="inlineStr">
        <is>
          <t>Central</t>
        </is>
      </c>
      <c r="H385" s="7" t="inlineStr">
        <is>
          <t>Texas</t>
        </is>
      </c>
      <c r="I385" s="7" t="inlineStr">
        <is>
          <t>Wholesale</t>
        </is>
      </c>
      <c r="J385" s="7" t="inlineStr">
        <is>
          <t>Consumer</t>
        </is>
      </c>
      <c r="K385" s="12" t="n">
        <v>7</v>
      </c>
      <c r="L385" s="9" t="n">
        <v>44.99</v>
      </c>
      <c r="M385" s="10" t="n">
        <v>0.2</v>
      </c>
      <c r="N385" s="9" t="n">
        <v>24.74</v>
      </c>
      <c r="O385" s="9">
        <f>K385*L385</f>
        <v/>
      </c>
      <c r="P385" s="9">
        <f>O385*M385</f>
        <v/>
      </c>
      <c r="Q385" s="9">
        <f>O385-P385</f>
        <v/>
      </c>
      <c r="R385" s="9">
        <f>K385*N385</f>
        <v/>
      </c>
      <c r="S385" s="9">
        <f>Q385-R385</f>
        <v/>
      </c>
      <c r="T385" s="10">
        <f>IFERROR(S385/Q385, 0)</f>
        <v/>
      </c>
    </row>
    <row r="386">
      <c r="A386" s="11" t="inlineStr">
        <is>
          <t>ORD-2024-1571</t>
        </is>
      </c>
      <c r="B386" s="11" t="inlineStr">
        <is>
          <t>2024-06-08</t>
        </is>
      </c>
      <c r="C386" s="11" t="inlineStr">
        <is>
          <t>OFF-PAP-004</t>
        </is>
      </c>
      <c r="D386" s="7" t="inlineStr">
        <is>
          <t>EcoRecycled Copy Paper (5 Reams)</t>
        </is>
      </c>
      <c r="E386" s="7" t="inlineStr">
        <is>
          <t>Office Supplies</t>
        </is>
      </c>
      <c r="F386" s="7" t="inlineStr">
        <is>
          <t>Paper Products</t>
        </is>
      </c>
      <c r="G386" s="7" t="inlineStr">
        <is>
          <t>West</t>
        </is>
      </c>
      <c r="H386" s="7" t="inlineStr">
        <is>
          <t>Colorado</t>
        </is>
      </c>
      <c r="I386" s="7" t="inlineStr">
        <is>
          <t>Direct Sales</t>
        </is>
      </c>
      <c r="J386" s="7" t="inlineStr">
        <is>
          <t>Home Office</t>
        </is>
      </c>
      <c r="K386" s="12" t="n">
        <v>3</v>
      </c>
      <c r="L386" s="9" t="n">
        <v>32.99</v>
      </c>
      <c r="M386" s="10" t="n">
        <v>0</v>
      </c>
      <c r="N386" s="9" t="n">
        <v>19.79</v>
      </c>
      <c r="O386" s="9">
        <f>K386*L386</f>
        <v/>
      </c>
      <c r="P386" s="9">
        <f>O386*M386</f>
        <v/>
      </c>
      <c r="Q386" s="9">
        <f>O386-P386</f>
        <v/>
      </c>
      <c r="R386" s="9">
        <f>K386*N386</f>
        <v/>
      </c>
      <c r="S386" s="9">
        <f>Q386-R386</f>
        <v/>
      </c>
      <c r="T386" s="10">
        <f>IFERROR(S386/Q386, 0)</f>
        <v/>
      </c>
    </row>
    <row r="387">
      <c r="A387" s="11" t="inlineStr">
        <is>
          <t>ORD-2024-1062</t>
        </is>
      </c>
      <c r="B387" s="11" t="inlineStr">
        <is>
          <t>2024-06-10</t>
        </is>
      </c>
      <c r="C387" s="11" t="inlineStr">
        <is>
          <t>TEC-LAP-002</t>
        </is>
      </c>
      <c r="D387" s="7" t="inlineStr">
        <is>
          <t>Apex Gaming Laptop 17"</t>
        </is>
      </c>
      <c r="E387" s="7" t="inlineStr">
        <is>
          <t>Technology</t>
        </is>
      </c>
      <c r="F387" s="7" t="inlineStr">
        <is>
          <t>Laptops</t>
        </is>
      </c>
      <c r="G387" s="7" t="inlineStr">
        <is>
          <t>South</t>
        </is>
      </c>
      <c r="H387" s="7" t="inlineStr">
        <is>
          <t>Georgia</t>
        </is>
      </c>
      <c r="I387" s="7" t="inlineStr">
        <is>
          <t>Retail Partner</t>
        </is>
      </c>
      <c r="J387" s="7" t="inlineStr">
        <is>
          <t>Consumer</t>
        </is>
      </c>
      <c r="K387" s="12" t="n">
        <v>1</v>
      </c>
      <c r="L387" s="9" t="n">
        <v>1499.99</v>
      </c>
      <c r="M387" s="10" t="n">
        <v>0.2</v>
      </c>
      <c r="N387" s="9" t="n">
        <v>1259.99</v>
      </c>
      <c r="O387" s="9">
        <f>K387*L387</f>
        <v/>
      </c>
      <c r="P387" s="9">
        <f>O387*M387</f>
        <v/>
      </c>
      <c r="Q387" s="9">
        <f>O387-P387</f>
        <v/>
      </c>
      <c r="R387" s="9">
        <f>K387*N387</f>
        <v/>
      </c>
      <c r="S387" s="9">
        <f>Q387-R387</f>
        <v/>
      </c>
      <c r="T387" s="10">
        <f>IFERROR(S387/Q387, 0)</f>
        <v/>
      </c>
    </row>
    <row r="388">
      <c r="A388" s="11" t="inlineStr">
        <is>
          <t>ORD-2024-1062</t>
        </is>
      </c>
      <c r="B388" s="11" t="inlineStr">
        <is>
          <t>2024-06-10</t>
        </is>
      </c>
      <c r="C388" s="11" t="inlineStr">
        <is>
          <t>FUR-DSK-003</t>
        </is>
      </c>
      <c r="D388" s="7" t="inlineStr">
        <is>
          <t>ApexMotor Dual-Motor Standing Desk</t>
        </is>
      </c>
      <c r="E388" s="7" t="inlineStr">
        <is>
          <t>Furniture</t>
        </is>
      </c>
      <c r="F388" s="7" t="inlineStr">
        <is>
          <t>Desks &amp; Workstations</t>
        </is>
      </c>
      <c r="G388" s="7" t="inlineStr">
        <is>
          <t>South</t>
        </is>
      </c>
      <c r="H388" s="7" t="inlineStr">
        <is>
          <t>Georgia</t>
        </is>
      </c>
      <c r="I388" s="7" t="inlineStr">
        <is>
          <t>Retail Partner</t>
        </is>
      </c>
      <c r="J388" s="7" t="inlineStr">
        <is>
          <t>Consumer</t>
        </is>
      </c>
      <c r="K388" s="12" t="n">
        <v>1</v>
      </c>
      <c r="L388" s="9" t="n">
        <v>549.99</v>
      </c>
      <c r="M388" s="10" t="n">
        <v>0</v>
      </c>
      <c r="N388" s="9" t="n">
        <v>439.99</v>
      </c>
      <c r="O388" s="9">
        <f>K388*L388</f>
        <v/>
      </c>
      <c r="P388" s="9">
        <f>O388*M388</f>
        <v/>
      </c>
      <c r="Q388" s="9">
        <f>O388-P388</f>
        <v/>
      </c>
      <c r="R388" s="9">
        <f>K388*N388</f>
        <v/>
      </c>
      <c r="S388" s="9">
        <f>Q388-R388</f>
        <v/>
      </c>
      <c r="T388" s="10">
        <f>IFERROR(S388/Q388, 0)</f>
        <v/>
      </c>
    </row>
    <row r="389">
      <c r="A389" s="11" t="inlineStr">
        <is>
          <t>ORD-2024-1189</t>
        </is>
      </c>
      <c r="B389" s="11" t="inlineStr">
        <is>
          <t>2024-06-10</t>
        </is>
      </c>
      <c r="C389" s="11" t="inlineStr">
        <is>
          <t>TEC-ACC-008</t>
        </is>
      </c>
      <c r="D389" s="7" t="inlineStr">
        <is>
          <t>Precision Laser Bluetooth Mouse</t>
        </is>
      </c>
      <c r="E389" s="7" t="inlineStr">
        <is>
          <t>Technology</t>
        </is>
      </c>
      <c r="F389" s="7" t="inlineStr">
        <is>
          <t>Audio &amp; Accessories</t>
        </is>
      </c>
      <c r="G389" s="7" t="inlineStr">
        <is>
          <t>East</t>
        </is>
      </c>
      <c r="H389" s="7" t="inlineStr">
        <is>
          <t>New York</t>
        </is>
      </c>
      <c r="I389" s="7" t="inlineStr">
        <is>
          <t>Retail Partner</t>
        </is>
      </c>
      <c r="J389" s="7" t="inlineStr">
        <is>
          <t>Corporate</t>
        </is>
      </c>
      <c r="K389" s="12" t="n">
        <v>4</v>
      </c>
      <c r="L389" s="9" t="n">
        <v>49.99</v>
      </c>
      <c r="M389" s="10" t="n">
        <v>0</v>
      </c>
      <c r="N389" s="9" t="n">
        <v>27.49</v>
      </c>
      <c r="O389" s="9">
        <f>K389*L389</f>
        <v/>
      </c>
      <c r="P389" s="9">
        <f>O389*M389</f>
        <v/>
      </c>
      <c r="Q389" s="9">
        <f>O389-P389</f>
        <v/>
      </c>
      <c r="R389" s="9">
        <f>K389*N389</f>
        <v/>
      </c>
      <c r="S389" s="9">
        <f>Q389-R389</f>
        <v/>
      </c>
      <c r="T389" s="10">
        <f>IFERROR(S389/Q389, 0)</f>
        <v/>
      </c>
    </row>
    <row r="390">
      <c r="A390" s="11" t="inlineStr">
        <is>
          <t>ORD-2024-1239</t>
        </is>
      </c>
      <c r="B390" s="11" t="inlineStr">
        <is>
          <t>2024-06-10</t>
        </is>
      </c>
      <c r="C390" s="11" t="inlineStr">
        <is>
          <t>FUR-DSK-004</t>
        </is>
      </c>
      <c r="D390" s="7" t="inlineStr">
        <is>
          <t>Metro Compact Corner Workstation</t>
        </is>
      </c>
      <c r="E390" s="7" t="inlineStr">
        <is>
          <t>Furniture</t>
        </is>
      </c>
      <c r="F390" s="7" t="inlineStr">
        <is>
          <t>Desks &amp; Workstations</t>
        </is>
      </c>
      <c r="G390" s="7" t="inlineStr">
        <is>
          <t>West</t>
        </is>
      </c>
      <c r="H390" s="7" t="inlineStr">
        <is>
          <t>Oregon</t>
        </is>
      </c>
      <c r="I390" s="7" t="inlineStr">
        <is>
          <t>Direct Sales</t>
        </is>
      </c>
      <c r="J390" s="7" t="inlineStr">
        <is>
          <t>Consumer</t>
        </is>
      </c>
      <c r="K390" s="12" t="n">
        <v>4</v>
      </c>
      <c r="L390" s="9" t="n">
        <v>329.99</v>
      </c>
      <c r="M390" s="10" t="n">
        <v>0</v>
      </c>
      <c r="N390" s="9" t="n">
        <v>250.79</v>
      </c>
      <c r="O390" s="9">
        <f>K390*L390</f>
        <v/>
      </c>
      <c r="P390" s="9">
        <f>O390*M390</f>
        <v/>
      </c>
      <c r="Q390" s="9">
        <f>O390-P390</f>
        <v/>
      </c>
      <c r="R390" s="9">
        <f>K390*N390</f>
        <v/>
      </c>
      <c r="S390" s="9">
        <f>Q390-R390</f>
        <v/>
      </c>
      <c r="T390" s="10">
        <f>IFERROR(S390/Q390, 0)</f>
        <v/>
      </c>
    </row>
    <row r="391">
      <c r="A391" s="11" t="inlineStr">
        <is>
          <t>ORD-2024-1669</t>
        </is>
      </c>
      <c r="B391" s="11" t="inlineStr">
        <is>
          <t>2024-06-11</t>
        </is>
      </c>
      <c r="C391" s="11" t="inlineStr">
        <is>
          <t>OFF-ART-006</t>
        </is>
      </c>
      <c r="D391" s="7" t="inlineStr">
        <is>
          <t>Professional Presentation Dry Erase Board</t>
        </is>
      </c>
      <c r="E391" s="7" t="inlineStr">
        <is>
          <t>Office Supplies</t>
        </is>
      </c>
      <c r="F391" s="7" t="inlineStr">
        <is>
          <t>Presentation &amp; Art</t>
        </is>
      </c>
      <c r="G391" s="7" t="inlineStr">
        <is>
          <t>East</t>
        </is>
      </c>
      <c r="H391" s="7" t="inlineStr">
        <is>
          <t>New Jersey</t>
        </is>
      </c>
      <c r="I391" s="7" t="inlineStr">
        <is>
          <t>Online</t>
        </is>
      </c>
      <c r="J391" s="7" t="inlineStr">
        <is>
          <t>Corporate</t>
        </is>
      </c>
      <c r="K391" s="12" t="n">
        <v>2</v>
      </c>
      <c r="L391" s="9" t="n">
        <v>89.98999999999999</v>
      </c>
      <c r="M391" s="10" t="n">
        <v>0</v>
      </c>
      <c r="N391" s="9" t="n">
        <v>53.99</v>
      </c>
      <c r="O391" s="9">
        <f>K391*L391</f>
        <v/>
      </c>
      <c r="P391" s="9">
        <f>O391*M391</f>
        <v/>
      </c>
      <c r="Q391" s="9">
        <f>O391-P391</f>
        <v/>
      </c>
      <c r="R391" s="9">
        <f>K391*N391</f>
        <v/>
      </c>
      <c r="S391" s="9">
        <f>Q391-R391</f>
        <v/>
      </c>
      <c r="T391" s="10">
        <f>IFERROR(S391/Q391, 0)</f>
        <v/>
      </c>
    </row>
    <row r="392">
      <c r="A392" s="11" t="inlineStr">
        <is>
          <t>ORD-2024-1669</t>
        </is>
      </c>
      <c r="B392" s="11" t="inlineStr">
        <is>
          <t>2024-06-11</t>
        </is>
      </c>
      <c r="C392" s="11" t="inlineStr">
        <is>
          <t>FUR-DSK-004</t>
        </is>
      </c>
      <c r="D392" s="7" t="inlineStr">
        <is>
          <t>Metro Compact Corner Workstation</t>
        </is>
      </c>
      <c r="E392" s="7" t="inlineStr">
        <is>
          <t>Furniture</t>
        </is>
      </c>
      <c r="F392" s="7" t="inlineStr">
        <is>
          <t>Desks &amp; Workstations</t>
        </is>
      </c>
      <c r="G392" s="7" t="inlineStr">
        <is>
          <t>East</t>
        </is>
      </c>
      <c r="H392" s="7" t="inlineStr">
        <is>
          <t>New Jersey</t>
        </is>
      </c>
      <c r="I392" s="7" t="inlineStr">
        <is>
          <t>Online</t>
        </is>
      </c>
      <c r="J392" s="7" t="inlineStr">
        <is>
          <t>Corporate</t>
        </is>
      </c>
      <c r="K392" s="12" t="n">
        <v>2</v>
      </c>
      <c r="L392" s="9" t="n">
        <v>329.99</v>
      </c>
      <c r="M392" s="10" t="n">
        <v>0</v>
      </c>
      <c r="N392" s="9" t="n">
        <v>250.79</v>
      </c>
      <c r="O392" s="9">
        <f>K392*L392</f>
        <v/>
      </c>
      <c r="P392" s="9">
        <f>O392*M392</f>
        <v/>
      </c>
      <c r="Q392" s="9">
        <f>O392-P392</f>
        <v/>
      </c>
      <c r="R392" s="9">
        <f>K392*N392</f>
        <v/>
      </c>
      <c r="S392" s="9">
        <f>Q392-R392</f>
        <v/>
      </c>
      <c r="T392" s="10">
        <f>IFERROR(S392/Q392, 0)</f>
        <v/>
      </c>
    </row>
    <row r="393">
      <c r="A393" s="11" t="inlineStr">
        <is>
          <t>ORD-2024-1669</t>
        </is>
      </c>
      <c r="B393" s="11" t="inlineStr">
        <is>
          <t>2024-06-11</t>
        </is>
      </c>
      <c r="C393" s="11" t="inlineStr">
        <is>
          <t>OFF-STR-002</t>
        </is>
      </c>
      <c r="D393" s="7" t="inlineStr">
        <is>
          <t>Stackable Heavy-Duty Storage Bins (4-Pk)</t>
        </is>
      </c>
      <c r="E393" s="7" t="inlineStr">
        <is>
          <t>Office Supplies</t>
        </is>
      </c>
      <c r="F393" s="7" t="inlineStr">
        <is>
          <t>Storage &amp; Organizers</t>
        </is>
      </c>
      <c r="G393" s="7" t="inlineStr">
        <is>
          <t>East</t>
        </is>
      </c>
      <c r="H393" s="7" t="inlineStr">
        <is>
          <t>New Jersey</t>
        </is>
      </c>
      <c r="I393" s="7" t="inlineStr">
        <is>
          <t>Online</t>
        </is>
      </c>
      <c r="J393" s="7" t="inlineStr">
        <is>
          <t>Corporate</t>
        </is>
      </c>
      <c r="K393" s="12" t="n">
        <v>3</v>
      </c>
      <c r="L393" s="9" t="n">
        <v>44.99</v>
      </c>
      <c r="M393" s="10" t="n">
        <v>0</v>
      </c>
      <c r="N393" s="9" t="n">
        <v>24.74</v>
      </c>
      <c r="O393" s="9">
        <f>K393*L393</f>
        <v/>
      </c>
      <c r="P393" s="9">
        <f>O393*M393</f>
        <v/>
      </c>
      <c r="Q393" s="9">
        <f>O393-P393</f>
        <v/>
      </c>
      <c r="R393" s="9">
        <f>K393*N393</f>
        <v/>
      </c>
      <c r="S393" s="9">
        <f>Q393-R393</f>
        <v/>
      </c>
      <c r="T393" s="10">
        <f>IFERROR(S393/Q393, 0)</f>
        <v/>
      </c>
    </row>
    <row r="394">
      <c r="A394" s="11" t="inlineStr">
        <is>
          <t>ORD-2024-1669</t>
        </is>
      </c>
      <c r="B394" s="11" t="inlineStr">
        <is>
          <t>2024-06-11</t>
        </is>
      </c>
      <c r="C394" s="11" t="inlineStr">
        <is>
          <t>TEC-ACC-007</t>
        </is>
      </c>
      <c r="D394" s="7" t="inlineStr">
        <is>
          <t>ErgoMechanical Wireless Keyboard</t>
        </is>
      </c>
      <c r="E394" s="7" t="inlineStr">
        <is>
          <t>Technology</t>
        </is>
      </c>
      <c r="F394" s="7" t="inlineStr">
        <is>
          <t>Audio &amp; Accessories</t>
        </is>
      </c>
      <c r="G394" s="7" t="inlineStr">
        <is>
          <t>East</t>
        </is>
      </c>
      <c r="H394" s="7" t="inlineStr">
        <is>
          <t>New Jersey</t>
        </is>
      </c>
      <c r="I394" s="7" t="inlineStr">
        <is>
          <t>Online</t>
        </is>
      </c>
      <c r="J394" s="7" t="inlineStr">
        <is>
          <t>Corporate</t>
        </is>
      </c>
      <c r="K394" s="12" t="n">
        <v>8</v>
      </c>
      <c r="L394" s="9" t="n">
        <v>109.99</v>
      </c>
      <c r="M394" s="10" t="n">
        <v>0</v>
      </c>
      <c r="N394" s="9" t="n">
        <v>65.98999999999999</v>
      </c>
      <c r="O394" s="9">
        <f>K394*L394</f>
        <v/>
      </c>
      <c r="P394" s="9">
        <f>O394*M394</f>
        <v/>
      </c>
      <c r="Q394" s="9">
        <f>O394-P394</f>
        <v/>
      </c>
      <c r="R394" s="9">
        <f>K394*N394</f>
        <v/>
      </c>
      <c r="S394" s="9">
        <f>Q394-R394</f>
        <v/>
      </c>
      <c r="T394" s="10">
        <f>IFERROR(S394/Q394, 0)</f>
        <v/>
      </c>
    </row>
    <row r="395">
      <c r="A395" s="11" t="inlineStr">
        <is>
          <t>ORD-2024-1412</t>
        </is>
      </c>
      <c r="B395" s="11" t="inlineStr">
        <is>
          <t>2024-06-12</t>
        </is>
      </c>
      <c r="C395" s="11" t="inlineStr">
        <is>
          <t>TEC-LAP-001</t>
        </is>
      </c>
      <c r="D395" s="7" t="inlineStr">
        <is>
          <t>ProBook Elite 15.6"</t>
        </is>
      </c>
      <c r="E395" s="7" t="inlineStr">
        <is>
          <t>Technology</t>
        </is>
      </c>
      <c r="F395" s="7" t="inlineStr">
        <is>
          <t>Laptops</t>
        </is>
      </c>
      <c r="G395" s="7" t="inlineStr">
        <is>
          <t>South</t>
        </is>
      </c>
      <c r="H395" s="7" t="inlineStr">
        <is>
          <t>Georgia</t>
        </is>
      </c>
      <c r="I395" s="7" t="inlineStr">
        <is>
          <t>Online</t>
        </is>
      </c>
      <c r="J395" s="7" t="inlineStr">
        <is>
          <t>Corporate</t>
        </is>
      </c>
      <c r="K395" s="12" t="n">
        <v>3</v>
      </c>
      <c r="L395" s="9" t="n">
        <v>1199.99</v>
      </c>
      <c r="M395" s="10" t="n">
        <v>0</v>
      </c>
      <c r="N395" s="9" t="n">
        <v>863.99</v>
      </c>
      <c r="O395" s="9">
        <f>K395*L395</f>
        <v/>
      </c>
      <c r="P395" s="9">
        <f>O395*M395</f>
        <v/>
      </c>
      <c r="Q395" s="9">
        <f>O395-P395</f>
        <v/>
      </c>
      <c r="R395" s="9">
        <f>K395*N395</f>
        <v/>
      </c>
      <c r="S395" s="9">
        <f>Q395-R395</f>
        <v/>
      </c>
      <c r="T395" s="10">
        <f>IFERROR(S395/Q395, 0)</f>
        <v/>
      </c>
    </row>
    <row r="396">
      <c r="A396" s="11" t="inlineStr">
        <is>
          <t>ORD-2024-1511</t>
        </is>
      </c>
      <c r="B396" s="11" t="inlineStr">
        <is>
          <t>2024-06-13</t>
        </is>
      </c>
      <c r="C396" s="11" t="inlineStr">
        <is>
          <t>OFF-STR-001</t>
        </is>
      </c>
      <c r="D396" s="7" t="inlineStr">
        <is>
          <t>SteelLock 3-Drawer File Cabinet</t>
        </is>
      </c>
      <c r="E396" s="7" t="inlineStr">
        <is>
          <t>Office Supplies</t>
        </is>
      </c>
      <c r="F396" s="7" t="inlineStr">
        <is>
          <t>Storage &amp; Organizers</t>
        </is>
      </c>
      <c r="G396" s="7" t="inlineStr">
        <is>
          <t>West</t>
        </is>
      </c>
      <c r="H396" s="7" t="inlineStr">
        <is>
          <t>Washington</t>
        </is>
      </c>
      <c r="I396" s="7" t="inlineStr">
        <is>
          <t>Retail Partner</t>
        </is>
      </c>
      <c r="J396" s="7" t="inlineStr">
        <is>
          <t>Consumer</t>
        </is>
      </c>
      <c r="K396" s="12" t="n">
        <v>3</v>
      </c>
      <c r="L396" s="9" t="n">
        <v>169.99</v>
      </c>
      <c r="M396" s="10" t="n">
        <v>0.1</v>
      </c>
      <c r="N396" s="9" t="n">
        <v>115.59</v>
      </c>
      <c r="O396" s="9">
        <f>K396*L396</f>
        <v/>
      </c>
      <c r="P396" s="9">
        <f>O396*M396</f>
        <v/>
      </c>
      <c r="Q396" s="9">
        <f>O396-P396</f>
        <v/>
      </c>
      <c r="R396" s="9">
        <f>K396*N396</f>
        <v/>
      </c>
      <c r="S396" s="9">
        <f>Q396-R396</f>
        <v/>
      </c>
      <c r="T396" s="10">
        <f>IFERROR(S396/Q396, 0)</f>
        <v/>
      </c>
    </row>
    <row r="397">
      <c r="A397" s="11" t="inlineStr">
        <is>
          <t>ORD-2024-1556</t>
        </is>
      </c>
      <c r="B397" s="11" t="inlineStr">
        <is>
          <t>2024-06-13</t>
        </is>
      </c>
      <c r="C397" s="11" t="inlineStr">
        <is>
          <t>FUR-CHA-001</t>
        </is>
      </c>
      <c r="D397" s="7" t="inlineStr">
        <is>
          <t>ErgoFlex Executive Mesh Chair</t>
        </is>
      </c>
      <c r="E397" s="7" t="inlineStr">
        <is>
          <t>Furniture</t>
        </is>
      </c>
      <c r="F397" s="7" t="inlineStr">
        <is>
          <t>Chairs</t>
        </is>
      </c>
      <c r="G397" s="7" t="inlineStr">
        <is>
          <t>Central</t>
        </is>
      </c>
      <c r="H397" s="7" t="inlineStr">
        <is>
          <t>Texas</t>
        </is>
      </c>
      <c r="I397" s="7" t="inlineStr">
        <is>
          <t>Online</t>
        </is>
      </c>
      <c r="J397" s="7" t="inlineStr">
        <is>
          <t>Consumer</t>
        </is>
      </c>
      <c r="K397" s="12" t="n">
        <v>2</v>
      </c>
      <c r="L397" s="9" t="n">
        <v>389.99</v>
      </c>
      <c r="M397" s="10" t="n">
        <v>0.05</v>
      </c>
      <c r="N397" s="9" t="n">
        <v>331.49</v>
      </c>
      <c r="O397" s="9">
        <f>K397*L397</f>
        <v/>
      </c>
      <c r="P397" s="9">
        <f>O397*M397</f>
        <v/>
      </c>
      <c r="Q397" s="9">
        <f>O397-P397</f>
        <v/>
      </c>
      <c r="R397" s="9">
        <f>K397*N397</f>
        <v/>
      </c>
      <c r="S397" s="9">
        <f>Q397-R397</f>
        <v/>
      </c>
      <c r="T397" s="10">
        <f>IFERROR(S397/Q397, 0)</f>
        <v/>
      </c>
    </row>
    <row r="398">
      <c r="A398" s="11" t="inlineStr">
        <is>
          <t>ORD-2024-1556</t>
        </is>
      </c>
      <c r="B398" s="11" t="inlineStr">
        <is>
          <t>2024-06-13</t>
        </is>
      </c>
      <c r="C398" s="11" t="inlineStr">
        <is>
          <t>FUR-DSK-003</t>
        </is>
      </c>
      <c r="D398" s="7" t="inlineStr">
        <is>
          <t>ApexMotor Dual-Motor Standing Desk</t>
        </is>
      </c>
      <c r="E398" s="7" t="inlineStr">
        <is>
          <t>Furniture</t>
        </is>
      </c>
      <c r="F398" s="7" t="inlineStr">
        <is>
          <t>Desks &amp; Workstations</t>
        </is>
      </c>
      <c r="G398" s="7" t="inlineStr">
        <is>
          <t>Central</t>
        </is>
      </c>
      <c r="H398" s="7" t="inlineStr">
        <is>
          <t>Texas</t>
        </is>
      </c>
      <c r="I398" s="7" t="inlineStr">
        <is>
          <t>Online</t>
        </is>
      </c>
      <c r="J398" s="7" t="inlineStr">
        <is>
          <t>Consumer</t>
        </is>
      </c>
      <c r="K398" s="12" t="n">
        <v>1</v>
      </c>
      <c r="L398" s="9" t="n">
        <v>549.99</v>
      </c>
      <c r="M398" s="10" t="n">
        <v>0</v>
      </c>
      <c r="N398" s="9" t="n">
        <v>439.99</v>
      </c>
      <c r="O398" s="9">
        <f>K398*L398</f>
        <v/>
      </c>
      <c r="P398" s="9">
        <f>O398*M398</f>
        <v/>
      </c>
      <c r="Q398" s="9">
        <f>O398-P398</f>
        <v/>
      </c>
      <c r="R398" s="9">
        <f>K398*N398</f>
        <v/>
      </c>
      <c r="S398" s="9">
        <f>Q398-R398</f>
        <v/>
      </c>
      <c r="T398" s="10">
        <f>IFERROR(S398/Q398, 0)</f>
        <v/>
      </c>
    </row>
    <row r="399">
      <c r="A399" s="11" t="inlineStr">
        <is>
          <t>ORD-2024-1031</t>
        </is>
      </c>
      <c r="B399" s="11" t="inlineStr">
        <is>
          <t>2024-06-14</t>
        </is>
      </c>
      <c r="C399" s="11" t="inlineStr">
        <is>
          <t>OFF-STR-001</t>
        </is>
      </c>
      <c r="D399" s="7" t="inlineStr">
        <is>
          <t>SteelLock 3-Drawer File Cabinet</t>
        </is>
      </c>
      <c r="E399" s="7" t="inlineStr">
        <is>
          <t>Office Supplies</t>
        </is>
      </c>
      <c r="F399" s="7" t="inlineStr">
        <is>
          <t>Storage &amp; Organizers</t>
        </is>
      </c>
      <c r="G399" s="7" t="inlineStr">
        <is>
          <t>Central</t>
        </is>
      </c>
      <c r="H399" s="7" t="inlineStr">
        <is>
          <t>Texas</t>
        </is>
      </c>
      <c r="I399" s="7" t="inlineStr">
        <is>
          <t>Wholesale</t>
        </is>
      </c>
      <c r="J399" s="7" t="inlineStr">
        <is>
          <t>Home Office</t>
        </is>
      </c>
      <c r="K399" s="12" t="n">
        <v>5</v>
      </c>
      <c r="L399" s="9" t="n">
        <v>169.99</v>
      </c>
      <c r="M399" s="10" t="n">
        <v>0.15</v>
      </c>
      <c r="N399" s="9" t="n">
        <v>115.59</v>
      </c>
      <c r="O399" s="9">
        <f>K399*L399</f>
        <v/>
      </c>
      <c r="P399" s="9">
        <f>O399*M399</f>
        <v/>
      </c>
      <c r="Q399" s="9">
        <f>O399-P399</f>
        <v/>
      </c>
      <c r="R399" s="9">
        <f>K399*N399</f>
        <v/>
      </c>
      <c r="S399" s="9">
        <f>Q399-R399</f>
        <v/>
      </c>
      <c r="T399" s="10">
        <f>IFERROR(S399/Q399, 0)</f>
        <v/>
      </c>
    </row>
    <row r="400">
      <c r="A400" s="11" t="inlineStr">
        <is>
          <t>ORD-2024-1031</t>
        </is>
      </c>
      <c r="B400" s="11" t="inlineStr">
        <is>
          <t>2024-06-14</t>
        </is>
      </c>
      <c r="C400" s="11" t="inlineStr">
        <is>
          <t>FUR-CHA-001</t>
        </is>
      </c>
      <c r="D400" s="7" t="inlineStr">
        <is>
          <t>ErgoFlex Executive Mesh Chair</t>
        </is>
      </c>
      <c r="E400" s="7" t="inlineStr">
        <is>
          <t>Furniture</t>
        </is>
      </c>
      <c r="F400" s="7" t="inlineStr">
        <is>
          <t>Chairs</t>
        </is>
      </c>
      <c r="G400" s="7" t="inlineStr">
        <is>
          <t>Central</t>
        </is>
      </c>
      <c r="H400" s="7" t="inlineStr">
        <is>
          <t>Texas</t>
        </is>
      </c>
      <c r="I400" s="7" t="inlineStr">
        <is>
          <t>Wholesale</t>
        </is>
      </c>
      <c r="J400" s="7" t="inlineStr">
        <is>
          <t>Home Office</t>
        </is>
      </c>
      <c r="K400" s="12" t="n">
        <v>13</v>
      </c>
      <c r="L400" s="9" t="n">
        <v>389.99</v>
      </c>
      <c r="M400" s="10" t="n">
        <v>0.05</v>
      </c>
      <c r="N400" s="9" t="n">
        <v>331.49</v>
      </c>
      <c r="O400" s="9">
        <f>K400*L400</f>
        <v/>
      </c>
      <c r="P400" s="9">
        <f>O400*M400</f>
        <v/>
      </c>
      <c r="Q400" s="9">
        <f>O400-P400</f>
        <v/>
      </c>
      <c r="R400" s="9">
        <f>K400*N400</f>
        <v/>
      </c>
      <c r="S400" s="9">
        <f>Q400-R400</f>
        <v/>
      </c>
      <c r="T400" s="10">
        <f>IFERROR(S400/Q400, 0)</f>
        <v/>
      </c>
    </row>
    <row r="401">
      <c r="A401" s="11" t="inlineStr">
        <is>
          <t>ORD-2024-1216</t>
        </is>
      </c>
      <c r="B401" s="11" t="inlineStr">
        <is>
          <t>2024-06-14</t>
        </is>
      </c>
      <c r="C401" s="11" t="inlineStr">
        <is>
          <t>OFF-STR-002</t>
        </is>
      </c>
      <c r="D401" s="7" t="inlineStr">
        <is>
          <t>Stackable Heavy-Duty Storage Bins (4-Pk)</t>
        </is>
      </c>
      <c r="E401" s="7" t="inlineStr">
        <is>
          <t>Office Supplies</t>
        </is>
      </c>
      <c r="F401" s="7" t="inlineStr">
        <is>
          <t>Storage &amp; Organizers</t>
        </is>
      </c>
      <c r="G401" s="7" t="inlineStr">
        <is>
          <t>East</t>
        </is>
      </c>
      <c r="H401" s="7" t="inlineStr">
        <is>
          <t>New Jersey</t>
        </is>
      </c>
      <c r="I401" s="7" t="inlineStr">
        <is>
          <t>Online</t>
        </is>
      </c>
      <c r="J401" s="7" t="inlineStr">
        <is>
          <t>Consumer</t>
        </is>
      </c>
      <c r="K401" s="12" t="n">
        <v>2</v>
      </c>
      <c r="L401" s="9" t="n">
        <v>44.99</v>
      </c>
      <c r="M401" s="10" t="n">
        <v>0</v>
      </c>
      <c r="N401" s="9" t="n">
        <v>24.74</v>
      </c>
      <c r="O401" s="9">
        <f>K401*L401</f>
        <v/>
      </c>
      <c r="P401" s="9">
        <f>O401*M401</f>
        <v/>
      </c>
      <c r="Q401" s="9">
        <f>O401-P401</f>
        <v/>
      </c>
      <c r="R401" s="9">
        <f>K401*N401</f>
        <v/>
      </c>
      <c r="S401" s="9">
        <f>Q401-R401</f>
        <v/>
      </c>
      <c r="T401" s="10">
        <f>IFERROR(S401/Q401, 0)</f>
        <v/>
      </c>
    </row>
    <row r="402">
      <c r="A402" s="11" t="inlineStr">
        <is>
          <t>ORD-2024-1216</t>
        </is>
      </c>
      <c r="B402" s="11" t="inlineStr">
        <is>
          <t>2024-06-14</t>
        </is>
      </c>
      <c r="C402" s="11" t="inlineStr">
        <is>
          <t>OFF-STR-001</t>
        </is>
      </c>
      <c r="D402" s="7" t="inlineStr">
        <is>
          <t>SteelLock 3-Drawer File Cabinet</t>
        </is>
      </c>
      <c r="E402" s="7" t="inlineStr">
        <is>
          <t>Office Supplies</t>
        </is>
      </c>
      <c r="F402" s="7" t="inlineStr">
        <is>
          <t>Storage &amp; Organizers</t>
        </is>
      </c>
      <c r="G402" s="7" t="inlineStr">
        <is>
          <t>East</t>
        </is>
      </c>
      <c r="H402" s="7" t="inlineStr">
        <is>
          <t>New Jersey</t>
        </is>
      </c>
      <c r="I402" s="7" t="inlineStr">
        <is>
          <t>Online</t>
        </is>
      </c>
      <c r="J402" s="7" t="inlineStr">
        <is>
          <t>Consumer</t>
        </is>
      </c>
      <c r="K402" s="12" t="n">
        <v>2</v>
      </c>
      <c r="L402" s="9" t="n">
        <v>169.99</v>
      </c>
      <c r="M402" s="10" t="n">
        <v>0.05</v>
      </c>
      <c r="N402" s="9" t="n">
        <v>115.59</v>
      </c>
      <c r="O402" s="9">
        <f>K402*L402</f>
        <v/>
      </c>
      <c r="P402" s="9">
        <f>O402*M402</f>
        <v/>
      </c>
      <c r="Q402" s="9">
        <f>O402-P402</f>
        <v/>
      </c>
      <c r="R402" s="9">
        <f>K402*N402</f>
        <v/>
      </c>
      <c r="S402" s="9">
        <f>Q402-R402</f>
        <v/>
      </c>
      <c r="T402" s="10">
        <f>IFERROR(S402/Q402, 0)</f>
        <v/>
      </c>
    </row>
    <row r="403">
      <c r="A403" s="11" t="inlineStr">
        <is>
          <t>ORD-2024-1216</t>
        </is>
      </c>
      <c r="B403" s="11" t="inlineStr">
        <is>
          <t>2024-06-14</t>
        </is>
      </c>
      <c r="C403" s="11" t="inlineStr">
        <is>
          <t>FUR-BOK-005</t>
        </is>
      </c>
      <c r="D403" s="7" t="inlineStr">
        <is>
          <t>Modular 5-Tier Steel Bookcase</t>
        </is>
      </c>
      <c r="E403" s="7" t="inlineStr">
        <is>
          <t>Furniture</t>
        </is>
      </c>
      <c r="F403" s="7" t="inlineStr">
        <is>
          <t>Bookcases</t>
        </is>
      </c>
      <c r="G403" s="7" t="inlineStr">
        <is>
          <t>East</t>
        </is>
      </c>
      <c r="H403" s="7" t="inlineStr">
        <is>
          <t>New Jersey</t>
        </is>
      </c>
      <c r="I403" s="7" t="inlineStr">
        <is>
          <t>Online</t>
        </is>
      </c>
      <c r="J403" s="7" t="inlineStr">
        <is>
          <t>Consumer</t>
        </is>
      </c>
      <c r="K403" s="12" t="n">
        <v>2</v>
      </c>
      <c r="L403" s="9" t="n">
        <v>189.99</v>
      </c>
      <c r="M403" s="10" t="n">
        <v>0</v>
      </c>
      <c r="N403" s="9" t="n">
        <v>142.49</v>
      </c>
      <c r="O403" s="9">
        <f>K403*L403</f>
        <v/>
      </c>
      <c r="P403" s="9">
        <f>O403*M403</f>
        <v/>
      </c>
      <c r="Q403" s="9">
        <f>O403-P403</f>
        <v/>
      </c>
      <c r="R403" s="9">
        <f>K403*N403</f>
        <v/>
      </c>
      <c r="S403" s="9">
        <f>Q403-R403</f>
        <v/>
      </c>
      <c r="T403" s="10">
        <f>IFERROR(S403/Q403, 0)</f>
        <v/>
      </c>
    </row>
    <row r="404">
      <c r="A404" s="11" t="inlineStr">
        <is>
          <t>ORD-2024-1069</t>
        </is>
      </c>
      <c r="B404" s="11" t="inlineStr">
        <is>
          <t>2024-06-15</t>
        </is>
      </c>
      <c r="C404" s="11" t="inlineStr">
        <is>
          <t>TEC-TAB-003</t>
        </is>
      </c>
      <c r="D404" s="7" t="inlineStr">
        <is>
          <t>VisionPad Pro 11"</t>
        </is>
      </c>
      <c r="E404" s="7" t="inlineStr">
        <is>
          <t>Technology</t>
        </is>
      </c>
      <c r="F404" s="7" t="inlineStr">
        <is>
          <t>Phones &amp; Tablets</t>
        </is>
      </c>
      <c r="G404" s="7" t="inlineStr">
        <is>
          <t>East</t>
        </is>
      </c>
      <c r="H404" s="7" t="inlineStr">
        <is>
          <t>Massachusetts</t>
        </is>
      </c>
      <c r="I404" s="7" t="inlineStr">
        <is>
          <t>Retail Partner</t>
        </is>
      </c>
      <c r="J404" s="7" t="inlineStr">
        <is>
          <t>Home Office</t>
        </is>
      </c>
      <c r="K404" s="12" t="n">
        <v>1</v>
      </c>
      <c r="L404" s="9" t="n">
        <v>649.99</v>
      </c>
      <c r="M404" s="10" t="n">
        <v>0.05</v>
      </c>
      <c r="N404" s="9" t="n">
        <v>487.49</v>
      </c>
      <c r="O404" s="9">
        <f>K404*L404</f>
        <v/>
      </c>
      <c r="P404" s="9">
        <f>O404*M404</f>
        <v/>
      </c>
      <c r="Q404" s="9">
        <f>O404-P404</f>
        <v/>
      </c>
      <c r="R404" s="9">
        <f>K404*N404</f>
        <v/>
      </c>
      <c r="S404" s="9">
        <f>Q404-R404</f>
        <v/>
      </c>
      <c r="T404" s="10">
        <f>IFERROR(S404/Q404, 0)</f>
        <v/>
      </c>
    </row>
    <row r="405">
      <c r="A405" s="11" t="inlineStr">
        <is>
          <t>ORD-2024-1069</t>
        </is>
      </c>
      <c r="B405" s="11" t="inlineStr">
        <is>
          <t>2024-06-15</t>
        </is>
      </c>
      <c r="C405" s="11" t="inlineStr">
        <is>
          <t>OFF-STR-001</t>
        </is>
      </c>
      <c r="D405" s="7" t="inlineStr">
        <is>
          <t>SteelLock 3-Drawer File Cabinet</t>
        </is>
      </c>
      <c r="E405" s="7" t="inlineStr">
        <is>
          <t>Office Supplies</t>
        </is>
      </c>
      <c r="F405" s="7" t="inlineStr">
        <is>
          <t>Storage &amp; Organizers</t>
        </is>
      </c>
      <c r="G405" s="7" t="inlineStr">
        <is>
          <t>East</t>
        </is>
      </c>
      <c r="H405" s="7" t="inlineStr">
        <is>
          <t>Massachusetts</t>
        </is>
      </c>
      <c r="I405" s="7" t="inlineStr">
        <is>
          <t>Retail Partner</t>
        </is>
      </c>
      <c r="J405" s="7" t="inlineStr">
        <is>
          <t>Home Office</t>
        </is>
      </c>
      <c r="K405" s="12" t="n">
        <v>1</v>
      </c>
      <c r="L405" s="9" t="n">
        <v>169.99</v>
      </c>
      <c r="M405" s="10" t="n">
        <v>0</v>
      </c>
      <c r="N405" s="9" t="n">
        <v>115.59</v>
      </c>
      <c r="O405" s="9">
        <f>K405*L405</f>
        <v/>
      </c>
      <c r="P405" s="9">
        <f>O405*M405</f>
        <v/>
      </c>
      <c r="Q405" s="9">
        <f>O405-P405</f>
        <v/>
      </c>
      <c r="R405" s="9">
        <f>K405*N405</f>
        <v/>
      </c>
      <c r="S405" s="9">
        <f>Q405-R405</f>
        <v/>
      </c>
      <c r="T405" s="10">
        <f>IFERROR(S405/Q405, 0)</f>
        <v/>
      </c>
    </row>
    <row r="406">
      <c r="A406" s="11" t="inlineStr">
        <is>
          <t>ORD-2024-1069</t>
        </is>
      </c>
      <c r="B406" s="11" t="inlineStr">
        <is>
          <t>2024-06-15</t>
        </is>
      </c>
      <c r="C406" s="11" t="inlineStr">
        <is>
          <t>TEC-TAB-003</t>
        </is>
      </c>
      <c r="D406" s="7" t="inlineStr">
        <is>
          <t>VisionPad Pro 11"</t>
        </is>
      </c>
      <c r="E406" s="7" t="inlineStr">
        <is>
          <t>Technology</t>
        </is>
      </c>
      <c r="F406" s="7" t="inlineStr">
        <is>
          <t>Phones &amp; Tablets</t>
        </is>
      </c>
      <c r="G406" s="7" t="inlineStr">
        <is>
          <t>East</t>
        </is>
      </c>
      <c r="H406" s="7" t="inlineStr">
        <is>
          <t>Massachusetts</t>
        </is>
      </c>
      <c r="I406" s="7" t="inlineStr">
        <is>
          <t>Retail Partner</t>
        </is>
      </c>
      <c r="J406" s="7" t="inlineStr">
        <is>
          <t>Home Office</t>
        </is>
      </c>
      <c r="K406" s="12" t="n">
        <v>2</v>
      </c>
      <c r="L406" s="9" t="n">
        <v>649.99</v>
      </c>
      <c r="M406" s="10" t="n">
        <v>0</v>
      </c>
      <c r="N406" s="9" t="n">
        <v>487.49</v>
      </c>
      <c r="O406" s="9">
        <f>K406*L406</f>
        <v/>
      </c>
      <c r="P406" s="9">
        <f>O406*M406</f>
        <v/>
      </c>
      <c r="Q406" s="9">
        <f>O406-P406</f>
        <v/>
      </c>
      <c r="R406" s="9">
        <f>K406*N406</f>
        <v/>
      </c>
      <c r="S406" s="9">
        <f>Q406-R406</f>
        <v/>
      </c>
      <c r="T406" s="10">
        <f>IFERROR(S406/Q406, 0)</f>
        <v/>
      </c>
    </row>
    <row r="407">
      <c r="A407" s="11" t="inlineStr">
        <is>
          <t>ORD-2024-1069</t>
        </is>
      </c>
      <c r="B407" s="11" t="inlineStr">
        <is>
          <t>2024-06-15</t>
        </is>
      </c>
      <c r="C407" s="11" t="inlineStr">
        <is>
          <t>OFF-PAP-003</t>
        </is>
      </c>
      <c r="D407" s="7" t="inlineStr">
        <is>
          <t>UltraWhite Premium Multipurpose Paper (Case)</t>
        </is>
      </c>
      <c r="E407" s="7" t="inlineStr">
        <is>
          <t>Office Supplies</t>
        </is>
      </c>
      <c r="F407" s="7" t="inlineStr">
        <is>
          <t>Paper Products</t>
        </is>
      </c>
      <c r="G407" s="7" t="inlineStr">
        <is>
          <t>East</t>
        </is>
      </c>
      <c r="H407" s="7" t="inlineStr">
        <is>
          <t>Massachusetts</t>
        </is>
      </c>
      <c r="I407" s="7" t="inlineStr">
        <is>
          <t>Retail Partner</t>
        </is>
      </c>
      <c r="J407" s="7" t="inlineStr">
        <is>
          <t>Home Office</t>
        </is>
      </c>
      <c r="K407" s="12" t="n">
        <v>3</v>
      </c>
      <c r="L407" s="9" t="n">
        <v>54.99</v>
      </c>
      <c r="M407" s="10" t="n">
        <v>0.05</v>
      </c>
      <c r="N407" s="9" t="n">
        <v>31.89</v>
      </c>
      <c r="O407" s="9">
        <f>K407*L407</f>
        <v/>
      </c>
      <c r="P407" s="9">
        <f>O407*M407</f>
        <v/>
      </c>
      <c r="Q407" s="9">
        <f>O407-P407</f>
        <v/>
      </c>
      <c r="R407" s="9">
        <f>K407*N407</f>
        <v/>
      </c>
      <c r="S407" s="9">
        <f>Q407-R407</f>
        <v/>
      </c>
      <c r="T407" s="10">
        <f>IFERROR(S407/Q407, 0)</f>
        <v/>
      </c>
    </row>
    <row r="408">
      <c r="A408" s="11" t="inlineStr">
        <is>
          <t>ORD-2024-1369</t>
        </is>
      </c>
      <c r="B408" s="11" t="inlineStr">
        <is>
          <t>2024-06-15</t>
        </is>
      </c>
      <c r="C408" s="11" t="inlineStr">
        <is>
          <t>OFF-STR-001</t>
        </is>
      </c>
      <c r="D408" s="7" t="inlineStr">
        <is>
          <t>SteelLock 3-Drawer File Cabinet</t>
        </is>
      </c>
      <c r="E408" s="7" t="inlineStr">
        <is>
          <t>Office Supplies</t>
        </is>
      </c>
      <c r="F408" s="7" t="inlineStr">
        <is>
          <t>Storage &amp; Organizers</t>
        </is>
      </c>
      <c r="G408" s="7" t="inlineStr">
        <is>
          <t>East</t>
        </is>
      </c>
      <c r="H408" s="7" t="inlineStr">
        <is>
          <t>Massachusetts</t>
        </is>
      </c>
      <c r="I408" s="7" t="inlineStr">
        <is>
          <t>Online</t>
        </is>
      </c>
      <c r="J408" s="7" t="inlineStr">
        <is>
          <t>Corporate</t>
        </is>
      </c>
      <c r="K408" s="12" t="n">
        <v>3</v>
      </c>
      <c r="L408" s="9" t="n">
        <v>169.99</v>
      </c>
      <c r="M408" s="10" t="n">
        <v>0.05</v>
      </c>
      <c r="N408" s="9" t="n">
        <v>115.59</v>
      </c>
      <c r="O408" s="9">
        <f>K408*L408</f>
        <v/>
      </c>
      <c r="P408" s="9">
        <f>O408*M408</f>
        <v/>
      </c>
      <c r="Q408" s="9">
        <f>O408-P408</f>
        <v/>
      </c>
      <c r="R408" s="9">
        <f>K408*N408</f>
        <v/>
      </c>
      <c r="S408" s="9">
        <f>Q408-R408</f>
        <v/>
      </c>
      <c r="T408" s="10">
        <f>IFERROR(S408/Q408, 0)</f>
        <v/>
      </c>
    </row>
    <row r="409">
      <c r="A409" s="11" t="inlineStr">
        <is>
          <t>ORD-2024-1369</t>
        </is>
      </c>
      <c r="B409" s="11" t="inlineStr">
        <is>
          <t>2024-06-15</t>
        </is>
      </c>
      <c r="C409" s="11" t="inlineStr">
        <is>
          <t>OFF-PAP-004</t>
        </is>
      </c>
      <c r="D409" s="7" t="inlineStr">
        <is>
          <t>EcoRecycled Copy Paper (5 Reams)</t>
        </is>
      </c>
      <c r="E409" s="7" t="inlineStr">
        <is>
          <t>Office Supplies</t>
        </is>
      </c>
      <c r="F409" s="7" t="inlineStr">
        <is>
          <t>Paper Products</t>
        </is>
      </c>
      <c r="G409" s="7" t="inlineStr">
        <is>
          <t>East</t>
        </is>
      </c>
      <c r="H409" s="7" t="inlineStr">
        <is>
          <t>Massachusetts</t>
        </is>
      </c>
      <c r="I409" s="7" t="inlineStr">
        <is>
          <t>Online</t>
        </is>
      </c>
      <c r="J409" s="7" t="inlineStr">
        <is>
          <t>Corporate</t>
        </is>
      </c>
      <c r="K409" s="12" t="n">
        <v>3</v>
      </c>
      <c r="L409" s="9" t="n">
        <v>32.99</v>
      </c>
      <c r="M409" s="10" t="n">
        <v>0.1</v>
      </c>
      <c r="N409" s="9" t="n">
        <v>19.79</v>
      </c>
      <c r="O409" s="9">
        <f>K409*L409</f>
        <v/>
      </c>
      <c r="P409" s="9">
        <f>O409*M409</f>
        <v/>
      </c>
      <c r="Q409" s="9">
        <f>O409-P409</f>
        <v/>
      </c>
      <c r="R409" s="9">
        <f>K409*N409</f>
        <v/>
      </c>
      <c r="S409" s="9">
        <f>Q409-R409</f>
        <v/>
      </c>
      <c r="T409" s="10">
        <f>IFERROR(S409/Q409, 0)</f>
        <v/>
      </c>
    </row>
    <row r="410">
      <c r="A410" s="11" t="inlineStr">
        <is>
          <t>ORD-2024-1517</t>
        </is>
      </c>
      <c r="B410" s="11" t="inlineStr">
        <is>
          <t>2024-06-15</t>
        </is>
      </c>
      <c r="C410" s="11" t="inlineStr">
        <is>
          <t>FUR-LGT-006</t>
        </is>
      </c>
      <c r="D410" s="7" t="inlineStr">
        <is>
          <t>Architect LED Desk Task Lamp</t>
        </is>
      </c>
      <c r="E410" s="7" t="inlineStr">
        <is>
          <t>Furniture</t>
        </is>
      </c>
      <c r="F410" s="7" t="inlineStr">
        <is>
          <t>Lighting</t>
        </is>
      </c>
      <c r="G410" s="7" t="inlineStr">
        <is>
          <t>East</t>
        </is>
      </c>
      <c r="H410" s="7" t="inlineStr">
        <is>
          <t>Massachusetts</t>
        </is>
      </c>
      <c r="I410" s="7" t="inlineStr">
        <is>
          <t>Wholesale</t>
        </is>
      </c>
      <c r="J410" s="7" t="inlineStr">
        <is>
          <t>Consumer</t>
        </is>
      </c>
      <c r="K410" s="12" t="n">
        <v>13</v>
      </c>
      <c r="L410" s="9" t="n">
        <v>69.98999999999999</v>
      </c>
      <c r="M410" s="10" t="n">
        <v>0.1</v>
      </c>
      <c r="N410" s="9" t="n">
        <v>43.39</v>
      </c>
      <c r="O410" s="9">
        <f>K410*L410</f>
        <v/>
      </c>
      <c r="P410" s="9">
        <f>O410*M410</f>
        <v/>
      </c>
      <c r="Q410" s="9">
        <f>O410-P410</f>
        <v/>
      </c>
      <c r="R410" s="9">
        <f>K410*N410</f>
        <v/>
      </c>
      <c r="S410" s="9">
        <f>Q410-R410</f>
        <v/>
      </c>
      <c r="T410" s="10">
        <f>IFERROR(S410/Q410, 0)</f>
        <v/>
      </c>
    </row>
    <row r="411">
      <c r="A411" s="11" t="inlineStr">
        <is>
          <t>ORD-2024-1404</t>
        </is>
      </c>
      <c r="B411" s="11" t="inlineStr">
        <is>
          <t>2024-06-16</t>
        </is>
      </c>
      <c r="C411" s="11" t="inlineStr">
        <is>
          <t>FUR-DSK-004</t>
        </is>
      </c>
      <c r="D411" s="7" t="inlineStr">
        <is>
          <t>Metro Compact Corner Workstation</t>
        </is>
      </c>
      <c r="E411" s="7" t="inlineStr">
        <is>
          <t>Furniture</t>
        </is>
      </c>
      <c r="F411" s="7" t="inlineStr">
        <is>
          <t>Desks &amp; Workstations</t>
        </is>
      </c>
      <c r="G411" s="7" t="inlineStr">
        <is>
          <t>East</t>
        </is>
      </c>
      <c r="H411" s="7" t="inlineStr">
        <is>
          <t>New Jersey</t>
        </is>
      </c>
      <c r="I411" s="7" t="inlineStr">
        <is>
          <t>Online</t>
        </is>
      </c>
      <c r="J411" s="7" t="inlineStr">
        <is>
          <t>Corporate</t>
        </is>
      </c>
      <c r="K411" s="12" t="n">
        <v>8</v>
      </c>
      <c r="L411" s="9" t="n">
        <v>329.99</v>
      </c>
      <c r="M411" s="10" t="n">
        <v>0.05</v>
      </c>
      <c r="N411" s="9" t="n">
        <v>250.79</v>
      </c>
      <c r="O411" s="9">
        <f>K411*L411</f>
        <v/>
      </c>
      <c r="P411" s="9">
        <f>O411*M411</f>
        <v/>
      </c>
      <c r="Q411" s="9">
        <f>O411-P411</f>
        <v/>
      </c>
      <c r="R411" s="9">
        <f>K411*N411</f>
        <v/>
      </c>
      <c r="S411" s="9">
        <f>Q411-R411</f>
        <v/>
      </c>
      <c r="T411" s="10">
        <f>IFERROR(S411/Q411, 0)</f>
        <v/>
      </c>
    </row>
    <row r="412">
      <c r="A412" s="11" t="inlineStr">
        <is>
          <t>ORD-2024-1404</t>
        </is>
      </c>
      <c r="B412" s="11" t="inlineStr">
        <is>
          <t>2024-06-16</t>
        </is>
      </c>
      <c r="C412" s="11" t="inlineStr">
        <is>
          <t>OFF-PAP-003</t>
        </is>
      </c>
      <c r="D412" s="7" t="inlineStr">
        <is>
          <t>UltraWhite Premium Multipurpose Paper (Case)</t>
        </is>
      </c>
      <c r="E412" s="7" t="inlineStr">
        <is>
          <t>Office Supplies</t>
        </is>
      </c>
      <c r="F412" s="7" t="inlineStr">
        <is>
          <t>Paper Products</t>
        </is>
      </c>
      <c r="G412" s="7" t="inlineStr">
        <is>
          <t>East</t>
        </is>
      </c>
      <c r="H412" s="7" t="inlineStr">
        <is>
          <t>New Jersey</t>
        </is>
      </c>
      <c r="I412" s="7" t="inlineStr">
        <is>
          <t>Online</t>
        </is>
      </c>
      <c r="J412" s="7" t="inlineStr">
        <is>
          <t>Corporate</t>
        </is>
      </c>
      <c r="K412" s="12" t="n">
        <v>4</v>
      </c>
      <c r="L412" s="9" t="n">
        <v>54.99</v>
      </c>
      <c r="M412" s="10" t="n">
        <v>0</v>
      </c>
      <c r="N412" s="9" t="n">
        <v>31.89</v>
      </c>
      <c r="O412" s="9">
        <f>K412*L412</f>
        <v/>
      </c>
      <c r="P412" s="9">
        <f>O412*M412</f>
        <v/>
      </c>
      <c r="Q412" s="9">
        <f>O412-P412</f>
        <v/>
      </c>
      <c r="R412" s="9">
        <f>K412*N412</f>
        <v/>
      </c>
      <c r="S412" s="9">
        <f>Q412-R412</f>
        <v/>
      </c>
      <c r="T412" s="10">
        <f>IFERROR(S412/Q412, 0)</f>
        <v/>
      </c>
    </row>
    <row r="413">
      <c r="A413" s="11" t="inlineStr">
        <is>
          <t>ORD-2024-1404</t>
        </is>
      </c>
      <c r="B413" s="11" t="inlineStr">
        <is>
          <t>2024-06-16</t>
        </is>
      </c>
      <c r="C413" s="11" t="inlineStr">
        <is>
          <t>TEC-TAB-003</t>
        </is>
      </c>
      <c r="D413" s="7" t="inlineStr">
        <is>
          <t>VisionPad Pro 11"</t>
        </is>
      </c>
      <c r="E413" s="7" t="inlineStr">
        <is>
          <t>Technology</t>
        </is>
      </c>
      <c r="F413" s="7" t="inlineStr">
        <is>
          <t>Phones &amp; Tablets</t>
        </is>
      </c>
      <c r="G413" s="7" t="inlineStr">
        <is>
          <t>East</t>
        </is>
      </c>
      <c r="H413" s="7" t="inlineStr">
        <is>
          <t>New Jersey</t>
        </is>
      </c>
      <c r="I413" s="7" t="inlineStr">
        <is>
          <t>Online</t>
        </is>
      </c>
      <c r="J413" s="7" t="inlineStr">
        <is>
          <t>Corporate</t>
        </is>
      </c>
      <c r="K413" s="12" t="n">
        <v>7</v>
      </c>
      <c r="L413" s="9" t="n">
        <v>649.99</v>
      </c>
      <c r="M413" s="10" t="n">
        <v>0.05</v>
      </c>
      <c r="N413" s="9" t="n">
        <v>487.49</v>
      </c>
      <c r="O413" s="9">
        <f>K413*L413</f>
        <v/>
      </c>
      <c r="P413" s="9">
        <f>O413*M413</f>
        <v/>
      </c>
      <c r="Q413" s="9">
        <f>O413-P413</f>
        <v/>
      </c>
      <c r="R413" s="9">
        <f>K413*N413</f>
        <v/>
      </c>
      <c r="S413" s="9">
        <f>Q413-R413</f>
        <v/>
      </c>
      <c r="T413" s="10">
        <f>IFERROR(S413/Q413, 0)</f>
        <v/>
      </c>
    </row>
    <row r="414">
      <c r="A414" s="11" t="inlineStr">
        <is>
          <t>ORD-2024-1028</t>
        </is>
      </c>
      <c r="B414" s="11" t="inlineStr">
        <is>
          <t>2024-06-17</t>
        </is>
      </c>
      <c r="C414" s="11" t="inlineStr">
        <is>
          <t>OFF-PAP-004</t>
        </is>
      </c>
      <c r="D414" s="7" t="inlineStr">
        <is>
          <t>EcoRecycled Copy Paper (5 Reams)</t>
        </is>
      </c>
      <c r="E414" s="7" t="inlineStr">
        <is>
          <t>Office Supplies</t>
        </is>
      </c>
      <c r="F414" s="7" t="inlineStr">
        <is>
          <t>Paper Products</t>
        </is>
      </c>
      <c r="G414" s="7" t="inlineStr">
        <is>
          <t>South</t>
        </is>
      </c>
      <c r="H414" s="7" t="inlineStr">
        <is>
          <t>North Carolina</t>
        </is>
      </c>
      <c r="I414" s="7" t="inlineStr">
        <is>
          <t>Online</t>
        </is>
      </c>
      <c r="J414" s="7" t="inlineStr">
        <is>
          <t>Consumer</t>
        </is>
      </c>
      <c r="K414" s="12" t="n">
        <v>1</v>
      </c>
      <c r="L414" s="9" t="n">
        <v>32.99</v>
      </c>
      <c r="M414" s="10" t="n">
        <v>0.1</v>
      </c>
      <c r="N414" s="9" t="n">
        <v>19.79</v>
      </c>
      <c r="O414" s="9">
        <f>K414*L414</f>
        <v/>
      </c>
      <c r="P414" s="9">
        <f>O414*M414</f>
        <v/>
      </c>
      <c r="Q414" s="9">
        <f>O414-P414</f>
        <v/>
      </c>
      <c r="R414" s="9">
        <f>K414*N414</f>
        <v/>
      </c>
      <c r="S414" s="9">
        <f>Q414-R414</f>
        <v/>
      </c>
      <c r="T414" s="10">
        <f>IFERROR(S414/Q414, 0)</f>
        <v/>
      </c>
    </row>
    <row r="415">
      <c r="A415" s="11" t="inlineStr">
        <is>
          <t>ORD-2024-1324</t>
        </is>
      </c>
      <c r="B415" s="11" t="inlineStr">
        <is>
          <t>2024-06-17</t>
        </is>
      </c>
      <c r="C415" s="11" t="inlineStr">
        <is>
          <t>TEC-TAB-003</t>
        </is>
      </c>
      <c r="D415" s="7" t="inlineStr">
        <is>
          <t>VisionPad Pro 11"</t>
        </is>
      </c>
      <c r="E415" s="7" t="inlineStr">
        <is>
          <t>Technology</t>
        </is>
      </c>
      <c r="F415" s="7" t="inlineStr">
        <is>
          <t>Phones &amp; Tablets</t>
        </is>
      </c>
      <c r="G415" s="7" t="inlineStr">
        <is>
          <t>Central</t>
        </is>
      </c>
      <c r="H415" s="7" t="inlineStr">
        <is>
          <t>Ohio</t>
        </is>
      </c>
      <c r="I415" s="7" t="inlineStr">
        <is>
          <t>Direct Sales</t>
        </is>
      </c>
      <c r="J415" s="7" t="inlineStr">
        <is>
          <t>Consumer</t>
        </is>
      </c>
      <c r="K415" s="12" t="n">
        <v>4</v>
      </c>
      <c r="L415" s="9" t="n">
        <v>649.99</v>
      </c>
      <c r="M415" s="10" t="n">
        <v>0.1</v>
      </c>
      <c r="N415" s="9" t="n">
        <v>487.49</v>
      </c>
      <c r="O415" s="9">
        <f>K415*L415</f>
        <v/>
      </c>
      <c r="P415" s="9">
        <f>O415*M415</f>
        <v/>
      </c>
      <c r="Q415" s="9">
        <f>O415-P415</f>
        <v/>
      </c>
      <c r="R415" s="9">
        <f>K415*N415</f>
        <v/>
      </c>
      <c r="S415" s="9">
        <f>Q415-R415</f>
        <v/>
      </c>
      <c r="T415" s="10">
        <f>IFERROR(S415/Q415, 0)</f>
        <v/>
      </c>
    </row>
    <row r="416">
      <c r="A416" s="11" t="inlineStr">
        <is>
          <t>ORD-2024-1324</t>
        </is>
      </c>
      <c r="B416" s="11" t="inlineStr">
        <is>
          <t>2024-06-17</t>
        </is>
      </c>
      <c r="C416" s="11" t="inlineStr">
        <is>
          <t>TEC-LAP-002</t>
        </is>
      </c>
      <c r="D416" s="7" t="inlineStr">
        <is>
          <t>Apex Gaming Laptop 17"</t>
        </is>
      </c>
      <c r="E416" s="7" t="inlineStr">
        <is>
          <t>Technology</t>
        </is>
      </c>
      <c r="F416" s="7" t="inlineStr">
        <is>
          <t>Laptops</t>
        </is>
      </c>
      <c r="G416" s="7" t="inlineStr">
        <is>
          <t>Central</t>
        </is>
      </c>
      <c r="H416" s="7" t="inlineStr">
        <is>
          <t>Ohio</t>
        </is>
      </c>
      <c r="I416" s="7" t="inlineStr">
        <is>
          <t>Direct Sales</t>
        </is>
      </c>
      <c r="J416" s="7" t="inlineStr">
        <is>
          <t>Consumer</t>
        </is>
      </c>
      <c r="K416" s="12" t="n">
        <v>4</v>
      </c>
      <c r="L416" s="9" t="n">
        <v>1499.99</v>
      </c>
      <c r="M416" s="10" t="n">
        <v>0.25</v>
      </c>
      <c r="N416" s="9" t="n">
        <v>1259.99</v>
      </c>
      <c r="O416" s="9">
        <f>K416*L416</f>
        <v/>
      </c>
      <c r="P416" s="9">
        <f>O416*M416</f>
        <v/>
      </c>
      <c r="Q416" s="9">
        <f>O416-P416</f>
        <v/>
      </c>
      <c r="R416" s="9">
        <f>K416*N416</f>
        <v/>
      </c>
      <c r="S416" s="9">
        <f>Q416-R416</f>
        <v/>
      </c>
      <c r="T416" s="10">
        <f>IFERROR(S416/Q416, 0)</f>
        <v/>
      </c>
    </row>
    <row r="417">
      <c r="A417" s="11" t="inlineStr">
        <is>
          <t>ORD-2024-1080</t>
        </is>
      </c>
      <c r="B417" s="11" t="inlineStr">
        <is>
          <t>2024-06-18</t>
        </is>
      </c>
      <c r="C417" s="11" t="inlineStr">
        <is>
          <t>TEC-TAB-004</t>
        </is>
      </c>
      <c r="D417" s="7" t="inlineStr">
        <is>
          <t>VisionPad Lite 8.5"</t>
        </is>
      </c>
      <c r="E417" s="7" t="inlineStr">
        <is>
          <t>Technology</t>
        </is>
      </c>
      <c r="F417" s="7" t="inlineStr">
        <is>
          <t>Phones &amp; Tablets</t>
        </is>
      </c>
      <c r="G417" s="7" t="inlineStr">
        <is>
          <t>Central</t>
        </is>
      </c>
      <c r="H417" s="7" t="inlineStr">
        <is>
          <t>Illinois</t>
        </is>
      </c>
      <c r="I417" s="7" t="inlineStr">
        <is>
          <t>Wholesale</t>
        </is>
      </c>
      <c r="J417" s="7" t="inlineStr">
        <is>
          <t>Consumer</t>
        </is>
      </c>
      <c r="K417" s="12" t="n">
        <v>6</v>
      </c>
      <c r="L417" s="9" t="n">
        <v>299.99</v>
      </c>
      <c r="M417" s="10" t="n">
        <v>0.1</v>
      </c>
      <c r="N417" s="9" t="n">
        <v>245.99</v>
      </c>
      <c r="O417" s="9">
        <f>K417*L417</f>
        <v/>
      </c>
      <c r="P417" s="9">
        <f>O417*M417</f>
        <v/>
      </c>
      <c r="Q417" s="9">
        <f>O417-P417</f>
        <v/>
      </c>
      <c r="R417" s="9">
        <f>K417*N417</f>
        <v/>
      </c>
      <c r="S417" s="9">
        <f>Q417-R417</f>
        <v/>
      </c>
      <c r="T417" s="10">
        <f>IFERROR(S417/Q417, 0)</f>
        <v/>
      </c>
    </row>
    <row r="418">
      <c r="A418" s="11" t="inlineStr">
        <is>
          <t>ORD-2024-1211</t>
        </is>
      </c>
      <c r="B418" s="11" t="inlineStr">
        <is>
          <t>2024-06-18</t>
        </is>
      </c>
      <c r="C418" s="11" t="inlineStr">
        <is>
          <t>FUR-CHA-002</t>
        </is>
      </c>
      <c r="D418" s="7" t="inlineStr">
        <is>
          <t>AeroTask Operator Task Chair</t>
        </is>
      </c>
      <c r="E418" s="7" t="inlineStr">
        <is>
          <t>Furniture</t>
        </is>
      </c>
      <c r="F418" s="7" t="inlineStr">
        <is>
          <t>Chairs</t>
        </is>
      </c>
      <c r="G418" s="7" t="inlineStr">
        <is>
          <t>East</t>
        </is>
      </c>
      <c r="H418" s="7" t="inlineStr">
        <is>
          <t>Pennsylvania</t>
        </is>
      </c>
      <c r="I418" s="7" t="inlineStr">
        <is>
          <t>Wholesale</t>
        </is>
      </c>
      <c r="J418" s="7" t="inlineStr">
        <is>
          <t>Consumer</t>
        </is>
      </c>
      <c r="K418" s="12" t="n">
        <v>12</v>
      </c>
      <c r="L418" s="9" t="n">
        <v>219.99</v>
      </c>
      <c r="M418" s="10" t="n">
        <v>0.15</v>
      </c>
      <c r="N418" s="9" t="n">
        <v>171.59</v>
      </c>
      <c r="O418" s="9">
        <f>K418*L418</f>
        <v/>
      </c>
      <c r="P418" s="9">
        <f>O418*M418</f>
        <v/>
      </c>
      <c r="Q418" s="9">
        <f>O418-P418</f>
        <v/>
      </c>
      <c r="R418" s="9">
        <f>K418*N418</f>
        <v/>
      </c>
      <c r="S418" s="9">
        <f>Q418-R418</f>
        <v/>
      </c>
      <c r="T418" s="10">
        <f>IFERROR(S418/Q418, 0)</f>
        <v/>
      </c>
    </row>
    <row r="419">
      <c r="A419" s="11" t="inlineStr">
        <is>
          <t>ORD-2024-1211</t>
        </is>
      </c>
      <c r="B419" s="11" t="inlineStr">
        <is>
          <t>2024-06-18</t>
        </is>
      </c>
      <c r="C419" s="11" t="inlineStr">
        <is>
          <t>OFF-STR-002</t>
        </is>
      </c>
      <c r="D419" s="7" t="inlineStr">
        <is>
          <t>Stackable Heavy-Duty Storage Bins (4-Pk)</t>
        </is>
      </c>
      <c r="E419" s="7" t="inlineStr">
        <is>
          <t>Office Supplies</t>
        </is>
      </c>
      <c r="F419" s="7" t="inlineStr">
        <is>
          <t>Storage &amp; Organizers</t>
        </is>
      </c>
      <c r="G419" s="7" t="inlineStr">
        <is>
          <t>East</t>
        </is>
      </c>
      <c r="H419" s="7" t="inlineStr">
        <is>
          <t>Pennsylvania</t>
        </is>
      </c>
      <c r="I419" s="7" t="inlineStr">
        <is>
          <t>Wholesale</t>
        </is>
      </c>
      <c r="J419" s="7" t="inlineStr">
        <is>
          <t>Consumer</t>
        </is>
      </c>
      <c r="K419" s="12" t="n">
        <v>6</v>
      </c>
      <c r="L419" s="9" t="n">
        <v>44.99</v>
      </c>
      <c r="M419" s="10" t="n">
        <v>0.15</v>
      </c>
      <c r="N419" s="9" t="n">
        <v>24.74</v>
      </c>
      <c r="O419" s="9">
        <f>K419*L419</f>
        <v/>
      </c>
      <c r="P419" s="9">
        <f>O419*M419</f>
        <v/>
      </c>
      <c r="Q419" s="9">
        <f>O419-P419</f>
        <v/>
      </c>
      <c r="R419" s="9">
        <f>K419*N419</f>
        <v/>
      </c>
      <c r="S419" s="9">
        <f>Q419-R419</f>
        <v/>
      </c>
      <c r="T419" s="10">
        <f>IFERROR(S419/Q419, 0)</f>
        <v/>
      </c>
    </row>
    <row r="420">
      <c r="A420" s="11" t="inlineStr">
        <is>
          <t>ORD-2024-1651</t>
        </is>
      </c>
      <c r="B420" s="11" t="inlineStr">
        <is>
          <t>2024-06-18</t>
        </is>
      </c>
      <c r="C420" s="11" t="inlineStr">
        <is>
          <t>FUR-DSK-003</t>
        </is>
      </c>
      <c r="D420" s="7" t="inlineStr">
        <is>
          <t>ApexMotor Dual-Motor Standing Desk</t>
        </is>
      </c>
      <c r="E420" s="7" t="inlineStr">
        <is>
          <t>Furniture</t>
        </is>
      </c>
      <c r="F420" s="7" t="inlineStr">
        <is>
          <t>Desks &amp; Workstations</t>
        </is>
      </c>
      <c r="G420" s="7" t="inlineStr">
        <is>
          <t>West</t>
        </is>
      </c>
      <c r="H420" s="7" t="inlineStr">
        <is>
          <t>Washington</t>
        </is>
      </c>
      <c r="I420" s="7" t="inlineStr">
        <is>
          <t>Online</t>
        </is>
      </c>
      <c r="J420" s="7" t="inlineStr">
        <is>
          <t>Home Office</t>
        </is>
      </c>
      <c r="K420" s="12" t="n">
        <v>4</v>
      </c>
      <c r="L420" s="9" t="n">
        <v>549.99</v>
      </c>
      <c r="M420" s="10" t="n">
        <v>0.05</v>
      </c>
      <c r="N420" s="9" t="n">
        <v>439.99</v>
      </c>
      <c r="O420" s="9">
        <f>K420*L420</f>
        <v/>
      </c>
      <c r="P420" s="9">
        <f>O420*M420</f>
        <v/>
      </c>
      <c r="Q420" s="9">
        <f>O420-P420</f>
        <v/>
      </c>
      <c r="R420" s="9">
        <f>K420*N420</f>
        <v/>
      </c>
      <c r="S420" s="9">
        <f>Q420-R420</f>
        <v/>
      </c>
      <c r="T420" s="10">
        <f>IFERROR(S420/Q420, 0)</f>
        <v/>
      </c>
    </row>
    <row r="421">
      <c r="A421" s="11" t="inlineStr">
        <is>
          <t>ORD-2024-1651</t>
        </is>
      </c>
      <c r="B421" s="11" t="inlineStr">
        <is>
          <t>2024-06-18</t>
        </is>
      </c>
      <c r="C421" s="11" t="inlineStr">
        <is>
          <t>OFF-STR-001</t>
        </is>
      </c>
      <c r="D421" s="7" t="inlineStr">
        <is>
          <t>SteelLock 3-Drawer File Cabinet</t>
        </is>
      </c>
      <c r="E421" s="7" t="inlineStr">
        <is>
          <t>Office Supplies</t>
        </is>
      </c>
      <c r="F421" s="7" t="inlineStr">
        <is>
          <t>Storage &amp; Organizers</t>
        </is>
      </c>
      <c r="G421" s="7" t="inlineStr">
        <is>
          <t>West</t>
        </is>
      </c>
      <c r="H421" s="7" t="inlineStr">
        <is>
          <t>Washington</t>
        </is>
      </c>
      <c r="I421" s="7" t="inlineStr">
        <is>
          <t>Online</t>
        </is>
      </c>
      <c r="J421" s="7" t="inlineStr">
        <is>
          <t>Home Office</t>
        </is>
      </c>
      <c r="K421" s="12" t="n">
        <v>2</v>
      </c>
      <c r="L421" s="9" t="n">
        <v>169.99</v>
      </c>
      <c r="M421" s="10" t="n">
        <v>0</v>
      </c>
      <c r="N421" s="9" t="n">
        <v>115.59</v>
      </c>
      <c r="O421" s="9">
        <f>K421*L421</f>
        <v/>
      </c>
      <c r="P421" s="9">
        <f>O421*M421</f>
        <v/>
      </c>
      <c r="Q421" s="9">
        <f>O421-P421</f>
        <v/>
      </c>
      <c r="R421" s="9">
        <f>K421*N421</f>
        <v/>
      </c>
      <c r="S421" s="9">
        <f>Q421-R421</f>
        <v/>
      </c>
      <c r="T421" s="10">
        <f>IFERROR(S421/Q421, 0)</f>
        <v/>
      </c>
    </row>
    <row r="422">
      <c r="A422" s="11" t="inlineStr">
        <is>
          <t>ORD-2024-1593</t>
        </is>
      </c>
      <c r="B422" s="11" t="inlineStr">
        <is>
          <t>2024-06-19</t>
        </is>
      </c>
      <c r="C422" s="11" t="inlineStr">
        <is>
          <t>OFF-PAP-003</t>
        </is>
      </c>
      <c r="D422" s="7" t="inlineStr">
        <is>
          <t>UltraWhite Premium Multipurpose Paper (Case)</t>
        </is>
      </c>
      <c r="E422" s="7" t="inlineStr">
        <is>
          <t>Office Supplies</t>
        </is>
      </c>
      <c r="F422" s="7" t="inlineStr">
        <is>
          <t>Paper Products</t>
        </is>
      </c>
      <c r="G422" s="7" t="inlineStr">
        <is>
          <t>Central</t>
        </is>
      </c>
      <c r="H422" s="7" t="inlineStr">
        <is>
          <t>Illinois</t>
        </is>
      </c>
      <c r="I422" s="7" t="inlineStr">
        <is>
          <t>Direct Sales</t>
        </is>
      </c>
      <c r="J422" s="7" t="inlineStr">
        <is>
          <t>Home Office</t>
        </is>
      </c>
      <c r="K422" s="12" t="n">
        <v>1</v>
      </c>
      <c r="L422" s="9" t="n">
        <v>54.99</v>
      </c>
      <c r="M422" s="10" t="n">
        <v>0.05</v>
      </c>
      <c r="N422" s="9" t="n">
        <v>31.89</v>
      </c>
      <c r="O422" s="9">
        <f>K422*L422</f>
        <v/>
      </c>
      <c r="P422" s="9">
        <f>O422*M422</f>
        <v/>
      </c>
      <c r="Q422" s="9">
        <f>O422-P422</f>
        <v/>
      </c>
      <c r="R422" s="9">
        <f>K422*N422</f>
        <v/>
      </c>
      <c r="S422" s="9">
        <f>Q422-R422</f>
        <v/>
      </c>
      <c r="T422" s="10">
        <f>IFERROR(S422/Q422, 0)</f>
        <v/>
      </c>
    </row>
    <row r="423">
      <c r="A423" s="11" t="inlineStr">
        <is>
          <t>ORD-2024-1593</t>
        </is>
      </c>
      <c r="B423" s="11" t="inlineStr">
        <is>
          <t>2024-06-19</t>
        </is>
      </c>
      <c r="C423" s="11" t="inlineStr">
        <is>
          <t>TEC-ACC-008</t>
        </is>
      </c>
      <c r="D423" s="7" t="inlineStr">
        <is>
          <t>Precision Laser Bluetooth Mouse</t>
        </is>
      </c>
      <c r="E423" s="7" t="inlineStr">
        <is>
          <t>Technology</t>
        </is>
      </c>
      <c r="F423" s="7" t="inlineStr">
        <is>
          <t>Audio &amp; Accessories</t>
        </is>
      </c>
      <c r="G423" s="7" t="inlineStr">
        <is>
          <t>Central</t>
        </is>
      </c>
      <c r="H423" s="7" t="inlineStr">
        <is>
          <t>Illinois</t>
        </is>
      </c>
      <c r="I423" s="7" t="inlineStr">
        <is>
          <t>Direct Sales</t>
        </is>
      </c>
      <c r="J423" s="7" t="inlineStr">
        <is>
          <t>Home Office</t>
        </is>
      </c>
      <c r="K423" s="12" t="n">
        <v>2</v>
      </c>
      <c r="L423" s="9" t="n">
        <v>49.99</v>
      </c>
      <c r="M423" s="10" t="n">
        <v>0.05</v>
      </c>
      <c r="N423" s="9" t="n">
        <v>27.49</v>
      </c>
      <c r="O423" s="9">
        <f>K423*L423</f>
        <v/>
      </c>
      <c r="P423" s="9">
        <f>O423*M423</f>
        <v/>
      </c>
      <c r="Q423" s="9">
        <f>O423-P423</f>
        <v/>
      </c>
      <c r="R423" s="9">
        <f>K423*N423</f>
        <v/>
      </c>
      <c r="S423" s="9">
        <f>Q423-R423</f>
        <v/>
      </c>
      <c r="T423" s="10">
        <f>IFERROR(S423/Q423, 0)</f>
        <v/>
      </c>
    </row>
    <row r="424">
      <c r="A424" s="11" t="inlineStr">
        <is>
          <t>ORD-2024-1706</t>
        </is>
      </c>
      <c r="B424" s="11" t="inlineStr">
        <is>
          <t>2024-06-19</t>
        </is>
      </c>
      <c r="C424" s="11" t="inlineStr">
        <is>
          <t>OFF-PAP-003</t>
        </is>
      </c>
      <c r="D424" s="7" t="inlineStr">
        <is>
          <t>UltraWhite Premium Multipurpose Paper (Case)</t>
        </is>
      </c>
      <c r="E424" s="7" t="inlineStr">
        <is>
          <t>Office Supplies</t>
        </is>
      </c>
      <c r="F424" s="7" t="inlineStr">
        <is>
          <t>Paper Products</t>
        </is>
      </c>
      <c r="G424" s="7" t="inlineStr">
        <is>
          <t>Central</t>
        </is>
      </c>
      <c r="H424" s="7" t="inlineStr">
        <is>
          <t>Texas</t>
        </is>
      </c>
      <c r="I424" s="7" t="inlineStr">
        <is>
          <t>Direct Sales</t>
        </is>
      </c>
      <c r="J424" s="7" t="inlineStr">
        <is>
          <t>Consumer</t>
        </is>
      </c>
      <c r="K424" s="12" t="n">
        <v>4</v>
      </c>
      <c r="L424" s="9" t="n">
        <v>54.99</v>
      </c>
      <c r="M424" s="10" t="n">
        <v>0.05</v>
      </c>
      <c r="N424" s="9" t="n">
        <v>31.89</v>
      </c>
      <c r="O424" s="9">
        <f>K424*L424</f>
        <v/>
      </c>
      <c r="P424" s="9">
        <f>O424*M424</f>
        <v/>
      </c>
      <c r="Q424" s="9">
        <f>O424-P424</f>
        <v/>
      </c>
      <c r="R424" s="9">
        <f>K424*N424</f>
        <v/>
      </c>
      <c r="S424" s="9">
        <f>Q424-R424</f>
        <v/>
      </c>
      <c r="T424" s="10">
        <f>IFERROR(S424/Q424, 0)</f>
        <v/>
      </c>
    </row>
    <row r="425">
      <c r="A425" s="11" t="inlineStr">
        <is>
          <t>ORD-2024-1234</t>
        </is>
      </c>
      <c r="B425" s="11" t="inlineStr">
        <is>
          <t>2024-06-20</t>
        </is>
      </c>
      <c r="C425" s="11" t="inlineStr">
        <is>
          <t>TEC-ACC-008</t>
        </is>
      </c>
      <c r="D425" s="7" t="inlineStr">
        <is>
          <t>Precision Laser Bluetooth Mouse</t>
        </is>
      </c>
      <c r="E425" s="7" t="inlineStr">
        <is>
          <t>Technology</t>
        </is>
      </c>
      <c r="F425" s="7" t="inlineStr">
        <is>
          <t>Audio &amp; Accessories</t>
        </is>
      </c>
      <c r="G425" s="7" t="inlineStr">
        <is>
          <t>West</t>
        </is>
      </c>
      <c r="H425" s="7" t="inlineStr">
        <is>
          <t>California</t>
        </is>
      </c>
      <c r="I425" s="7" t="inlineStr">
        <is>
          <t>Online</t>
        </is>
      </c>
      <c r="J425" s="7" t="inlineStr">
        <is>
          <t>Corporate</t>
        </is>
      </c>
      <c r="K425" s="12" t="n">
        <v>7</v>
      </c>
      <c r="L425" s="9" t="n">
        <v>49.99</v>
      </c>
      <c r="M425" s="10" t="n">
        <v>0.05</v>
      </c>
      <c r="N425" s="9" t="n">
        <v>27.49</v>
      </c>
      <c r="O425" s="9">
        <f>K425*L425</f>
        <v/>
      </c>
      <c r="P425" s="9">
        <f>O425*M425</f>
        <v/>
      </c>
      <c r="Q425" s="9">
        <f>O425-P425</f>
        <v/>
      </c>
      <c r="R425" s="9">
        <f>K425*N425</f>
        <v/>
      </c>
      <c r="S425" s="9">
        <f>Q425-R425</f>
        <v/>
      </c>
      <c r="T425" s="10">
        <f>IFERROR(S425/Q425, 0)</f>
        <v/>
      </c>
    </row>
    <row r="426">
      <c r="A426" s="11" t="inlineStr">
        <is>
          <t>ORD-2024-1383</t>
        </is>
      </c>
      <c r="B426" s="11" t="inlineStr">
        <is>
          <t>2024-06-20</t>
        </is>
      </c>
      <c r="C426" s="11" t="inlineStr">
        <is>
          <t>TEC-TAB-003</t>
        </is>
      </c>
      <c r="D426" s="7" t="inlineStr">
        <is>
          <t>VisionPad Pro 11"</t>
        </is>
      </c>
      <c r="E426" s="7" t="inlineStr">
        <is>
          <t>Technology</t>
        </is>
      </c>
      <c r="F426" s="7" t="inlineStr">
        <is>
          <t>Phones &amp; Tablets</t>
        </is>
      </c>
      <c r="G426" s="7" t="inlineStr">
        <is>
          <t>East</t>
        </is>
      </c>
      <c r="H426" s="7" t="inlineStr">
        <is>
          <t>New York</t>
        </is>
      </c>
      <c r="I426" s="7" t="inlineStr">
        <is>
          <t>Online</t>
        </is>
      </c>
      <c r="J426" s="7" t="inlineStr">
        <is>
          <t>Corporate</t>
        </is>
      </c>
      <c r="K426" s="12" t="n">
        <v>2</v>
      </c>
      <c r="L426" s="9" t="n">
        <v>649.99</v>
      </c>
      <c r="M426" s="10" t="n">
        <v>0.05</v>
      </c>
      <c r="N426" s="9" t="n">
        <v>487.49</v>
      </c>
      <c r="O426" s="9">
        <f>K426*L426</f>
        <v/>
      </c>
      <c r="P426" s="9">
        <f>O426*M426</f>
        <v/>
      </c>
      <c r="Q426" s="9">
        <f>O426-P426</f>
        <v/>
      </c>
      <c r="R426" s="9">
        <f>K426*N426</f>
        <v/>
      </c>
      <c r="S426" s="9">
        <f>Q426-R426</f>
        <v/>
      </c>
      <c r="T426" s="10">
        <f>IFERROR(S426/Q426, 0)</f>
        <v/>
      </c>
    </row>
    <row r="427">
      <c r="A427" s="11" t="inlineStr">
        <is>
          <t>ORD-2024-1339</t>
        </is>
      </c>
      <c r="B427" s="11" t="inlineStr">
        <is>
          <t>2024-06-21</t>
        </is>
      </c>
      <c r="C427" s="11" t="inlineStr">
        <is>
          <t>OFF-DSK-007</t>
        </is>
      </c>
      <c r="D427" s="7" t="inlineStr">
        <is>
          <t>Gel Ergo Mouse Pad &amp; Wrist Rest Combo</t>
        </is>
      </c>
      <c r="E427" s="7" t="inlineStr">
        <is>
          <t>Office Supplies</t>
        </is>
      </c>
      <c r="F427" s="7" t="inlineStr">
        <is>
          <t>Desk Supplies</t>
        </is>
      </c>
      <c r="G427" s="7" t="inlineStr">
        <is>
          <t>Central</t>
        </is>
      </c>
      <c r="H427" s="7" t="inlineStr">
        <is>
          <t>Ohio</t>
        </is>
      </c>
      <c r="I427" s="7" t="inlineStr">
        <is>
          <t>Direct Sales</t>
        </is>
      </c>
      <c r="J427" s="7" t="inlineStr">
        <is>
          <t>Home Office</t>
        </is>
      </c>
      <c r="K427" s="12" t="n">
        <v>3</v>
      </c>
      <c r="L427" s="9" t="n">
        <v>21.99</v>
      </c>
      <c r="M427" s="10" t="n">
        <v>0</v>
      </c>
      <c r="N427" s="9" t="n">
        <v>10.56</v>
      </c>
      <c r="O427" s="9">
        <f>K427*L427</f>
        <v/>
      </c>
      <c r="P427" s="9">
        <f>O427*M427</f>
        <v/>
      </c>
      <c r="Q427" s="9">
        <f>O427-P427</f>
        <v/>
      </c>
      <c r="R427" s="9">
        <f>K427*N427</f>
        <v/>
      </c>
      <c r="S427" s="9">
        <f>Q427-R427</f>
        <v/>
      </c>
      <c r="T427" s="10">
        <f>IFERROR(S427/Q427, 0)</f>
        <v/>
      </c>
    </row>
    <row r="428">
      <c r="A428" s="11" t="inlineStr">
        <is>
          <t>ORD-2024-1533</t>
        </is>
      </c>
      <c r="B428" s="11" t="inlineStr">
        <is>
          <t>2024-06-21</t>
        </is>
      </c>
      <c r="C428" s="11" t="inlineStr">
        <is>
          <t>FUR-DSK-004</t>
        </is>
      </c>
      <c r="D428" s="7" t="inlineStr">
        <is>
          <t>Metro Compact Corner Workstation</t>
        </is>
      </c>
      <c r="E428" s="7" t="inlineStr">
        <is>
          <t>Furniture</t>
        </is>
      </c>
      <c r="F428" s="7" t="inlineStr">
        <is>
          <t>Desks &amp; Workstations</t>
        </is>
      </c>
      <c r="G428" s="7" t="inlineStr">
        <is>
          <t>South</t>
        </is>
      </c>
      <c r="H428" s="7" t="inlineStr">
        <is>
          <t>Virginia</t>
        </is>
      </c>
      <c r="I428" s="7" t="inlineStr">
        <is>
          <t>Wholesale</t>
        </is>
      </c>
      <c r="J428" s="7" t="inlineStr">
        <is>
          <t>Consumer</t>
        </is>
      </c>
      <c r="K428" s="12" t="n">
        <v>11</v>
      </c>
      <c r="L428" s="9" t="n">
        <v>329.99</v>
      </c>
      <c r="M428" s="10" t="n">
        <v>0.2</v>
      </c>
      <c r="N428" s="9" t="n">
        <v>250.79</v>
      </c>
      <c r="O428" s="9">
        <f>K428*L428</f>
        <v/>
      </c>
      <c r="P428" s="9">
        <f>O428*M428</f>
        <v/>
      </c>
      <c r="Q428" s="9">
        <f>O428-P428</f>
        <v/>
      </c>
      <c r="R428" s="9">
        <f>K428*N428</f>
        <v/>
      </c>
      <c r="S428" s="9">
        <f>Q428-R428</f>
        <v/>
      </c>
      <c r="T428" s="10">
        <f>IFERROR(S428/Q428, 0)</f>
        <v/>
      </c>
    </row>
    <row r="429">
      <c r="A429" s="11" t="inlineStr">
        <is>
          <t>ORD-2024-1533</t>
        </is>
      </c>
      <c r="B429" s="11" t="inlineStr">
        <is>
          <t>2024-06-21</t>
        </is>
      </c>
      <c r="C429" s="11" t="inlineStr">
        <is>
          <t>OFF-STR-001</t>
        </is>
      </c>
      <c r="D429" s="7" t="inlineStr">
        <is>
          <t>SteelLock 3-Drawer File Cabinet</t>
        </is>
      </c>
      <c r="E429" s="7" t="inlineStr">
        <is>
          <t>Office Supplies</t>
        </is>
      </c>
      <c r="F429" s="7" t="inlineStr">
        <is>
          <t>Storage &amp; Organizers</t>
        </is>
      </c>
      <c r="G429" s="7" t="inlineStr">
        <is>
          <t>South</t>
        </is>
      </c>
      <c r="H429" s="7" t="inlineStr">
        <is>
          <t>Virginia</t>
        </is>
      </c>
      <c r="I429" s="7" t="inlineStr">
        <is>
          <t>Wholesale</t>
        </is>
      </c>
      <c r="J429" s="7" t="inlineStr">
        <is>
          <t>Consumer</t>
        </is>
      </c>
      <c r="K429" s="12" t="n">
        <v>11</v>
      </c>
      <c r="L429" s="9" t="n">
        <v>169.99</v>
      </c>
      <c r="M429" s="10" t="n">
        <v>0.2</v>
      </c>
      <c r="N429" s="9" t="n">
        <v>115.59</v>
      </c>
      <c r="O429" s="9">
        <f>K429*L429</f>
        <v/>
      </c>
      <c r="P429" s="9">
        <f>O429*M429</f>
        <v/>
      </c>
      <c r="Q429" s="9">
        <f>O429-P429</f>
        <v/>
      </c>
      <c r="R429" s="9">
        <f>K429*N429</f>
        <v/>
      </c>
      <c r="S429" s="9">
        <f>Q429-R429</f>
        <v/>
      </c>
      <c r="T429" s="10">
        <f>IFERROR(S429/Q429, 0)</f>
        <v/>
      </c>
    </row>
    <row r="430">
      <c r="A430" s="11" t="inlineStr">
        <is>
          <t>ORD-2024-1535</t>
        </is>
      </c>
      <c r="B430" s="11" t="inlineStr">
        <is>
          <t>2024-06-21</t>
        </is>
      </c>
      <c r="C430" s="11" t="inlineStr">
        <is>
          <t>TEC-TAB-004</t>
        </is>
      </c>
      <c r="D430" s="7" t="inlineStr">
        <is>
          <t>VisionPad Lite 8.5"</t>
        </is>
      </c>
      <c r="E430" s="7" t="inlineStr">
        <is>
          <t>Technology</t>
        </is>
      </c>
      <c r="F430" s="7" t="inlineStr">
        <is>
          <t>Phones &amp; Tablets</t>
        </is>
      </c>
      <c r="G430" s="7" t="inlineStr">
        <is>
          <t>Central</t>
        </is>
      </c>
      <c r="H430" s="7" t="inlineStr">
        <is>
          <t>Ohio</t>
        </is>
      </c>
      <c r="I430" s="7" t="inlineStr">
        <is>
          <t>Retail Partner</t>
        </is>
      </c>
      <c r="J430" s="7" t="inlineStr">
        <is>
          <t>Home Office</t>
        </is>
      </c>
      <c r="K430" s="12" t="n">
        <v>2</v>
      </c>
      <c r="L430" s="9" t="n">
        <v>299.99</v>
      </c>
      <c r="M430" s="10" t="n">
        <v>0</v>
      </c>
      <c r="N430" s="9" t="n">
        <v>245.99</v>
      </c>
      <c r="O430" s="9">
        <f>K430*L430</f>
        <v/>
      </c>
      <c r="P430" s="9">
        <f>O430*M430</f>
        <v/>
      </c>
      <c r="Q430" s="9">
        <f>O430-P430</f>
        <v/>
      </c>
      <c r="R430" s="9">
        <f>K430*N430</f>
        <v/>
      </c>
      <c r="S430" s="9">
        <f>Q430-R430</f>
        <v/>
      </c>
      <c r="T430" s="10">
        <f>IFERROR(S430/Q430, 0)</f>
        <v/>
      </c>
    </row>
    <row r="431">
      <c r="A431" s="11" t="inlineStr">
        <is>
          <t>ORD-2024-1535</t>
        </is>
      </c>
      <c r="B431" s="11" t="inlineStr">
        <is>
          <t>2024-06-21</t>
        </is>
      </c>
      <c r="C431" s="11" t="inlineStr">
        <is>
          <t>OFF-PAP-004</t>
        </is>
      </c>
      <c r="D431" s="7" t="inlineStr">
        <is>
          <t>EcoRecycled Copy Paper (5 Reams)</t>
        </is>
      </c>
      <c r="E431" s="7" t="inlineStr">
        <is>
          <t>Office Supplies</t>
        </is>
      </c>
      <c r="F431" s="7" t="inlineStr">
        <is>
          <t>Paper Products</t>
        </is>
      </c>
      <c r="G431" s="7" t="inlineStr">
        <is>
          <t>Central</t>
        </is>
      </c>
      <c r="H431" s="7" t="inlineStr">
        <is>
          <t>Ohio</t>
        </is>
      </c>
      <c r="I431" s="7" t="inlineStr">
        <is>
          <t>Retail Partner</t>
        </is>
      </c>
      <c r="J431" s="7" t="inlineStr">
        <is>
          <t>Home Office</t>
        </is>
      </c>
      <c r="K431" s="12" t="n">
        <v>4</v>
      </c>
      <c r="L431" s="9" t="n">
        <v>32.99</v>
      </c>
      <c r="M431" s="10" t="n">
        <v>0</v>
      </c>
      <c r="N431" s="9" t="n">
        <v>19.79</v>
      </c>
      <c r="O431" s="9">
        <f>K431*L431</f>
        <v/>
      </c>
      <c r="P431" s="9">
        <f>O431*M431</f>
        <v/>
      </c>
      <c r="Q431" s="9">
        <f>O431-P431</f>
        <v/>
      </c>
      <c r="R431" s="9">
        <f>K431*N431</f>
        <v/>
      </c>
      <c r="S431" s="9">
        <f>Q431-R431</f>
        <v/>
      </c>
      <c r="T431" s="10">
        <f>IFERROR(S431/Q431, 0)</f>
        <v/>
      </c>
    </row>
    <row r="432">
      <c r="A432" s="11" t="inlineStr">
        <is>
          <t>ORD-2024-1535</t>
        </is>
      </c>
      <c r="B432" s="11" t="inlineStr">
        <is>
          <t>2024-06-21</t>
        </is>
      </c>
      <c r="C432" s="11" t="inlineStr">
        <is>
          <t>OFF-PAP-003</t>
        </is>
      </c>
      <c r="D432" s="7" t="inlineStr">
        <is>
          <t>UltraWhite Premium Multipurpose Paper (Case)</t>
        </is>
      </c>
      <c r="E432" s="7" t="inlineStr">
        <is>
          <t>Office Supplies</t>
        </is>
      </c>
      <c r="F432" s="7" t="inlineStr">
        <is>
          <t>Paper Products</t>
        </is>
      </c>
      <c r="G432" s="7" t="inlineStr">
        <is>
          <t>Central</t>
        </is>
      </c>
      <c r="H432" s="7" t="inlineStr">
        <is>
          <t>Ohio</t>
        </is>
      </c>
      <c r="I432" s="7" t="inlineStr">
        <is>
          <t>Retail Partner</t>
        </is>
      </c>
      <c r="J432" s="7" t="inlineStr">
        <is>
          <t>Home Office</t>
        </is>
      </c>
      <c r="K432" s="12" t="n">
        <v>2</v>
      </c>
      <c r="L432" s="9" t="n">
        <v>54.99</v>
      </c>
      <c r="M432" s="10" t="n">
        <v>0</v>
      </c>
      <c r="N432" s="9" t="n">
        <v>31.89</v>
      </c>
      <c r="O432" s="9">
        <f>K432*L432</f>
        <v/>
      </c>
      <c r="P432" s="9">
        <f>O432*M432</f>
        <v/>
      </c>
      <c r="Q432" s="9">
        <f>O432-P432</f>
        <v/>
      </c>
      <c r="R432" s="9">
        <f>K432*N432</f>
        <v/>
      </c>
      <c r="S432" s="9">
        <f>Q432-R432</f>
        <v/>
      </c>
      <c r="T432" s="10">
        <f>IFERROR(S432/Q432, 0)</f>
        <v/>
      </c>
    </row>
    <row r="433">
      <c r="A433" s="11" t="inlineStr">
        <is>
          <t>ORD-2024-1535</t>
        </is>
      </c>
      <c r="B433" s="11" t="inlineStr">
        <is>
          <t>2024-06-21</t>
        </is>
      </c>
      <c r="C433" s="11" t="inlineStr">
        <is>
          <t>TEC-ACC-008</t>
        </is>
      </c>
      <c r="D433" s="7" t="inlineStr">
        <is>
          <t>Precision Laser Bluetooth Mouse</t>
        </is>
      </c>
      <c r="E433" s="7" t="inlineStr">
        <is>
          <t>Technology</t>
        </is>
      </c>
      <c r="F433" s="7" t="inlineStr">
        <is>
          <t>Audio &amp; Accessories</t>
        </is>
      </c>
      <c r="G433" s="7" t="inlineStr">
        <is>
          <t>Central</t>
        </is>
      </c>
      <c r="H433" s="7" t="inlineStr">
        <is>
          <t>Ohio</t>
        </is>
      </c>
      <c r="I433" s="7" t="inlineStr">
        <is>
          <t>Retail Partner</t>
        </is>
      </c>
      <c r="J433" s="7" t="inlineStr">
        <is>
          <t>Home Office</t>
        </is>
      </c>
      <c r="K433" s="12" t="n">
        <v>1</v>
      </c>
      <c r="L433" s="9" t="n">
        <v>49.99</v>
      </c>
      <c r="M433" s="10" t="n">
        <v>0</v>
      </c>
      <c r="N433" s="9" t="n">
        <v>27.49</v>
      </c>
      <c r="O433" s="9">
        <f>K433*L433</f>
        <v/>
      </c>
      <c r="P433" s="9">
        <f>O433*M433</f>
        <v/>
      </c>
      <c r="Q433" s="9">
        <f>O433-P433</f>
        <v/>
      </c>
      <c r="R433" s="9">
        <f>K433*N433</f>
        <v/>
      </c>
      <c r="S433" s="9">
        <f>Q433-R433</f>
        <v/>
      </c>
      <c r="T433" s="10">
        <f>IFERROR(S433/Q433, 0)</f>
        <v/>
      </c>
    </row>
    <row r="434">
      <c r="A434" s="11" t="inlineStr">
        <is>
          <t>ORD-2024-1253</t>
        </is>
      </c>
      <c r="B434" s="11" t="inlineStr">
        <is>
          <t>2024-06-22</t>
        </is>
      </c>
      <c r="C434" s="11" t="inlineStr">
        <is>
          <t>OFF-DSK-007</t>
        </is>
      </c>
      <c r="D434" s="7" t="inlineStr">
        <is>
          <t>Gel Ergo Mouse Pad &amp; Wrist Rest Combo</t>
        </is>
      </c>
      <c r="E434" s="7" t="inlineStr">
        <is>
          <t>Office Supplies</t>
        </is>
      </c>
      <c r="F434" s="7" t="inlineStr">
        <is>
          <t>Desk Supplies</t>
        </is>
      </c>
      <c r="G434" s="7" t="inlineStr">
        <is>
          <t>Central</t>
        </is>
      </c>
      <c r="H434" s="7" t="inlineStr">
        <is>
          <t>Texas</t>
        </is>
      </c>
      <c r="I434" s="7" t="inlineStr">
        <is>
          <t>Wholesale</t>
        </is>
      </c>
      <c r="J434" s="7" t="inlineStr">
        <is>
          <t>Corporate</t>
        </is>
      </c>
      <c r="K434" s="12" t="n">
        <v>6</v>
      </c>
      <c r="L434" s="9" t="n">
        <v>21.99</v>
      </c>
      <c r="M434" s="10" t="n">
        <v>0.15</v>
      </c>
      <c r="N434" s="9" t="n">
        <v>10.56</v>
      </c>
      <c r="O434" s="9">
        <f>K434*L434</f>
        <v/>
      </c>
      <c r="P434" s="9">
        <f>O434*M434</f>
        <v/>
      </c>
      <c r="Q434" s="9">
        <f>O434-P434</f>
        <v/>
      </c>
      <c r="R434" s="9">
        <f>K434*N434</f>
        <v/>
      </c>
      <c r="S434" s="9">
        <f>Q434-R434</f>
        <v/>
      </c>
      <c r="T434" s="10">
        <f>IFERROR(S434/Q434, 0)</f>
        <v/>
      </c>
    </row>
    <row r="435">
      <c r="A435" s="11" t="inlineStr">
        <is>
          <t>ORD-2024-1103</t>
        </is>
      </c>
      <c r="B435" s="11" t="inlineStr">
        <is>
          <t>2024-06-23</t>
        </is>
      </c>
      <c r="C435" s="11" t="inlineStr">
        <is>
          <t>OFF-PAP-004</t>
        </is>
      </c>
      <c r="D435" s="7" t="inlineStr">
        <is>
          <t>EcoRecycled Copy Paper (5 Reams)</t>
        </is>
      </c>
      <c r="E435" s="7" t="inlineStr">
        <is>
          <t>Office Supplies</t>
        </is>
      </c>
      <c r="F435" s="7" t="inlineStr">
        <is>
          <t>Paper Products</t>
        </is>
      </c>
      <c r="G435" s="7" t="inlineStr">
        <is>
          <t>South</t>
        </is>
      </c>
      <c r="H435" s="7" t="inlineStr">
        <is>
          <t>North Carolina</t>
        </is>
      </c>
      <c r="I435" s="7" t="inlineStr">
        <is>
          <t>Direct Sales</t>
        </is>
      </c>
      <c r="J435" s="7" t="inlineStr">
        <is>
          <t>Consumer</t>
        </is>
      </c>
      <c r="K435" s="12" t="n">
        <v>2</v>
      </c>
      <c r="L435" s="9" t="n">
        <v>32.99</v>
      </c>
      <c r="M435" s="10" t="n">
        <v>0</v>
      </c>
      <c r="N435" s="9" t="n">
        <v>19.79</v>
      </c>
      <c r="O435" s="9">
        <f>K435*L435</f>
        <v/>
      </c>
      <c r="P435" s="9">
        <f>O435*M435</f>
        <v/>
      </c>
      <c r="Q435" s="9">
        <f>O435-P435</f>
        <v/>
      </c>
      <c r="R435" s="9">
        <f>K435*N435</f>
        <v/>
      </c>
      <c r="S435" s="9">
        <f>Q435-R435</f>
        <v/>
      </c>
      <c r="T435" s="10">
        <f>IFERROR(S435/Q435, 0)</f>
        <v/>
      </c>
    </row>
    <row r="436">
      <c r="A436" s="11" t="inlineStr">
        <is>
          <t>ORD-2024-1421</t>
        </is>
      </c>
      <c r="B436" s="11" t="inlineStr">
        <is>
          <t>2024-06-23</t>
        </is>
      </c>
      <c r="C436" s="11" t="inlineStr">
        <is>
          <t>TEC-ACC-007</t>
        </is>
      </c>
      <c r="D436" s="7" t="inlineStr">
        <is>
          <t>ErgoMechanical Wireless Keyboard</t>
        </is>
      </c>
      <c r="E436" s="7" t="inlineStr">
        <is>
          <t>Technology</t>
        </is>
      </c>
      <c r="F436" s="7" t="inlineStr">
        <is>
          <t>Audio &amp; Accessories</t>
        </is>
      </c>
      <c r="G436" s="7" t="inlineStr">
        <is>
          <t>West</t>
        </is>
      </c>
      <c r="H436" s="7" t="inlineStr">
        <is>
          <t>Colorado</t>
        </is>
      </c>
      <c r="I436" s="7" t="inlineStr">
        <is>
          <t>Online</t>
        </is>
      </c>
      <c r="J436" s="7" t="inlineStr">
        <is>
          <t>Consumer</t>
        </is>
      </c>
      <c r="K436" s="12" t="n">
        <v>1</v>
      </c>
      <c r="L436" s="9" t="n">
        <v>109.99</v>
      </c>
      <c r="M436" s="10" t="n">
        <v>0</v>
      </c>
      <c r="N436" s="9" t="n">
        <v>65.98999999999999</v>
      </c>
      <c r="O436" s="9">
        <f>K436*L436</f>
        <v/>
      </c>
      <c r="P436" s="9">
        <f>O436*M436</f>
        <v/>
      </c>
      <c r="Q436" s="9">
        <f>O436-P436</f>
        <v/>
      </c>
      <c r="R436" s="9">
        <f>K436*N436</f>
        <v/>
      </c>
      <c r="S436" s="9">
        <f>Q436-R436</f>
        <v/>
      </c>
      <c r="T436" s="10">
        <f>IFERROR(S436/Q436, 0)</f>
        <v/>
      </c>
    </row>
    <row r="437">
      <c r="A437" s="11" t="inlineStr">
        <is>
          <t>ORD-2024-1608</t>
        </is>
      </c>
      <c r="B437" s="11" t="inlineStr">
        <is>
          <t>2024-06-23</t>
        </is>
      </c>
      <c r="C437" s="11" t="inlineStr">
        <is>
          <t>FUR-BOK-005</t>
        </is>
      </c>
      <c r="D437" s="7" t="inlineStr">
        <is>
          <t>Modular 5-Tier Steel Bookcase</t>
        </is>
      </c>
      <c r="E437" s="7" t="inlineStr">
        <is>
          <t>Furniture</t>
        </is>
      </c>
      <c r="F437" s="7" t="inlineStr">
        <is>
          <t>Bookcases</t>
        </is>
      </c>
      <c r="G437" s="7" t="inlineStr">
        <is>
          <t>East</t>
        </is>
      </c>
      <c r="H437" s="7" t="inlineStr">
        <is>
          <t>Pennsylvania</t>
        </is>
      </c>
      <c r="I437" s="7" t="inlineStr">
        <is>
          <t>Retail Partner</t>
        </is>
      </c>
      <c r="J437" s="7" t="inlineStr">
        <is>
          <t>Corporate</t>
        </is>
      </c>
      <c r="K437" s="12" t="n">
        <v>4</v>
      </c>
      <c r="L437" s="9" t="n">
        <v>189.99</v>
      </c>
      <c r="M437" s="10" t="n">
        <v>0</v>
      </c>
      <c r="N437" s="9" t="n">
        <v>142.49</v>
      </c>
      <c r="O437" s="9">
        <f>K437*L437</f>
        <v/>
      </c>
      <c r="P437" s="9">
        <f>O437*M437</f>
        <v/>
      </c>
      <c r="Q437" s="9">
        <f>O437-P437</f>
        <v/>
      </c>
      <c r="R437" s="9">
        <f>K437*N437</f>
        <v/>
      </c>
      <c r="S437" s="9">
        <f>Q437-R437</f>
        <v/>
      </c>
      <c r="T437" s="10">
        <f>IFERROR(S437/Q437, 0)</f>
        <v/>
      </c>
    </row>
    <row r="438">
      <c r="A438" s="11" t="inlineStr">
        <is>
          <t>ORD-2024-1156</t>
        </is>
      </c>
      <c r="B438" s="11" t="inlineStr">
        <is>
          <t>2024-06-24</t>
        </is>
      </c>
      <c r="C438" s="11" t="inlineStr">
        <is>
          <t>OFF-ART-006</t>
        </is>
      </c>
      <c r="D438" s="7" t="inlineStr">
        <is>
          <t>Professional Presentation Dry Erase Board</t>
        </is>
      </c>
      <c r="E438" s="7" t="inlineStr">
        <is>
          <t>Office Supplies</t>
        </is>
      </c>
      <c r="F438" s="7" t="inlineStr">
        <is>
          <t>Presentation &amp; Art</t>
        </is>
      </c>
      <c r="G438" s="7" t="inlineStr">
        <is>
          <t>West</t>
        </is>
      </c>
      <c r="H438" s="7" t="inlineStr">
        <is>
          <t>Oregon</t>
        </is>
      </c>
      <c r="I438" s="7" t="inlineStr">
        <is>
          <t>Wholesale</t>
        </is>
      </c>
      <c r="J438" s="7" t="inlineStr">
        <is>
          <t>Consumer</t>
        </is>
      </c>
      <c r="K438" s="12" t="n">
        <v>13</v>
      </c>
      <c r="L438" s="9" t="n">
        <v>89.98999999999999</v>
      </c>
      <c r="M438" s="10" t="n">
        <v>0.15</v>
      </c>
      <c r="N438" s="9" t="n">
        <v>53.99</v>
      </c>
      <c r="O438" s="9">
        <f>K438*L438</f>
        <v/>
      </c>
      <c r="P438" s="9">
        <f>O438*M438</f>
        <v/>
      </c>
      <c r="Q438" s="9">
        <f>O438-P438</f>
        <v/>
      </c>
      <c r="R438" s="9">
        <f>K438*N438</f>
        <v/>
      </c>
      <c r="S438" s="9">
        <f>Q438-R438</f>
        <v/>
      </c>
      <c r="T438" s="10">
        <f>IFERROR(S438/Q438, 0)</f>
        <v/>
      </c>
    </row>
    <row r="439">
      <c r="A439" s="11" t="inlineStr">
        <is>
          <t>ORD-2024-1156</t>
        </is>
      </c>
      <c r="B439" s="11" t="inlineStr">
        <is>
          <t>2024-06-24</t>
        </is>
      </c>
      <c r="C439" s="11" t="inlineStr">
        <is>
          <t>OFF-STR-002</t>
        </is>
      </c>
      <c r="D439" s="7" t="inlineStr">
        <is>
          <t>Stackable Heavy-Duty Storage Bins (4-Pk)</t>
        </is>
      </c>
      <c r="E439" s="7" t="inlineStr">
        <is>
          <t>Office Supplies</t>
        </is>
      </c>
      <c r="F439" s="7" t="inlineStr">
        <is>
          <t>Storage &amp; Organizers</t>
        </is>
      </c>
      <c r="G439" s="7" t="inlineStr">
        <is>
          <t>West</t>
        </is>
      </c>
      <c r="H439" s="7" t="inlineStr">
        <is>
          <t>Oregon</t>
        </is>
      </c>
      <c r="I439" s="7" t="inlineStr">
        <is>
          <t>Wholesale</t>
        </is>
      </c>
      <c r="J439" s="7" t="inlineStr">
        <is>
          <t>Consumer</t>
        </is>
      </c>
      <c r="K439" s="12" t="n">
        <v>12</v>
      </c>
      <c r="L439" s="9" t="n">
        <v>44.99</v>
      </c>
      <c r="M439" s="10" t="n">
        <v>0.1</v>
      </c>
      <c r="N439" s="9" t="n">
        <v>24.74</v>
      </c>
      <c r="O439" s="9">
        <f>K439*L439</f>
        <v/>
      </c>
      <c r="P439" s="9">
        <f>O439*M439</f>
        <v/>
      </c>
      <c r="Q439" s="9">
        <f>O439-P439</f>
        <v/>
      </c>
      <c r="R439" s="9">
        <f>K439*N439</f>
        <v/>
      </c>
      <c r="S439" s="9">
        <f>Q439-R439</f>
        <v/>
      </c>
      <c r="T439" s="10">
        <f>IFERROR(S439/Q439, 0)</f>
        <v/>
      </c>
    </row>
    <row r="440">
      <c r="A440" s="11" t="inlineStr">
        <is>
          <t>ORD-2024-1156</t>
        </is>
      </c>
      <c r="B440" s="11" t="inlineStr">
        <is>
          <t>2024-06-24</t>
        </is>
      </c>
      <c r="C440" s="11" t="inlineStr">
        <is>
          <t>FUR-LGT-006</t>
        </is>
      </c>
      <c r="D440" s="7" t="inlineStr">
        <is>
          <t>Architect LED Desk Task Lamp</t>
        </is>
      </c>
      <c r="E440" s="7" t="inlineStr">
        <is>
          <t>Furniture</t>
        </is>
      </c>
      <c r="F440" s="7" t="inlineStr">
        <is>
          <t>Lighting</t>
        </is>
      </c>
      <c r="G440" s="7" t="inlineStr">
        <is>
          <t>West</t>
        </is>
      </c>
      <c r="H440" s="7" t="inlineStr">
        <is>
          <t>Oregon</t>
        </is>
      </c>
      <c r="I440" s="7" t="inlineStr">
        <is>
          <t>Wholesale</t>
        </is>
      </c>
      <c r="J440" s="7" t="inlineStr">
        <is>
          <t>Consumer</t>
        </is>
      </c>
      <c r="K440" s="12" t="n">
        <v>14</v>
      </c>
      <c r="L440" s="9" t="n">
        <v>69.98999999999999</v>
      </c>
      <c r="M440" s="10" t="n">
        <v>0.15</v>
      </c>
      <c r="N440" s="9" t="n">
        <v>43.39</v>
      </c>
      <c r="O440" s="9">
        <f>K440*L440</f>
        <v/>
      </c>
      <c r="P440" s="9">
        <f>O440*M440</f>
        <v/>
      </c>
      <c r="Q440" s="9">
        <f>O440-P440</f>
        <v/>
      </c>
      <c r="R440" s="9">
        <f>K440*N440</f>
        <v/>
      </c>
      <c r="S440" s="9">
        <f>Q440-R440</f>
        <v/>
      </c>
      <c r="T440" s="10">
        <f>IFERROR(S440/Q440, 0)</f>
        <v/>
      </c>
    </row>
    <row r="441">
      <c r="A441" s="11" t="inlineStr">
        <is>
          <t>ORD-2024-1562</t>
        </is>
      </c>
      <c r="B441" s="11" t="inlineStr">
        <is>
          <t>2024-06-24</t>
        </is>
      </c>
      <c r="C441" s="11" t="inlineStr">
        <is>
          <t>OFF-STR-002</t>
        </is>
      </c>
      <c r="D441" s="7" t="inlineStr">
        <is>
          <t>Stackable Heavy-Duty Storage Bins (4-Pk)</t>
        </is>
      </c>
      <c r="E441" s="7" t="inlineStr">
        <is>
          <t>Office Supplies</t>
        </is>
      </c>
      <c r="F441" s="7" t="inlineStr">
        <is>
          <t>Storage &amp; Organizers</t>
        </is>
      </c>
      <c r="G441" s="7" t="inlineStr">
        <is>
          <t>West</t>
        </is>
      </c>
      <c r="H441" s="7" t="inlineStr">
        <is>
          <t>California</t>
        </is>
      </c>
      <c r="I441" s="7" t="inlineStr">
        <is>
          <t>Direct Sales</t>
        </is>
      </c>
      <c r="J441" s="7" t="inlineStr">
        <is>
          <t>Corporate</t>
        </is>
      </c>
      <c r="K441" s="12" t="n">
        <v>3</v>
      </c>
      <c r="L441" s="9" t="n">
        <v>44.99</v>
      </c>
      <c r="M441" s="10" t="n">
        <v>0</v>
      </c>
      <c r="N441" s="9" t="n">
        <v>24.74</v>
      </c>
      <c r="O441" s="9">
        <f>K441*L441</f>
        <v/>
      </c>
      <c r="P441" s="9">
        <f>O441*M441</f>
        <v/>
      </c>
      <c r="Q441" s="9">
        <f>O441-P441</f>
        <v/>
      </c>
      <c r="R441" s="9">
        <f>K441*N441</f>
        <v/>
      </c>
      <c r="S441" s="9">
        <f>Q441-R441</f>
        <v/>
      </c>
      <c r="T441" s="10">
        <f>IFERROR(S441/Q441, 0)</f>
        <v/>
      </c>
    </row>
    <row r="442">
      <c r="A442" s="11" t="inlineStr">
        <is>
          <t>ORD-2024-1205</t>
        </is>
      </c>
      <c r="B442" s="11" t="inlineStr">
        <is>
          <t>2024-06-25</t>
        </is>
      </c>
      <c r="C442" s="11" t="inlineStr">
        <is>
          <t>OFF-STR-001</t>
        </is>
      </c>
      <c r="D442" s="7" t="inlineStr">
        <is>
          <t>SteelLock 3-Drawer File Cabinet</t>
        </is>
      </c>
      <c r="E442" s="7" t="inlineStr">
        <is>
          <t>Office Supplies</t>
        </is>
      </c>
      <c r="F442" s="7" t="inlineStr">
        <is>
          <t>Storage &amp; Organizers</t>
        </is>
      </c>
      <c r="G442" s="7" t="inlineStr">
        <is>
          <t>Central</t>
        </is>
      </c>
      <c r="H442" s="7" t="inlineStr">
        <is>
          <t>Illinois</t>
        </is>
      </c>
      <c r="I442" s="7" t="inlineStr">
        <is>
          <t>Online</t>
        </is>
      </c>
      <c r="J442" s="7" t="inlineStr">
        <is>
          <t>Home Office</t>
        </is>
      </c>
      <c r="K442" s="12" t="n">
        <v>1</v>
      </c>
      <c r="L442" s="9" t="n">
        <v>169.99</v>
      </c>
      <c r="M442" s="10" t="n">
        <v>0.1</v>
      </c>
      <c r="N442" s="9" t="n">
        <v>115.59</v>
      </c>
      <c r="O442" s="9">
        <f>K442*L442</f>
        <v/>
      </c>
      <c r="P442" s="9">
        <f>O442*M442</f>
        <v/>
      </c>
      <c r="Q442" s="9">
        <f>O442-P442</f>
        <v/>
      </c>
      <c r="R442" s="9">
        <f>K442*N442</f>
        <v/>
      </c>
      <c r="S442" s="9">
        <f>Q442-R442</f>
        <v/>
      </c>
      <c r="T442" s="10">
        <f>IFERROR(S442/Q442, 0)</f>
        <v/>
      </c>
    </row>
    <row r="443">
      <c r="A443" s="11" t="inlineStr">
        <is>
          <t>ORD-2024-1337</t>
        </is>
      </c>
      <c r="B443" s="11" t="inlineStr">
        <is>
          <t>2024-06-25</t>
        </is>
      </c>
      <c r="C443" s="11" t="inlineStr">
        <is>
          <t>TEC-ACC-006</t>
        </is>
      </c>
      <c r="D443" s="7" t="inlineStr">
        <is>
          <t>MultiPort Thunderbolt 4 Dock</t>
        </is>
      </c>
      <c r="E443" s="7" t="inlineStr">
        <is>
          <t>Technology</t>
        </is>
      </c>
      <c r="F443" s="7" t="inlineStr">
        <is>
          <t>Audio &amp; Accessories</t>
        </is>
      </c>
      <c r="G443" s="7" t="inlineStr">
        <is>
          <t>West</t>
        </is>
      </c>
      <c r="H443" s="7" t="inlineStr">
        <is>
          <t>California</t>
        </is>
      </c>
      <c r="I443" s="7" t="inlineStr">
        <is>
          <t>Retail Partner</t>
        </is>
      </c>
      <c r="J443" s="7" t="inlineStr">
        <is>
          <t>Home Office</t>
        </is>
      </c>
      <c r="K443" s="12" t="n">
        <v>4</v>
      </c>
      <c r="L443" s="9" t="n">
        <v>149.99</v>
      </c>
      <c r="M443" s="10" t="n">
        <v>0</v>
      </c>
      <c r="N443" s="9" t="n">
        <v>98.98999999999999</v>
      </c>
      <c r="O443" s="9">
        <f>K443*L443</f>
        <v/>
      </c>
      <c r="P443" s="9">
        <f>O443*M443</f>
        <v/>
      </c>
      <c r="Q443" s="9">
        <f>O443-P443</f>
        <v/>
      </c>
      <c r="R443" s="9">
        <f>K443*N443</f>
        <v/>
      </c>
      <c r="S443" s="9">
        <f>Q443-R443</f>
        <v/>
      </c>
      <c r="T443" s="10">
        <f>IFERROR(S443/Q443, 0)</f>
        <v/>
      </c>
    </row>
    <row r="444">
      <c r="A444" s="11" t="inlineStr">
        <is>
          <t>ORD-2024-1010</t>
        </is>
      </c>
      <c r="B444" s="11" t="inlineStr">
        <is>
          <t>2024-06-26</t>
        </is>
      </c>
      <c r="C444" s="11" t="inlineStr">
        <is>
          <t>OFF-STR-001</t>
        </is>
      </c>
      <c r="D444" s="7" t="inlineStr">
        <is>
          <t>SteelLock 3-Drawer File Cabinet</t>
        </is>
      </c>
      <c r="E444" s="7" t="inlineStr">
        <is>
          <t>Office Supplies</t>
        </is>
      </c>
      <c r="F444" s="7" t="inlineStr">
        <is>
          <t>Storage &amp; Organizers</t>
        </is>
      </c>
      <c r="G444" s="7" t="inlineStr">
        <is>
          <t>West</t>
        </is>
      </c>
      <c r="H444" s="7" t="inlineStr">
        <is>
          <t>California</t>
        </is>
      </c>
      <c r="I444" s="7" t="inlineStr">
        <is>
          <t>Retail Partner</t>
        </is>
      </c>
      <c r="J444" s="7" t="inlineStr">
        <is>
          <t>Consumer</t>
        </is>
      </c>
      <c r="K444" s="12" t="n">
        <v>1</v>
      </c>
      <c r="L444" s="9" t="n">
        <v>169.99</v>
      </c>
      <c r="M444" s="10" t="n">
        <v>0</v>
      </c>
      <c r="N444" s="9" t="n">
        <v>115.59</v>
      </c>
      <c r="O444" s="9">
        <f>K444*L444</f>
        <v/>
      </c>
      <c r="P444" s="9">
        <f>O444*M444</f>
        <v/>
      </c>
      <c r="Q444" s="9">
        <f>O444-P444</f>
        <v/>
      </c>
      <c r="R444" s="9">
        <f>K444*N444</f>
        <v/>
      </c>
      <c r="S444" s="9">
        <f>Q444-R444</f>
        <v/>
      </c>
      <c r="T444" s="10">
        <f>IFERROR(S444/Q444, 0)</f>
        <v/>
      </c>
    </row>
    <row r="445">
      <c r="A445" s="11" t="inlineStr">
        <is>
          <t>ORD-2024-1657</t>
        </is>
      </c>
      <c r="B445" s="11" t="inlineStr">
        <is>
          <t>2024-06-26</t>
        </is>
      </c>
      <c r="C445" s="11" t="inlineStr">
        <is>
          <t>FUR-DSK-004</t>
        </is>
      </c>
      <c r="D445" s="7" t="inlineStr">
        <is>
          <t>Metro Compact Corner Workstation</t>
        </is>
      </c>
      <c r="E445" s="7" t="inlineStr">
        <is>
          <t>Furniture</t>
        </is>
      </c>
      <c r="F445" s="7" t="inlineStr">
        <is>
          <t>Desks &amp; Workstations</t>
        </is>
      </c>
      <c r="G445" s="7" t="inlineStr">
        <is>
          <t>West</t>
        </is>
      </c>
      <c r="H445" s="7" t="inlineStr">
        <is>
          <t>Washington</t>
        </is>
      </c>
      <c r="I445" s="7" t="inlineStr">
        <is>
          <t>Online</t>
        </is>
      </c>
      <c r="J445" s="7" t="inlineStr">
        <is>
          <t>Corporate</t>
        </is>
      </c>
      <c r="K445" s="12" t="n">
        <v>4</v>
      </c>
      <c r="L445" s="9" t="n">
        <v>329.99</v>
      </c>
      <c r="M445" s="10" t="n">
        <v>0</v>
      </c>
      <c r="N445" s="9" t="n">
        <v>250.79</v>
      </c>
      <c r="O445" s="9">
        <f>K445*L445</f>
        <v/>
      </c>
      <c r="P445" s="9">
        <f>O445*M445</f>
        <v/>
      </c>
      <c r="Q445" s="9">
        <f>O445-P445</f>
        <v/>
      </c>
      <c r="R445" s="9">
        <f>K445*N445</f>
        <v/>
      </c>
      <c r="S445" s="9">
        <f>Q445-R445</f>
        <v/>
      </c>
      <c r="T445" s="10">
        <f>IFERROR(S445/Q445, 0)</f>
        <v/>
      </c>
    </row>
    <row r="446">
      <c r="A446" s="11" t="inlineStr">
        <is>
          <t>ORD-2024-1601</t>
        </is>
      </c>
      <c r="B446" s="11" t="inlineStr">
        <is>
          <t>2024-06-27</t>
        </is>
      </c>
      <c r="C446" s="11" t="inlineStr">
        <is>
          <t>FUR-DSK-003</t>
        </is>
      </c>
      <c r="D446" s="7" t="inlineStr">
        <is>
          <t>ApexMotor Dual-Motor Standing Desk</t>
        </is>
      </c>
      <c r="E446" s="7" t="inlineStr">
        <is>
          <t>Furniture</t>
        </is>
      </c>
      <c r="F446" s="7" t="inlineStr">
        <is>
          <t>Desks &amp; Workstations</t>
        </is>
      </c>
      <c r="G446" s="7" t="inlineStr">
        <is>
          <t>West</t>
        </is>
      </c>
      <c r="H446" s="7" t="inlineStr">
        <is>
          <t>California</t>
        </is>
      </c>
      <c r="I446" s="7" t="inlineStr">
        <is>
          <t>Online</t>
        </is>
      </c>
      <c r="J446" s="7" t="inlineStr">
        <is>
          <t>Corporate</t>
        </is>
      </c>
      <c r="K446" s="12" t="n">
        <v>6</v>
      </c>
      <c r="L446" s="9" t="n">
        <v>549.99</v>
      </c>
      <c r="M446" s="10" t="n">
        <v>0.1</v>
      </c>
      <c r="N446" s="9" t="n">
        <v>439.99</v>
      </c>
      <c r="O446" s="9">
        <f>K446*L446</f>
        <v/>
      </c>
      <c r="P446" s="9">
        <f>O446*M446</f>
        <v/>
      </c>
      <c r="Q446" s="9">
        <f>O446-P446</f>
        <v/>
      </c>
      <c r="R446" s="9">
        <f>K446*N446</f>
        <v/>
      </c>
      <c r="S446" s="9">
        <f>Q446-R446</f>
        <v/>
      </c>
      <c r="T446" s="10">
        <f>IFERROR(S446/Q446, 0)</f>
        <v/>
      </c>
    </row>
    <row r="447">
      <c r="A447" s="11" t="inlineStr">
        <is>
          <t>ORD-2024-1014</t>
        </is>
      </c>
      <c r="B447" s="11" t="inlineStr">
        <is>
          <t>2024-06-28</t>
        </is>
      </c>
      <c r="C447" s="11" t="inlineStr">
        <is>
          <t>TEC-TAB-004</t>
        </is>
      </c>
      <c r="D447" s="7" t="inlineStr">
        <is>
          <t>VisionPad Lite 8.5"</t>
        </is>
      </c>
      <c r="E447" s="7" t="inlineStr">
        <is>
          <t>Technology</t>
        </is>
      </c>
      <c r="F447" s="7" t="inlineStr">
        <is>
          <t>Phones &amp; Tablets</t>
        </is>
      </c>
      <c r="G447" s="7" t="inlineStr">
        <is>
          <t>Central</t>
        </is>
      </c>
      <c r="H447" s="7" t="inlineStr">
        <is>
          <t>Texas</t>
        </is>
      </c>
      <c r="I447" s="7" t="inlineStr">
        <is>
          <t>Direct Sales</t>
        </is>
      </c>
      <c r="J447" s="7" t="inlineStr">
        <is>
          <t>Home Office</t>
        </is>
      </c>
      <c r="K447" s="12" t="n">
        <v>4</v>
      </c>
      <c r="L447" s="9" t="n">
        <v>299.99</v>
      </c>
      <c r="M447" s="10" t="n">
        <v>0</v>
      </c>
      <c r="N447" s="9" t="n">
        <v>245.99</v>
      </c>
      <c r="O447" s="9">
        <f>K447*L447</f>
        <v/>
      </c>
      <c r="P447" s="9">
        <f>O447*M447</f>
        <v/>
      </c>
      <c r="Q447" s="9">
        <f>O447-P447</f>
        <v/>
      </c>
      <c r="R447" s="9">
        <f>K447*N447</f>
        <v/>
      </c>
      <c r="S447" s="9">
        <f>Q447-R447</f>
        <v/>
      </c>
      <c r="T447" s="10">
        <f>IFERROR(S447/Q447, 0)</f>
        <v/>
      </c>
    </row>
    <row r="448">
      <c r="A448" s="11" t="inlineStr">
        <is>
          <t>ORD-2024-1500</t>
        </is>
      </c>
      <c r="B448" s="11" t="inlineStr">
        <is>
          <t>2024-06-28</t>
        </is>
      </c>
      <c r="C448" s="11" t="inlineStr">
        <is>
          <t>TEC-LAP-002</t>
        </is>
      </c>
      <c r="D448" s="7" t="inlineStr">
        <is>
          <t>Apex Gaming Laptop 17"</t>
        </is>
      </c>
      <c r="E448" s="7" t="inlineStr">
        <is>
          <t>Technology</t>
        </is>
      </c>
      <c r="F448" s="7" t="inlineStr">
        <is>
          <t>Laptops</t>
        </is>
      </c>
      <c r="G448" s="7" t="inlineStr">
        <is>
          <t>Central</t>
        </is>
      </c>
      <c r="H448" s="7" t="inlineStr">
        <is>
          <t>Ohio</t>
        </is>
      </c>
      <c r="I448" s="7" t="inlineStr">
        <is>
          <t>Retail Partner</t>
        </is>
      </c>
      <c r="J448" s="7" t="inlineStr">
        <is>
          <t>Consumer</t>
        </is>
      </c>
      <c r="K448" s="12" t="n">
        <v>1</v>
      </c>
      <c r="L448" s="9" t="n">
        <v>1499.99</v>
      </c>
      <c r="M448" s="10" t="n">
        <v>0.25</v>
      </c>
      <c r="N448" s="9" t="n">
        <v>1259.99</v>
      </c>
      <c r="O448" s="9">
        <f>K448*L448</f>
        <v/>
      </c>
      <c r="P448" s="9">
        <f>O448*M448</f>
        <v/>
      </c>
      <c r="Q448" s="9">
        <f>O448-P448</f>
        <v/>
      </c>
      <c r="R448" s="9">
        <f>K448*N448</f>
        <v/>
      </c>
      <c r="S448" s="9">
        <f>Q448-R448</f>
        <v/>
      </c>
      <c r="T448" s="10">
        <f>IFERROR(S448/Q448, 0)</f>
        <v/>
      </c>
    </row>
    <row r="449">
      <c r="A449" s="11" t="inlineStr">
        <is>
          <t>ORD-2024-1500</t>
        </is>
      </c>
      <c r="B449" s="11" t="inlineStr">
        <is>
          <t>2024-06-28</t>
        </is>
      </c>
      <c r="C449" s="11" t="inlineStr">
        <is>
          <t>FUR-CHA-002</t>
        </is>
      </c>
      <c r="D449" s="7" t="inlineStr">
        <is>
          <t>AeroTask Operator Task Chair</t>
        </is>
      </c>
      <c r="E449" s="7" t="inlineStr">
        <is>
          <t>Furniture</t>
        </is>
      </c>
      <c r="F449" s="7" t="inlineStr">
        <is>
          <t>Chairs</t>
        </is>
      </c>
      <c r="G449" s="7" t="inlineStr">
        <is>
          <t>Central</t>
        </is>
      </c>
      <c r="H449" s="7" t="inlineStr">
        <is>
          <t>Ohio</t>
        </is>
      </c>
      <c r="I449" s="7" t="inlineStr">
        <is>
          <t>Retail Partner</t>
        </is>
      </c>
      <c r="J449" s="7" t="inlineStr">
        <is>
          <t>Consumer</t>
        </is>
      </c>
      <c r="K449" s="12" t="n">
        <v>1</v>
      </c>
      <c r="L449" s="9" t="n">
        <v>219.99</v>
      </c>
      <c r="M449" s="10" t="n">
        <v>0</v>
      </c>
      <c r="N449" s="9" t="n">
        <v>171.59</v>
      </c>
      <c r="O449" s="9">
        <f>K449*L449</f>
        <v/>
      </c>
      <c r="P449" s="9">
        <f>O449*M449</f>
        <v/>
      </c>
      <c r="Q449" s="9">
        <f>O449-P449</f>
        <v/>
      </c>
      <c r="R449" s="9">
        <f>K449*N449</f>
        <v/>
      </c>
      <c r="S449" s="9">
        <f>Q449-R449</f>
        <v/>
      </c>
      <c r="T449" s="10">
        <f>IFERROR(S449/Q449, 0)</f>
        <v/>
      </c>
    </row>
    <row r="450">
      <c r="A450" s="11" t="inlineStr">
        <is>
          <t>ORD-2024-1233</t>
        </is>
      </c>
      <c r="B450" s="11" t="inlineStr">
        <is>
          <t>2024-06-29</t>
        </is>
      </c>
      <c r="C450" s="11" t="inlineStr">
        <is>
          <t>OFF-PAP-004</t>
        </is>
      </c>
      <c r="D450" s="7" t="inlineStr">
        <is>
          <t>EcoRecycled Copy Paper (5 Reams)</t>
        </is>
      </c>
      <c r="E450" s="7" t="inlineStr">
        <is>
          <t>Office Supplies</t>
        </is>
      </c>
      <c r="F450" s="7" t="inlineStr">
        <is>
          <t>Paper Products</t>
        </is>
      </c>
      <c r="G450" s="7" t="inlineStr">
        <is>
          <t>East</t>
        </is>
      </c>
      <c r="H450" s="7" t="inlineStr">
        <is>
          <t>New Jersey</t>
        </is>
      </c>
      <c r="I450" s="7" t="inlineStr">
        <is>
          <t>Retail Partner</t>
        </is>
      </c>
      <c r="J450" s="7" t="inlineStr">
        <is>
          <t>Consumer</t>
        </is>
      </c>
      <c r="K450" s="12" t="n">
        <v>1</v>
      </c>
      <c r="L450" s="9" t="n">
        <v>32.99</v>
      </c>
      <c r="M450" s="10" t="n">
        <v>0</v>
      </c>
      <c r="N450" s="9" t="n">
        <v>19.79</v>
      </c>
      <c r="O450" s="9">
        <f>K450*L450</f>
        <v/>
      </c>
      <c r="P450" s="9">
        <f>O450*M450</f>
        <v/>
      </c>
      <c r="Q450" s="9">
        <f>O450-P450</f>
        <v/>
      </c>
      <c r="R450" s="9">
        <f>K450*N450</f>
        <v/>
      </c>
      <c r="S450" s="9">
        <f>Q450-R450</f>
        <v/>
      </c>
      <c r="T450" s="10">
        <f>IFERROR(S450/Q450, 0)</f>
        <v/>
      </c>
    </row>
    <row r="451">
      <c r="A451" s="11" t="inlineStr">
        <is>
          <t>ORD-2024-1548</t>
        </is>
      </c>
      <c r="B451" s="11" t="inlineStr">
        <is>
          <t>2024-06-29</t>
        </is>
      </c>
      <c r="C451" s="11" t="inlineStr">
        <is>
          <t>OFF-DSK-008</t>
        </is>
      </c>
      <c r="D451" s="7" t="inlineStr">
        <is>
          <t>Steel Desktop Mesh Organizer Caddy</t>
        </is>
      </c>
      <c r="E451" s="7" t="inlineStr">
        <is>
          <t>Office Supplies</t>
        </is>
      </c>
      <c r="F451" s="7" t="inlineStr">
        <is>
          <t>Desk Supplies</t>
        </is>
      </c>
      <c r="G451" s="7" t="inlineStr">
        <is>
          <t>West</t>
        </is>
      </c>
      <c r="H451" s="7" t="inlineStr">
        <is>
          <t>Washington</t>
        </is>
      </c>
      <c r="I451" s="7" t="inlineStr">
        <is>
          <t>Online</t>
        </is>
      </c>
      <c r="J451" s="7" t="inlineStr">
        <is>
          <t>Consumer</t>
        </is>
      </c>
      <c r="K451" s="12" t="n">
        <v>2</v>
      </c>
      <c r="L451" s="9" t="n">
        <v>18.99</v>
      </c>
      <c r="M451" s="10" t="n">
        <v>0.05</v>
      </c>
      <c r="N451" s="9" t="n">
        <v>8.550000000000001</v>
      </c>
      <c r="O451" s="9">
        <f>K451*L451</f>
        <v/>
      </c>
      <c r="P451" s="9">
        <f>O451*M451</f>
        <v/>
      </c>
      <c r="Q451" s="9">
        <f>O451-P451</f>
        <v/>
      </c>
      <c r="R451" s="9">
        <f>K451*N451</f>
        <v/>
      </c>
      <c r="S451" s="9">
        <f>Q451-R451</f>
        <v/>
      </c>
      <c r="T451" s="10">
        <f>IFERROR(S451/Q451, 0)</f>
        <v/>
      </c>
    </row>
    <row r="452">
      <c r="A452" s="11" t="inlineStr">
        <is>
          <t>ORD-2024-1501</t>
        </is>
      </c>
      <c r="B452" s="11" t="inlineStr">
        <is>
          <t>2024-06-30</t>
        </is>
      </c>
      <c r="C452" s="11" t="inlineStr">
        <is>
          <t>FUR-CHA-002</t>
        </is>
      </c>
      <c r="D452" s="7" t="inlineStr">
        <is>
          <t>AeroTask Operator Task Chair</t>
        </is>
      </c>
      <c r="E452" s="7" t="inlineStr">
        <is>
          <t>Furniture</t>
        </is>
      </c>
      <c r="F452" s="7" t="inlineStr">
        <is>
          <t>Chairs</t>
        </is>
      </c>
      <c r="G452" s="7" t="inlineStr">
        <is>
          <t>East</t>
        </is>
      </c>
      <c r="H452" s="7" t="inlineStr">
        <is>
          <t>Massachusetts</t>
        </is>
      </c>
      <c r="I452" s="7" t="inlineStr">
        <is>
          <t>Wholesale</t>
        </is>
      </c>
      <c r="J452" s="7" t="inlineStr">
        <is>
          <t>Home Office</t>
        </is>
      </c>
      <c r="K452" s="12" t="n">
        <v>12</v>
      </c>
      <c r="L452" s="9" t="n">
        <v>219.99</v>
      </c>
      <c r="M452" s="10" t="n">
        <v>0.1</v>
      </c>
      <c r="N452" s="9" t="n">
        <v>171.59</v>
      </c>
      <c r="O452" s="9">
        <f>K452*L452</f>
        <v/>
      </c>
      <c r="P452" s="9">
        <f>O452*M452</f>
        <v/>
      </c>
      <c r="Q452" s="9">
        <f>O452-P452</f>
        <v/>
      </c>
      <c r="R452" s="9">
        <f>K452*N452</f>
        <v/>
      </c>
      <c r="S452" s="9">
        <f>Q452-R452</f>
        <v/>
      </c>
      <c r="T452" s="10">
        <f>IFERROR(S452/Q452, 0)</f>
        <v/>
      </c>
    </row>
    <row r="453">
      <c r="A453" s="11" t="inlineStr">
        <is>
          <t>ORD-2024-1518</t>
        </is>
      </c>
      <c r="B453" s="11" t="inlineStr">
        <is>
          <t>2024-06-30</t>
        </is>
      </c>
      <c r="C453" s="11" t="inlineStr">
        <is>
          <t>OFF-PAP-004</t>
        </is>
      </c>
      <c r="D453" s="7" t="inlineStr">
        <is>
          <t>EcoRecycled Copy Paper (5 Reams)</t>
        </is>
      </c>
      <c r="E453" s="7" t="inlineStr">
        <is>
          <t>Office Supplies</t>
        </is>
      </c>
      <c r="F453" s="7" t="inlineStr">
        <is>
          <t>Paper Products</t>
        </is>
      </c>
      <c r="G453" s="7" t="inlineStr">
        <is>
          <t>Central</t>
        </is>
      </c>
      <c r="H453" s="7" t="inlineStr">
        <is>
          <t>Michigan</t>
        </is>
      </c>
      <c r="I453" s="7" t="inlineStr">
        <is>
          <t>Direct Sales</t>
        </is>
      </c>
      <c r="J453" s="7" t="inlineStr">
        <is>
          <t>Home Office</t>
        </is>
      </c>
      <c r="K453" s="12" t="n">
        <v>2</v>
      </c>
      <c r="L453" s="9" t="n">
        <v>32.99</v>
      </c>
      <c r="M453" s="10" t="n">
        <v>0</v>
      </c>
      <c r="N453" s="9" t="n">
        <v>19.79</v>
      </c>
      <c r="O453" s="9">
        <f>K453*L453</f>
        <v/>
      </c>
      <c r="P453" s="9">
        <f>O453*M453</f>
        <v/>
      </c>
      <c r="Q453" s="9">
        <f>O453-P453</f>
        <v/>
      </c>
      <c r="R453" s="9">
        <f>K453*N453</f>
        <v/>
      </c>
      <c r="S453" s="9">
        <f>Q453-R453</f>
        <v/>
      </c>
      <c r="T453" s="10">
        <f>IFERROR(S453/Q453, 0)</f>
        <v/>
      </c>
    </row>
    <row r="454">
      <c r="A454" s="11" t="inlineStr">
        <is>
          <t>ORD-2024-1135</t>
        </is>
      </c>
      <c r="B454" s="11" t="inlineStr">
        <is>
          <t>2024-07-01</t>
        </is>
      </c>
      <c r="C454" s="11" t="inlineStr">
        <is>
          <t>OFF-BIN-005</t>
        </is>
      </c>
      <c r="D454" s="7" t="inlineStr">
        <is>
          <t>Heavy-Duty D-Ring Presentation Binder (6-Pk)</t>
        </is>
      </c>
      <c r="E454" s="7" t="inlineStr">
        <is>
          <t>Office Supplies</t>
        </is>
      </c>
      <c r="F454" s="7" t="inlineStr">
        <is>
          <t>Binders &amp; Fasteners</t>
        </is>
      </c>
      <c r="G454" s="7" t="inlineStr">
        <is>
          <t>East</t>
        </is>
      </c>
      <c r="H454" s="7" t="inlineStr">
        <is>
          <t>New Jersey</t>
        </is>
      </c>
      <c r="I454" s="7" t="inlineStr">
        <is>
          <t>Online</t>
        </is>
      </c>
      <c r="J454" s="7" t="inlineStr">
        <is>
          <t>Consumer</t>
        </is>
      </c>
      <c r="K454" s="12" t="n">
        <v>1</v>
      </c>
      <c r="L454" s="9" t="n">
        <v>27.99</v>
      </c>
      <c r="M454" s="10" t="n">
        <v>0.1</v>
      </c>
      <c r="N454" s="9" t="n">
        <v>13.99</v>
      </c>
      <c r="O454" s="9">
        <f>K454*L454</f>
        <v/>
      </c>
      <c r="P454" s="9">
        <f>O454*M454</f>
        <v/>
      </c>
      <c r="Q454" s="9">
        <f>O454-P454</f>
        <v/>
      </c>
      <c r="R454" s="9">
        <f>K454*N454</f>
        <v/>
      </c>
      <c r="S454" s="9">
        <f>Q454-R454</f>
        <v/>
      </c>
      <c r="T454" s="10">
        <f>IFERROR(S454/Q454, 0)</f>
        <v/>
      </c>
    </row>
    <row r="455">
      <c r="A455" s="11" t="inlineStr">
        <is>
          <t>ORD-2024-1135</t>
        </is>
      </c>
      <c r="B455" s="11" t="inlineStr">
        <is>
          <t>2024-07-01</t>
        </is>
      </c>
      <c r="C455" s="11" t="inlineStr">
        <is>
          <t>TEC-TAB-003</t>
        </is>
      </c>
      <c r="D455" s="7" t="inlineStr">
        <is>
          <t>VisionPad Pro 11"</t>
        </is>
      </c>
      <c r="E455" s="7" t="inlineStr">
        <is>
          <t>Technology</t>
        </is>
      </c>
      <c r="F455" s="7" t="inlineStr">
        <is>
          <t>Phones &amp; Tablets</t>
        </is>
      </c>
      <c r="G455" s="7" t="inlineStr">
        <is>
          <t>East</t>
        </is>
      </c>
      <c r="H455" s="7" t="inlineStr">
        <is>
          <t>New Jersey</t>
        </is>
      </c>
      <c r="I455" s="7" t="inlineStr">
        <is>
          <t>Online</t>
        </is>
      </c>
      <c r="J455" s="7" t="inlineStr">
        <is>
          <t>Consumer</t>
        </is>
      </c>
      <c r="K455" s="12" t="n">
        <v>4</v>
      </c>
      <c r="L455" s="9" t="n">
        <v>649.99</v>
      </c>
      <c r="M455" s="10" t="n">
        <v>0</v>
      </c>
      <c r="N455" s="9" t="n">
        <v>487.49</v>
      </c>
      <c r="O455" s="9">
        <f>K455*L455</f>
        <v/>
      </c>
      <c r="P455" s="9">
        <f>O455*M455</f>
        <v/>
      </c>
      <c r="Q455" s="9">
        <f>O455-P455</f>
        <v/>
      </c>
      <c r="R455" s="9">
        <f>K455*N455</f>
        <v/>
      </c>
      <c r="S455" s="9">
        <f>Q455-R455</f>
        <v/>
      </c>
      <c r="T455" s="10">
        <f>IFERROR(S455/Q455, 0)</f>
        <v/>
      </c>
    </row>
    <row r="456">
      <c r="A456" s="11" t="inlineStr">
        <is>
          <t>ORD-2024-1444</t>
        </is>
      </c>
      <c r="B456" s="11" t="inlineStr">
        <is>
          <t>2024-07-02</t>
        </is>
      </c>
      <c r="C456" s="11" t="inlineStr">
        <is>
          <t>OFF-STR-001</t>
        </is>
      </c>
      <c r="D456" s="7" t="inlineStr">
        <is>
          <t>SteelLock 3-Drawer File Cabinet</t>
        </is>
      </c>
      <c r="E456" s="7" t="inlineStr">
        <is>
          <t>Office Supplies</t>
        </is>
      </c>
      <c r="F456" s="7" t="inlineStr">
        <is>
          <t>Storage &amp; Organizers</t>
        </is>
      </c>
      <c r="G456" s="7" t="inlineStr">
        <is>
          <t>South</t>
        </is>
      </c>
      <c r="H456" s="7" t="inlineStr">
        <is>
          <t>Georgia</t>
        </is>
      </c>
      <c r="I456" s="7" t="inlineStr">
        <is>
          <t>Wholesale</t>
        </is>
      </c>
      <c r="J456" s="7" t="inlineStr">
        <is>
          <t>Consumer</t>
        </is>
      </c>
      <c r="K456" s="12" t="n">
        <v>11</v>
      </c>
      <c r="L456" s="9" t="n">
        <v>169.99</v>
      </c>
      <c r="M456" s="10" t="n">
        <v>0.1</v>
      </c>
      <c r="N456" s="9" t="n">
        <v>115.59</v>
      </c>
      <c r="O456" s="9">
        <f>K456*L456</f>
        <v/>
      </c>
      <c r="P456" s="9">
        <f>O456*M456</f>
        <v/>
      </c>
      <c r="Q456" s="9">
        <f>O456-P456</f>
        <v/>
      </c>
      <c r="R456" s="9">
        <f>K456*N456</f>
        <v/>
      </c>
      <c r="S456" s="9">
        <f>Q456-R456</f>
        <v/>
      </c>
      <c r="T456" s="10">
        <f>IFERROR(S456/Q456, 0)</f>
        <v/>
      </c>
    </row>
    <row r="457">
      <c r="A457" s="11" t="inlineStr">
        <is>
          <t>ORD-2024-1444</t>
        </is>
      </c>
      <c r="B457" s="11" t="inlineStr">
        <is>
          <t>2024-07-02</t>
        </is>
      </c>
      <c r="C457" s="11" t="inlineStr">
        <is>
          <t>OFF-STR-002</t>
        </is>
      </c>
      <c r="D457" s="7" t="inlineStr">
        <is>
          <t>Stackable Heavy-Duty Storage Bins (4-Pk)</t>
        </is>
      </c>
      <c r="E457" s="7" t="inlineStr">
        <is>
          <t>Office Supplies</t>
        </is>
      </c>
      <c r="F457" s="7" t="inlineStr">
        <is>
          <t>Storage &amp; Organizers</t>
        </is>
      </c>
      <c r="G457" s="7" t="inlineStr">
        <is>
          <t>South</t>
        </is>
      </c>
      <c r="H457" s="7" t="inlineStr">
        <is>
          <t>Georgia</t>
        </is>
      </c>
      <c r="I457" s="7" t="inlineStr">
        <is>
          <t>Wholesale</t>
        </is>
      </c>
      <c r="J457" s="7" t="inlineStr">
        <is>
          <t>Consumer</t>
        </is>
      </c>
      <c r="K457" s="12" t="n">
        <v>12</v>
      </c>
      <c r="L457" s="9" t="n">
        <v>44.99</v>
      </c>
      <c r="M457" s="10" t="n">
        <v>0.1</v>
      </c>
      <c r="N457" s="9" t="n">
        <v>24.74</v>
      </c>
      <c r="O457" s="9">
        <f>K457*L457</f>
        <v/>
      </c>
      <c r="P457" s="9">
        <f>O457*M457</f>
        <v/>
      </c>
      <c r="Q457" s="9">
        <f>O457-P457</f>
        <v/>
      </c>
      <c r="R457" s="9">
        <f>K457*N457</f>
        <v/>
      </c>
      <c r="S457" s="9">
        <f>Q457-R457</f>
        <v/>
      </c>
      <c r="T457" s="10">
        <f>IFERROR(S457/Q457, 0)</f>
        <v/>
      </c>
    </row>
    <row r="458">
      <c r="A458" s="11" t="inlineStr">
        <is>
          <t>ORD-2024-1612</t>
        </is>
      </c>
      <c r="B458" s="11" t="inlineStr">
        <is>
          <t>2024-07-03</t>
        </is>
      </c>
      <c r="C458" s="11" t="inlineStr">
        <is>
          <t>FUR-LGT-006</t>
        </is>
      </c>
      <c r="D458" s="7" t="inlineStr">
        <is>
          <t>Architect LED Desk Task Lamp</t>
        </is>
      </c>
      <c r="E458" s="7" t="inlineStr">
        <is>
          <t>Furniture</t>
        </is>
      </c>
      <c r="F458" s="7" t="inlineStr">
        <is>
          <t>Lighting</t>
        </is>
      </c>
      <c r="G458" s="7" t="inlineStr">
        <is>
          <t>Central</t>
        </is>
      </c>
      <c r="H458" s="7" t="inlineStr">
        <is>
          <t>Texas</t>
        </is>
      </c>
      <c r="I458" s="7" t="inlineStr">
        <is>
          <t>Direct Sales</t>
        </is>
      </c>
      <c r="J458" s="7" t="inlineStr">
        <is>
          <t>Corporate</t>
        </is>
      </c>
      <c r="K458" s="12" t="n">
        <v>5</v>
      </c>
      <c r="L458" s="9" t="n">
        <v>69.98999999999999</v>
      </c>
      <c r="M458" s="10" t="n">
        <v>0.05</v>
      </c>
      <c r="N458" s="9" t="n">
        <v>43.39</v>
      </c>
      <c r="O458" s="9">
        <f>K458*L458</f>
        <v/>
      </c>
      <c r="P458" s="9">
        <f>O458*M458</f>
        <v/>
      </c>
      <c r="Q458" s="9">
        <f>O458-P458</f>
        <v/>
      </c>
      <c r="R458" s="9">
        <f>K458*N458</f>
        <v/>
      </c>
      <c r="S458" s="9">
        <f>Q458-R458</f>
        <v/>
      </c>
      <c r="T458" s="10">
        <f>IFERROR(S458/Q458, 0)</f>
        <v/>
      </c>
    </row>
    <row r="459">
      <c r="A459" s="11" t="inlineStr">
        <is>
          <t>ORD-2024-1322</t>
        </is>
      </c>
      <c r="B459" s="11" t="inlineStr">
        <is>
          <t>2024-07-04</t>
        </is>
      </c>
      <c r="C459" s="11" t="inlineStr">
        <is>
          <t>OFF-STR-002</t>
        </is>
      </c>
      <c r="D459" s="7" t="inlineStr">
        <is>
          <t>Stackable Heavy-Duty Storage Bins (4-Pk)</t>
        </is>
      </c>
      <c r="E459" s="7" t="inlineStr">
        <is>
          <t>Office Supplies</t>
        </is>
      </c>
      <c r="F459" s="7" t="inlineStr">
        <is>
          <t>Storage &amp; Organizers</t>
        </is>
      </c>
      <c r="G459" s="7" t="inlineStr">
        <is>
          <t>Central</t>
        </is>
      </c>
      <c r="H459" s="7" t="inlineStr">
        <is>
          <t>Illinois</t>
        </is>
      </c>
      <c r="I459" s="7" t="inlineStr">
        <is>
          <t>Direct Sales</t>
        </is>
      </c>
      <c r="J459" s="7" t="inlineStr">
        <is>
          <t>Consumer</t>
        </is>
      </c>
      <c r="K459" s="12" t="n">
        <v>4</v>
      </c>
      <c r="L459" s="9" t="n">
        <v>44.99</v>
      </c>
      <c r="M459" s="10" t="n">
        <v>0.1</v>
      </c>
      <c r="N459" s="9" t="n">
        <v>24.74</v>
      </c>
      <c r="O459" s="9">
        <f>K459*L459</f>
        <v/>
      </c>
      <c r="P459" s="9">
        <f>O459*M459</f>
        <v/>
      </c>
      <c r="Q459" s="9">
        <f>O459-P459</f>
        <v/>
      </c>
      <c r="R459" s="9">
        <f>K459*N459</f>
        <v/>
      </c>
      <c r="S459" s="9">
        <f>Q459-R459</f>
        <v/>
      </c>
      <c r="T459" s="10">
        <f>IFERROR(S459/Q459, 0)</f>
        <v/>
      </c>
    </row>
    <row r="460">
      <c r="A460" s="11" t="inlineStr">
        <is>
          <t>ORD-2024-1708</t>
        </is>
      </c>
      <c r="B460" s="11" t="inlineStr">
        <is>
          <t>2024-07-04</t>
        </is>
      </c>
      <c r="C460" s="11" t="inlineStr">
        <is>
          <t>TEC-ACC-005</t>
        </is>
      </c>
      <c r="D460" s="7" t="inlineStr">
        <is>
          <t>UltraWireless Noise-Canceling Headset</t>
        </is>
      </c>
      <c r="E460" s="7" t="inlineStr">
        <is>
          <t>Technology</t>
        </is>
      </c>
      <c r="F460" s="7" t="inlineStr">
        <is>
          <t>Audio &amp; Accessories</t>
        </is>
      </c>
      <c r="G460" s="7" t="inlineStr">
        <is>
          <t>East</t>
        </is>
      </c>
      <c r="H460" s="7" t="inlineStr">
        <is>
          <t>New Jersey</t>
        </is>
      </c>
      <c r="I460" s="7" t="inlineStr">
        <is>
          <t>Direct Sales</t>
        </is>
      </c>
      <c r="J460" s="7" t="inlineStr">
        <is>
          <t>Consumer</t>
        </is>
      </c>
      <c r="K460" s="12" t="n">
        <v>4</v>
      </c>
      <c r="L460" s="9" t="n">
        <v>179.99</v>
      </c>
      <c r="M460" s="10" t="n">
        <v>0</v>
      </c>
      <c r="N460" s="9" t="n">
        <v>111.59</v>
      </c>
      <c r="O460" s="9">
        <f>K460*L460</f>
        <v/>
      </c>
      <c r="P460" s="9">
        <f>O460*M460</f>
        <v/>
      </c>
      <c r="Q460" s="9">
        <f>O460-P460</f>
        <v/>
      </c>
      <c r="R460" s="9">
        <f>K460*N460</f>
        <v/>
      </c>
      <c r="S460" s="9">
        <f>Q460-R460</f>
        <v/>
      </c>
      <c r="T460" s="10">
        <f>IFERROR(S460/Q460, 0)</f>
        <v/>
      </c>
    </row>
    <row r="461">
      <c r="A461" s="11" t="inlineStr">
        <is>
          <t>ORD-2024-1086</t>
        </is>
      </c>
      <c r="B461" s="11" t="inlineStr">
        <is>
          <t>2024-07-06</t>
        </is>
      </c>
      <c r="C461" s="11" t="inlineStr">
        <is>
          <t>FUR-LGT-006</t>
        </is>
      </c>
      <c r="D461" s="7" t="inlineStr">
        <is>
          <t>Architect LED Desk Task Lamp</t>
        </is>
      </c>
      <c r="E461" s="7" t="inlineStr">
        <is>
          <t>Furniture</t>
        </is>
      </c>
      <c r="F461" s="7" t="inlineStr">
        <is>
          <t>Lighting</t>
        </is>
      </c>
      <c r="G461" s="7" t="inlineStr">
        <is>
          <t>West</t>
        </is>
      </c>
      <c r="H461" s="7" t="inlineStr">
        <is>
          <t>Washington</t>
        </is>
      </c>
      <c r="I461" s="7" t="inlineStr">
        <is>
          <t>Online</t>
        </is>
      </c>
      <c r="J461" s="7" t="inlineStr">
        <is>
          <t>Corporate</t>
        </is>
      </c>
      <c r="K461" s="12" t="n">
        <v>2</v>
      </c>
      <c r="L461" s="9" t="n">
        <v>69.98999999999999</v>
      </c>
      <c r="M461" s="10" t="n">
        <v>0.05</v>
      </c>
      <c r="N461" s="9" t="n">
        <v>43.39</v>
      </c>
      <c r="O461" s="9">
        <f>K461*L461</f>
        <v/>
      </c>
      <c r="P461" s="9">
        <f>O461*M461</f>
        <v/>
      </c>
      <c r="Q461" s="9">
        <f>O461-P461</f>
        <v/>
      </c>
      <c r="R461" s="9">
        <f>K461*N461</f>
        <v/>
      </c>
      <c r="S461" s="9">
        <f>Q461-R461</f>
        <v/>
      </c>
      <c r="T461" s="10">
        <f>IFERROR(S461/Q461, 0)</f>
        <v/>
      </c>
    </row>
    <row r="462">
      <c r="A462" s="11" t="inlineStr">
        <is>
          <t>ORD-2024-1323</t>
        </is>
      </c>
      <c r="B462" s="11" t="inlineStr">
        <is>
          <t>2024-07-06</t>
        </is>
      </c>
      <c r="C462" s="11" t="inlineStr">
        <is>
          <t>FUR-BOK-005</t>
        </is>
      </c>
      <c r="D462" s="7" t="inlineStr">
        <is>
          <t>Modular 5-Tier Steel Bookcase</t>
        </is>
      </c>
      <c r="E462" s="7" t="inlineStr">
        <is>
          <t>Furniture</t>
        </is>
      </c>
      <c r="F462" s="7" t="inlineStr">
        <is>
          <t>Bookcases</t>
        </is>
      </c>
      <c r="G462" s="7" t="inlineStr">
        <is>
          <t>West</t>
        </is>
      </c>
      <c r="H462" s="7" t="inlineStr">
        <is>
          <t>Washington</t>
        </is>
      </c>
      <c r="I462" s="7" t="inlineStr">
        <is>
          <t>Retail Partner</t>
        </is>
      </c>
      <c r="J462" s="7" t="inlineStr">
        <is>
          <t>Consumer</t>
        </is>
      </c>
      <c r="K462" s="12" t="n">
        <v>2</v>
      </c>
      <c r="L462" s="9" t="n">
        <v>189.99</v>
      </c>
      <c r="M462" s="10" t="n">
        <v>0</v>
      </c>
      <c r="N462" s="9" t="n">
        <v>142.49</v>
      </c>
      <c r="O462" s="9">
        <f>K462*L462</f>
        <v/>
      </c>
      <c r="P462" s="9">
        <f>O462*M462</f>
        <v/>
      </c>
      <c r="Q462" s="9">
        <f>O462-P462</f>
        <v/>
      </c>
      <c r="R462" s="9">
        <f>K462*N462</f>
        <v/>
      </c>
      <c r="S462" s="9">
        <f>Q462-R462</f>
        <v/>
      </c>
      <c r="T462" s="10">
        <f>IFERROR(S462/Q462, 0)</f>
        <v/>
      </c>
    </row>
    <row r="463">
      <c r="A463" s="11" t="inlineStr">
        <is>
          <t>ORD-2024-1021</t>
        </is>
      </c>
      <c r="B463" s="11" t="inlineStr">
        <is>
          <t>2024-07-09</t>
        </is>
      </c>
      <c r="C463" s="11" t="inlineStr">
        <is>
          <t>TEC-ACC-007</t>
        </is>
      </c>
      <c r="D463" s="7" t="inlineStr">
        <is>
          <t>ErgoMechanical Wireless Keyboard</t>
        </is>
      </c>
      <c r="E463" s="7" t="inlineStr">
        <is>
          <t>Technology</t>
        </is>
      </c>
      <c r="F463" s="7" t="inlineStr">
        <is>
          <t>Audio &amp; Accessories</t>
        </is>
      </c>
      <c r="G463" s="7" t="inlineStr">
        <is>
          <t>West</t>
        </is>
      </c>
      <c r="H463" s="7" t="inlineStr">
        <is>
          <t>California</t>
        </is>
      </c>
      <c r="I463" s="7" t="inlineStr">
        <is>
          <t>Online</t>
        </is>
      </c>
      <c r="J463" s="7" t="inlineStr">
        <is>
          <t>Consumer</t>
        </is>
      </c>
      <c r="K463" s="12" t="n">
        <v>3</v>
      </c>
      <c r="L463" s="9" t="n">
        <v>109.99</v>
      </c>
      <c r="M463" s="10" t="n">
        <v>0</v>
      </c>
      <c r="N463" s="9" t="n">
        <v>65.98999999999999</v>
      </c>
      <c r="O463" s="9">
        <f>K463*L463</f>
        <v/>
      </c>
      <c r="P463" s="9">
        <f>O463*M463</f>
        <v/>
      </c>
      <c r="Q463" s="9">
        <f>O463-P463</f>
        <v/>
      </c>
      <c r="R463" s="9">
        <f>K463*N463</f>
        <v/>
      </c>
      <c r="S463" s="9">
        <f>Q463-R463</f>
        <v/>
      </c>
      <c r="T463" s="10">
        <f>IFERROR(S463/Q463, 0)</f>
        <v/>
      </c>
    </row>
    <row r="464">
      <c r="A464" s="11" t="inlineStr">
        <is>
          <t>ORD-2024-1021</t>
        </is>
      </c>
      <c r="B464" s="11" t="inlineStr">
        <is>
          <t>2024-07-09</t>
        </is>
      </c>
      <c r="C464" s="11" t="inlineStr">
        <is>
          <t>TEC-ACC-007</t>
        </is>
      </c>
      <c r="D464" s="7" t="inlineStr">
        <is>
          <t>ErgoMechanical Wireless Keyboard</t>
        </is>
      </c>
      <c r="E464" s="7" t="inlineStr">
        <is>
          <t>Technology</t>
        </is>
      </c>
      <c r="F464" s="7" t="inlineStr">
        <is>
          <t>Audio &amp; Accessories</t>
        </is>
      </c>
      <c r="G464" s="7" t="inlineStr">
        <is>
          <t>West</t>
        </is>
      </c>
      <c r="H464" s="7" t="inlineStr">
        <is>
          <t>California</t>
        </is>
      </c>
      <c r="I464" s="7" t="inlineStr">
        <is>
          <t>Online</t>
        </is>
      </c>
      <c r="J464" s="7" t="inlineStr">
        <is>
          <t>Consumer</t>
        </is>
      </c>
      <c r="K464" s="12" t="n">
        <v>4</v>
      </c>
      <c r="L464" s="9" t="n">
        <v>109.99</v>
      </c>
      <c r="M464" s="10" t="n">
        <v>0</v>
      </c>
      <c r="N464" s="9" t="n">
        <v>65.98999999999999</v>
      </c>
      <c r="O464" s="9">
        <f>K464*L464</f>
        <v/>
      </c>
      <c r="P464" s="9">
        <f>O464*M464</f>
        <v/>
      </c>
      <c r="Q464" s="9">
        <f>O464-P464</f>
        <v/>
      </c>
      <c r="R464" s="9">
        <f>K464*N464</f>
        <v/>
      </c>
      <c r="S464" s="9">
        <f>Q464-R464</f>
        <v/>
      </c>
      <c r="T464" s="10">
        <f>IFERROR(S464/Q464, 0)</f>
        <v/>
      </c>
    </row>
    <row r="465">
      <c r="A465" s="11" t="inlineStr">
        <is>
          <t>ORD-2024-1021</t>
        </is>
      </c>
      <c r="B465" s="11" t="inlineStr">
        <is>
          <t>2024-07-09</t>
        </is>
      </c>
      <c r="C465" s="11" t="inlineStr">
        <is>
          <t>FUR-BOK-005</t>
        </is>
      </c>
      <c r="D465" s="7" t="inlineStr">
        <is>
          <t>Modular 5-Tier Steel Bookcase</t>
        </is>
      </c>
      <c r="E465" s="7" t="inlineStr">
        <is>
          <t>Furniture</t>
        </is>
      </c>
      <c r="F465" s="7" t="inlineStr">
        <is>
          <t>Bookcases</t>
        </is>
      </c>
      <c r="G465" s="7" t="inlineStr">
        <is>
          <t>West</t>
        </is>
      </c>
      <c r="H465" s="7" t="inlineStr">
        <is>
          <t>California</t>
        </is>
      </c>
      <c r="I465" s="7" t="inlineStr">
        <is>
          <t>Online</t>
        </is>
      </c>
      <c r="J465" s="7" t="inlineStr">
        <is>
          <t>Consumer</t>
        </is>
      </c>
      <c r="K465" s="12" t="n">
        <v>4</v>
      </c>
      <c r="L465" s="9" t="n">
        <v>189.99</v>
      </c>
      <c r="M465" s="10" t="n">
        <v>0.05</v>
      </c>
      <c r="N465" s="9" t="n">
        <v>142.49</v>
      </c>
      <c r="O465" s="9">
        <f>K465*L465</f>
        <v/>
      </c>
      <c r="P465" s="9">
        <f>O465*M465</f>
        <v/>
      </c>
      <c r="Q465" s="9">
        <f>O465-P465</f>
        <v/>
      </c>
      <c r="R465" s="9">
        <f>K465*N465</f>
        <v/>
      </c>
      <c r="S465" s="9">
        <f>Q465-R465</f>
        <v/>
      </c>
      <c r="T465" s="10">
        <f>IFERROR(S465/Q465, 0)</f>
        <v/>
      </c>
    </row>
    <row r="466">
      <c r="A466" s="11" t="inlineStr">
        <is>
          <t>ORD-2024-1075</t>
        </is>
      </c>
      <c r="B466" s="11" t="inlineStr">
        <is>
          <t>2024-07-09</t>
        </is>
      </c>
      <c r="C466" s="11" t="inlineStr">
        <is>
          <t>OFF-ART-006</t>
        </is>
      </c>
      <c r="D466" s="7" t="inlineStr">
        <is>
          <t>Professional Presentation Dry Erase Board</t>
        </is>
      </c>
      <c r="E466" s="7" t="inlineStr">
        <is>
          <t>Office Supplies</t>
        </is>
      </c>
      <c r="F466" s="7" t="inlineStr">
        <is>
          <t>Presentation &amp; Art</t>
        </is>
      </c>
      <c r="G466" s="7" t="inlineStr">
        <is>
          <t>East</t>
        </is>
      </c>
      <c r="H466" s="7" t="inlineStr">
        <is>
          <t>Massachusetts</t>
        </is>
      </c>
      <c r="I466" s="7" t="inlineStr">
        <is>
          <t>Direct Sales</t>
        </is>
      </c>
      <c r="J466" s="7" t="inlineStr">
        <is>
          <t>Home Office</t>
        </is>
      </c>
      <c r="K466" s="12" t="n">
        <v>2</v>
      </c>
      <c r="L466" s="9" t="n">
        <v>89.98999999999999</v>
      </c>
      <c r="M466" s="10" t="n">
        <v>0</v>
      </c>
      <c r="N466" s="9" t="n">
        <v>53.99</v>
      </c>
      <c r="O466" s="9">
        <f>K466*L466</f>
        <v/>
      </c>
      <c r="P466" s="9">
        <f>O466*M466</f>
        <v/>
      </c>
      <c r="Q466" s="9">
        <f>O466-P466</f>
        <v/>
      </c>
      <c r="R466" s="9">
        <f>K466*N466</f>
        <v/>
      </c>
      <c r="S466" s="9">
        <f>Q466-R466</f>
        <v/>
      </c>
      <c r="T466" s="10">
        <f>IFERROR(S466/Q466, 0)</f>
        <v/>
      </c>
    </row>
    <row r="467">
      <c r="A467" s="11" t="inlineStr">
        <is>
          <t>ORD-2024-1088</t>
        </is>
      </c>
      <c r="B467" s="11" t="inlineStr">
        <is>
          <t>2024-07-09</t>
        </is>
      </c>
      <c r="C467" s="11" t="inlineStr">
        <is>
          <t>TEC-TAB-004</t>
        </is>
      </c>
      <c r="D467" s="7" t="inlineStr">
        <is>
          <t>VisionPad Lite 8.5"</t>
        </is>
      </c>
      <c r="E467" s="7" t="inlineStr">
        <is>
          <t>Technology</t>
        </is>
      </c>
      <c r="F467" s="7" t="inlineStr">
        <is>
          <t>Phones &amp; Tablets</t>
        </is>
      </c>
      <c r="G467" s="7" t="inlineStr">
        <is>
          <t>South</t>
        </is>
      </c>
      <c r="H467" s="7" t="inlineStr">
        <is>
          <t>Georgia</t>
        </is>
      </c>
      <c r="I467" s="7" t="inlineStr">
        <is>
          <t>Online</t>
        </is>
      </c>
      <c r="J467" s="7" t="inlineStr">
        <is>
          <t>Corporate</t>
        </is>
      </c>
      <c r="K467" s="12" t="n">
        <v>5</v>
      </c>
      <c r="L467" s="9" t="n">
        <v>299.99</v>
      </c>
      <c r="M467" s="10" t="n">
        <v>0</v>
      </c>
      <c r="N467" s="9" t="n">
        <v>245.99</v>
      </c>
      <c r="O467" s="9">
        <f>K467*L467</f>
        <v/>
      </c>
      <c r="P467" s="9">
        <f>O467*M467</f>
        <v/>
      </c>
      <c r="Q467" s="9">
        <f>O467-P467</f>
        <v/>
      </c>
      <c r="R467" s="9">
        <f>K467*N467</f>
        <v/>
      </c>
      <c r="S467" s="9">
        <f>Q467-R467</f>
        <v/>
      </c>
      <c r="T467" s="10">
        <f>IFERROR(S467/Q467, 0)</f>
        <v/>
      </c>
    </row>
    <row r="468">
      <c r="A468" s="11" t="inlineStr">
        <is>
          <t>ORD-2024-1088</t>
        </is>
      </c>
      <c r="B468" s="11" t="inlineStr">
        <is>
          <t>2024-07-09</t>
        </is>
      </c>
      <c r="C468" s="11" t="inlineStr">
        <is>
          <t>TEC-LAP-002</t>
        </is>
      </c>
      <c r="D468" s="7" t="inlineStr">
        <is>
          <t>Apex Gaming Laptop 17"</t>
        </is>
      </c>
      <c r="E468" s="7" t="inlineStr">
        <is>
          <t>Technology</t>
        </is>
      </c>
      <c r="F468" s="7" t="inlineStr">
        <is>
          <t>Laptops</t>
        </is>
      </c>
      <c r="G468" s="7" t="inlineStr">
        <is>
          <t>South</t>
        </is>
      </c>
      <c r="H468" s="7" t="inlineStr">
        <is>
          <t>Georgia</t>
        </is>
      </c>
      <c r="I468" s="7" t="inlineStr">
        <is>
          <t>Online</t>
        </is>
      </c>
      <c r="J468" s="7" t="inlineStr">
        <is>
          <t>Corporate</t>
        </is>
      </c>
      <c r="K468" s="12" t="n">
        <v>8</v>
      </c>
      <c r="L468" s="9" t="n">
        <v>1499.99</v>
      </c>
      <c r="M468" s="10" t="n">
        <v>0.2</v>
      </c>
      <c r="N468" s="9" t="n">
        <v>1259.99</v>
      </c>
      <c r="O468" s="9">
        <f>K468*L468</f>
        <v/>
      </c>
      <c r="P468" s="9">
        <f>O468*M468</f>
        <v/>
      </c>
      <c r="Q468" s="9">
        <f>O468-P468</f>
        <v/>
      </c>
      <c r="R468" s="9">
        <f>K468*N468</f>
        <v/>
      </c>
      <c r="S468" s="9">
        <f>Q468-R468</f>
        <v/>
      </c>
      <c r="T468" s="10">
        <f>IFERROR(S468/Q468, 0)</f>
        <v/>
      </c>
    </row>
    <row r="469">
      <c r="A469" s="11" t="inlineStr">
        <is>
          <t>ORD-2024-1443</t>
        </is>
      </c>
      <c r="B469" s="11" t="inlineStr">
        <is>
          <t>2024-07-10</t>
        </is>
      </c>
      <c r="C469" s="11" t="inlineStr">
        <is>
          <t>TEC-TAB-003</t>
        </is>
      </c>
      <c r="D469" s="7" t="inlineStr">
        <is>
          <t>VisionPad Pro 11"</t>
        </is>
      </c>
      <c r="E469" s="7" t="inlineStr">
        <is>
          <t>Technology</t>
        </is>
      </c>
      <c r="F469" s="7" t="inlineStr">
        <is>
          <t>Phones &amp; Tablets</t>
        </is>
      </c>
      <c r="G469" s="7" t="inlineStr">
        <is>
          <t>West</t>
        </is>
      </c>
      <c r="H469" s="7" t="inlineStr">
        <is>
          <t>Colorado</t>
        </is>
      </c>
      <c r="I469" s="7" t="inlineStr">
        <is>
          <t>Direct Sales</t>
        </is>
      </c>
      <c r="J469" s="7" t="inlineStr">
        <is>
          <t>Corporate</t>
        </is>
      </c>
      <c r="K469" s="12" t="n">
        <v>7</v>
      </c>
      <c r="L469" s="9" t="n">
        <v>649.99</v>
      </c>
      <c r="M469" s="10" t="n">
        <v>0</v>
      </c>
      <c r="N469" s="9" t="n">
        <v>487.49</v>
      </c>
      <c r="O469" s="9">
        <f>K469*L469</f>
        <v/>
      </c>
      <c r="P469" s="9">
        <f>O469*M469</f>
        <v/>
      </c>
      <c r="Q469" s="9">
        <f>O469-P469</f>
        <v/>
      </c>
      <c r="R469" s="9">
        <f>K469*N469</f>
        <v/>
      </c>
      <c r="S469" s="9">
        <f>Q469-R469</f>
        <v/>
      </c>
      <c r="T469" s="10">
        <f>IFERROR(S469/Q469, 0)</f>
        <v/>
      </c>
    </row>
    <row r="470">
      <c r="A470" s="11" t="inlineStr">
        <is>
          <t>ORD-2024-1627</t>
        </is>
      </c>
      <c r="B470" s="11" t="inlineStr">
        <is>
          <t>2024-07-10</t>
        </is>
      </c>
      <c r="C470" s="11" t="inlineStr">
        <is>
          <t>OFF-BIN-005</t>
        </is>
      </c>
      <c r="D470" s="7" t="inlineStr">
        <is>
          <t>Heavy-Duty D-Ring Presentation Binder (6-Pk)</t>
        </is>
      </c>
      <c r="E470" s="7" t="inlineStr">
        <is>
          <t>Office Supplies</t>
        </is>
      </c>
      <c r="F470" s="7" t="inlineStr">
        <is>
          <t>Binders &amp; Fasteners</t>
        </is>
      </c>
      <c r="G470" s="7" t="inlineStr">
        <is>
          <t>East</t>
        </is>
      </c>
      <c r="H470" s="7" t="inlineStr">
        <is>
          <t>New Jersey</t>
        </is>
      </c>
      <c r="I470" s="7" t="inlineStr">
        <is>
          <t>Wholesale</t>
        </is>
      </c>
      <c r="J470" s="7" t="inlineStr">
        <is>
          <t>Consumer</t>
        </is>
      </c>
      <c r="K470" s="12" t="n">
        <v>8</v>
      </c>
      <c r="L470" s="9" t="n">
        <v>27.99</v>
      </c>
      <c r="M470" s="10" t="n">
        <v>0.15</v>
      </c>
      <c r="N470" s="9" t="n">
        <v>13.99</v>
      </c>
      <c r="O470" s="9">
        <f>K470*L470</f>
        <v/>
      </c>
      <c r="P470" s="9">
        <f>O470*M470</f>
        <v/>
      </c>
      <c r="Q470" s="9">
        <f>O470-P470</f>
        <v/>
      </c>
      <c r="R470" s="9">
        <f>K470*N470</f>
        <v/>
      </c>
      <c r="S470" s="9">
        <f>Q470-R470</f>
        <v/>
      </c>
      <c r="T470" s="10">
        <f>IFERROR(S470/Q470, 0)</f>
        <v/>
      </c>
    </row>
    <row r="471">
      <c r="A471" s="11" t="inlineStr">
        <is>
          <t>ORD-2024-1679</t>
        </is>
      </c>
      <c r="B471" s="11" t="inlineStr">
        <is>
          <t>2024-07-10</t>
        </is>
      </c>
      <c r="C471" s="11" t="inlineStr">
        <is>
          <t>OFF-STR-001</t>
        </is>
      </c>
      <c r="D471" s="7" t="inlineStr">
        <is>
          <t>SteelLock 3-Drawer File Cabinet</t>
        </is>
      </c>
      <c r="E471" s="7" t="inlineStr">
        <is>
          <t>Office Supplies</t>
        </is>
      </c>
      <c r="F471" s="7" t="inlineStr">
        <is>
          <t>Storage &amp; Organizers</t>
        </is>
      </c>
      <c r="G471" s="7" t="inlineStr">
        <is>
          <t>East</t>
        </is>
      </c>
      <c r="H471" s="7" t="inlineStr">
        <is>
          <t>New York</t>
        </is>
      </c>
      <c r="I471" s="7" t="inlineStr">
        <is>
          <t>Direct Sales</t>
        </is>
      </c>
      <c r="J471" s="7" t="inlineStr">
        <is>
          <t>Home Office</t>
        </is>
      </c>
      <c r="K471" s="12" t="n">
        <v>3</v>
      </c>
      <c r="L471" s="9" t="n">
        <v>169.99</v>
      </c>
      <c r="M471" s="10" t="n">
        <v>0</v>
      </c>
      <c r="N471" s="9" t="n">
        <v>115.59</v>
      </c>
      <c r="O471" s="9">
        <f>K471*L471</f>
        <v/>
      </c>
      <c r="P471" s="9">
        <f>O471*M471</f>
        <v/>
      </c>
      <c r="Q471" s="9">
        <f>O471-P471</f>
        <v/>
      </c>
      <c r="R471" s="9">
        <f>K471*N471</f>
        <v/>
      </c>
      <c r="S471" s="9">
        <f>Q471-R471</f>
        <v/>
      </c>
      <c r="T471" s="10">
        <f>IFERROR(S471/Q471, 0)</f>
        <v/>
      </c>
    </row>
    <row r="472">
      <c r="A472" s="11" t="inlineStr">
        <is>
          <t>ORD-2024-1206</t>
        </is>
      </c>
      <c r="B472" s="11" t="inlineStr">
        <is>
          <t>2024-07-11</t>
        </is>
      </c>
      <c r="C472" s="11" t="inlineStr">
        <is>
          <t>FUR-DSK-003</t>
        </is>
      </c>
      <c r="D472" s="7" t="inlineStr">
        <is>
          <t>ApexMotor Dual-Motor Standing Desk</t>
        </is>
      </c>
      <c r="E472" s="7" t="inlineStr">
        <is>
          <t>Furniture</t>
        </is>
      </c>
      <c r="F472" s="7" t="inlineStr">
        <is>
          <t>Desks &amp; Workstations</t>
        </is>
      </c>
      <c r="G472" s="7" t="inlineStr">
        <is>
          <t>Central</t>
        </is>
      </c>
      <c r="H472" s="7" t="inlineStr">
        <is>
          <t>Ohio</t>
        </is>
      </c>
      <c r="I472" s="7" t="inlineStr">
        <is>
          <t>Direct Sales</t>
        </is>
      </c>
      <c r="J472" s="7" t="inlineStr">
        <is>
          <t>Corporate</t>
        </is>
      </c>
      <c r="K472" s="12" t="n">
        <v>2</v>
      </c>
      <c r="L472" s="9" t="n">
        <v>549.99</v>
      </c>
      <c r="M472" s="10" t="n">
        <v>0</v>
      </c>
      <c r="N472" s="9" t="n">
        <v>439.99</v>
      </c>
      <c r="O472" s="9">
        <f>K472*L472</f>
        <v/>
      </c>
      <c r="P472" s="9">
        <f>O472*M472</f>
        <v/>
      </c>
      <c r="Q472" s="9">
        <f>O472-P472</f>
        <v/>
      </c>
      <c r="R472" s="9">
        <f>K472*N472</f>
        <v/>
      </c>
      <c r="S472" s="9">
        <f>Q472-R472</f>
        <v/>
      </c>
      <c r="T472" s="10">
        <f>IFERROR(S472/Q472, 0)</f>
        <v/>
      </c>
    </row>
    <row r="473">
      <c r="A473" s="11" t="inlineStr">
        <is>
          <t>ORD-2024-1485</t>
        </is>
      </c>
      <c r="B473" s="11" t="inlineStr">
        <is>
          <t>2024-07-11</t>
        </is>
      </c>
      <c r="C473" s="11" t="inlineStr">
        <is>
          <t>FUR-DSK-004</t>
        </is>
      </c>
      <c r="D473" s="7" t="inlineStr">
        <is>
          <t>Metro Compact Corner Workstation</t>
        </is>
      </c>
      <c r="E473" s="7" t="inlineStr">
        <is>
          <t>Furniture</t>
        </is>
      </c>
      <c r="F473" s="7" t="inlineStr">
        <is>
          <t>Desks &amp; Workstations</t>
        </is>
      </c>
      <c r="G473" s="7" t="inlineStr">
        <is>
          <t>Central</t>
        </is>
      </c>
      <c r="H473" s="7" t="inlineStr">
        <is>
          <t>Michigan</t>
        </is>
      </c>
      <c r="I473" s="7" t="inlineStr">
        <is>
          <t>Online</t>
        </is>
      </c>
      <c r="J473" s="7" t="inlineStr">
        <is>
          <t>Corporate</t>
        </is>
      </c>
      <c r="K473" s="12" t="n">
        <v>6</v>
      </c>
      <c r="L473" s="9" t="n">
        <v>329.99</v>
      </c>
      <c r="M473" s="10" t="n">
        <v>0</v>
      </c>
      <c r="N473" s="9" t="n">
        <v>250.79</v>
      </c>
      <c r="O473" s="9">
        <f>K473*L473</f>
        <v/>
      </c>
      <c r="P473" s="9">
        <f>O473*M473</f>
        <v/>
      </c>
      <c r="Q473" s="9">
        <f>O473-P473</f>
        <v/>
      </c>
      <c r="R473" s="9">
        <f>K473*N473</f>
        <v/>
      </c>
      <c r="S473" s="9">
        <f>Q473-R473</f>
        <v/>
      </c>
      <c r="T473" s="10">
        <f>IFERROR(S473/Q473, 0)</f>
        <v/>
      </c>
    </row>
    <row r="474">
      <c r="A474" s="11" t="inlineStr">
        <is>
          <t>ORD-2024-1485</t>
        </is>
      </c>
      <c r="B474" s="11" t="inlineStr">
        <is>
          <t>2024-07-11</t>
        </is>
      </c>
      <c r="C474" s="11" t="inlineStr">
        <is>
          <t>FUR-CHA-001</t>
        </is>
      </c>
      <c r="D474" s="7" t="inlineStr">
        <is>
          <t>ErgoFlex Executive Mesh Chair</t>
        </is>
      </c>
      <c r="E474" s="7" t="inlineStr">
        <is>
          <t>Furniture</t>
        </is>
      </c>
      <c r="F474" s="7" t="inlineStr">
        <is>
          <t>Chairs</t>
        </is>
      </c>
      <c r="G474" s="7" t="inlineStr">
        <is>
          <t>Central</t>
        </is>
      </c>
      <c r="H474" s="7" t="inlineStr">
        <is>
          <t>Michigan</t>
        </is>
      </c>
      <c r="I474" s="7" t="inlineStr">
        <is>
          <t>Online</t>
        </is>
      </c>
      <c r="J474" s="7" t="inlineStr">
        <is>
          <t>Corporate</t>
        </is>
      </c>
      <c r="K474" s="12" t="n">
        <v>4</v>
      </c>
      <c r="L474" s="9" t="n">
        <v>389.99</v>
      </c>
      <c r="M474" s="10" t="n">
        <v>0.05</v>
      </c>
      <c r="N474" s="9" t="n">
        <v>331.49</v>
      </c>
      <c r="O474" s="9">
        <f>K474*L474</f>
        <v/>
      </c>
      <c r="P474" s="9">
        <f>O474*M474</f>
        <v/>
      </c>
      <c r="Q474" s="9">
        <f>O474-P474</f>
        <v/>
      </c>
      <c r="R474" s="9">
        <f>K474*N474</f>
        <v/>
      </c>
      <c r="S474" s="9">
        <f>Q474-R474</f>
        <v/>
      </c>
      <c r="T474" s="10">
        <f>IFERROR(S474/Q474, 0)</f>
        <v/>
      </c>
    </row>
    <row r="475">
      <c r="A475" s="11" t="inlineStr">
        <is>
          <t>ORD-2024-1485</t>
        </is>
      </c>
      <c r="B475" s="11" t="inlineStr">
        <is>
          <t>2024-07-11</t>
        </is>
      </c>
      <c r="C475" s="11" t="inlineStr">
        <is>
          <t>TEC-TAB-004</t>
        </is>
      </c>
      <c r="D475" s="7" t="inlineStr">
        <is>
          <t>VisionPad Lite 8.5"</t>
        </is>
      </c>
      <c r="E475" s="7" t="inlineStr">
        <is>
          <t>Technology</t>
        </is>
      </c>
      <c r="F475" s="7" t="inlineStr">
        <is>
          <t>Phones &amp; Tablets</t>
        </is>
      </c>
      <c r="G475" s="7" t="inlineStr">
        <is>
          <t>Central</t>
        </is>
      </c>
      <c r="H475" s="7" t="inlineStr">
        <is>
          <t>Michigan</t>
        </is>
      </c>
      <c r="I475" s="7" t="inlineStr">
        <is>
          <t>Online</t>
        </is>
      </c>
      <c r="J475" s="7" t="inlineStr">
        <is>
          <t>Corporate</t>
        </is>
      </c>
      <c r="K475" s="12" t="n">
        <v>6</v>
      </c>
      <c r="L475" s="9" t="n">
        <v>299.99</v>
      </c>
      <c r="M475" s="10" t="n">
        <v>0</v>
      </c>
      <c r="N475" s="9" t="n">
        <v>245.99</v>
      </c>
      <c r="O475" s="9">
        <f>K475*L475</f>
        <v/>
      </c>
      <c r="P475" s="9">
        <f>O475*M475</f>
        <v/>
      </c>
      <c r="Q475" s="9">
        <f>O475-P475</f>
        <v/>
      </c>
      <c r="R475" s="9">
        <f>K475*N475</f>
        <v/>
      </c>
      <c r="S475" s="9">
        <f>Q475-R475</f>
        <v/>
      </c>
      <c r="T475" s="10">
        <f>IFERROR(S475/Q475, 0)</f>
        <v/>
      </c>
    </row>
    <row r="476">
      <c r="A476" s="11" t="inlineStr">
        <is>
          <t>ORD-2024-1016</t>
        </is>
      </c>
      <c r="B476" s="11" t="inlineStr">
        <is>
          <t>2024-07-12</t>
        </is>
      </c>
      <c r="C476" s="11" t="inlineStr">
        <is>
          <t>FUR-DSK-004</t>
        </is>
      </c>
      <c r="D476" s="7" t="inlineStr">
        <is>
          <t>Metro Compact Corner Workstation</t>
        </is>
      </c>
      <c r="E476" s="7" t="inlineStr">
        <is>
          <t>Furniture</t>
        </is>
      </c>
      <c r="F476" s="7" t="inlineStr">
        <is>
          <t>Desks &amp; Workstations</t>
        </is>
      </c>
      <c r="G476" s="7" t="inlineStr">
        <is>
          <t>West</t>
        </is>
      </c>
      <c r="H476" s="7" t="inlineStr">
        <is>
          <t>Washington</t>
        </is>
      </c>
      <c r="I476" s="7" t="inlineStr">
        <is>
          <t>Online</t>
        </is>
      </c>
      <c r="J476" s="7" t="inlineStr">
        <is>
          <t>Consumer</t>
        </is>
      </c>
      <c r="K476" s="12" t="n">
        <v>3</v>
      </c>
      <c r="L476" s="9" t="n">
        <v>329.99</v>
      </c>
      <c r="M476" s="10" t="n">
        <v>0</v>
      </c>
      <c r="N476" s="9" t="n">
        <v>250.79</v>
      </c>
      <c r="O476" s="9">
        <f>K476*L476</f>
        <v/>
      </c>
      <c r="P476" s="9">
        <f>O476*M476</f>
        <v/>
      </c>
      <c r="Q476" s="9">
        <f>O476-P476</f>
        <v/>
      </c>
      <c r="R476" s="9">
        <f>K476*N476</f>
        <v/>
      </c>
      <c r="S476" s="9">
        <f>Q476-R476</f>
        <v/>
      </c>
      <c r="T476" s="10">
        <f>IFERROR(S476/Q476, 0)</f>
        <v/>
      </c>
    </row>
    <row r="477">
      <c r="A477" s="11" t="inlineStr">
        <is>
          <t>ORD-2024-1090</t>
        </is>
      </c>
      <c r="B477" s="11" t="inlineStr">
        <is>
          <t>2024-07-12</t>
        </is>
      </c>
      <c r="C477" s="11" t="inlineStr">
        <is>
          <t>TEC-ACC-008</t>
        </is>
      </c>
      <c r="D477" s="7" t="inlineStr">
        <is>
          <t>Precision Laser Bluetooth Mouse</t>
        </is>
      </c>
      <c r="E477" s="7" t="inlineStr">
        <is>
          <t>Technology</t>
        </is>
      </c>
      <c r="F477" s="7" t="inlineStr">
        <is>
          <t>Audio &amp; Accessories</t>
        </is>
      </c>
      <c r="G477" s="7" t="inlineStr">
        <is>
          <t>South</t>
        </is>
      </c>
      <c r="H477" s="7" t="inlineStr">
        <is>
          <t>North Carolina</t>
        </is>
      </c>
      <c r="I477" s="7" t="inlineStr">
        <is>
          <t>Direct Sales</t>
        </is>
      </c>
      <c r="J477" s="7" t="inlineStr">
        <is>
          <t>Consumer</t>
        </is>
      </c>
      <c r="K477" s="12" t="n">
        <v>2</v>
      </c>
      <c r="L477" s="9" t="n">
        <v>49.99</v>
      </c>
      <c r="M477" s="10" t="n">
        <v>0</v>
      </c>
      <c r="N477" s="9" t="n">
        <v>27.49</v>
      </c>
      <c r="O477" s="9">
        <f>K477*L477</f>
        <v/>
      </c>
      <c r="P477" s="9">
        <f>O477*M477</f>
        <v/>
      </c>
      <c r="Q477" s="9">
        <f>O477-P477</f>
        <v/>
      </c>
      <c r="R477" s="9">
        <f>K477*N477</f>
        <v/>
      </c>
      <c r="S477" s="9">
        <f>Q477-R477</f>
        <v/>
      </c>
      <c r="T477" s="10">
        <f>IFERROR(S477/Q477, 0)</f>
        <v/>
      </c>
    </row>
    <row r="478">
      <c r="A478" s="11" t="inlineStr">
        <is>
          <t>ORD-2024-1427</t>
        </is>
      </c>
      <c r="B478" s="11" t="inlineStr">
        <is>
          <t>2024-07-12</t>
        </is>
      </c>
      <c r="C478" s="11" t="inlineStr">
        <is>
          <t>OFF-STR-001</t>
        </is>
      </c>
      <c r="D478" s="7" t="inlineStr">
        <is>
          <t>SteelLock 3-Drawer File Cabinet</t>
        </is>
      </c>
      <c r="E478" s="7" t="inlineStr">
        <is>
          <t>Office Supplies</t>
        </is>
      </c>
      <c r="F478" s="7" t="inlineStr">
        <is>
          <t>Storage &amp; Organizers</t>
        </is>
      </c>
      <c r="G478" s="7" t="inlineStr">
        <is>
          <t>East</t>
        </is>
      </c>
      <c r="H478" s="7" t="inlineStr">
        <is>
          <t>Massachusetts</t>
        </is>
      </c>
      <c r="I478" s="7" t="inlineStr">
        <is>
          <t>Online</t>
        </is>
      </c>
      <c r="J478" s="7" t="inlineStr">
        <is>
          <t>Consumer</t>
        </is>
      </c>
      <c r="K478" s="12" t="n">
        <v>2</v>
      </c>
      <c r="L478" s="9" t="n">
        <v>169.99</v>
      </c>
      <c r="M478" s="10" t="n">
        <v>0</v>
      </c>
      <c r="N478" s="9" t="n">
        <v>115.59</v>
      </c>
      <c r="O478" s="9">
        <f>K478*L478</f>
        <v/>
      </c>
      <c r="P478" s="9">
        <f>O478*M478</f>
        <v/>
      </c>
      <c r="Q478" s="9">
        <f>O478-P478</f>
        <v/>
      </c>
      <c r="R478" s="9">
        <f>K478*N478</f>
        <v/>
      </c>
      <c r="S478" s="9">
        <f>Q478-R478</f>
        <v/>
      </c>
      <c r="T478" s="10">
        <f>IFERROR(S478/Q478, 0)</f>
        <v/>
      </c>
    </row>
    <row r="479">
      <c r="A479" s="11" t="inlineStr">
        <is>
          <t>ORD-2024-1459</t>
        </is>
      </c>
      <c r="B479" s="11" t="inlineStr">
        <is>
          <t>2024-07-13</t>
        </is>
      </c>
      <c r="C479" s="11" t="inlineStr">
        <is>
          <t>OFF-BIN-005</t>
        </is>
      </c>
      <c r="D479" s="7" t="inlineStr">
        <is>
          <t>Heavy-Duty D-Ring Presentation Binder (6-Pk)</t>
        </is>
      </c>
      <c r="E479" s="7" t="inlineStr">
        <is>
          <t>Office Supplies</t>
        </is>
      </c>
      <c r="F479" s="7" t="inlineStr">
        <is>
          <t>Binders &amp; Fasteners</t>
        </is>
      </c>
      <c r="G479" s="7" t="inlineStr">
        <is>
          <t>East</t>
        </is>
      </c>
      <c r="H479" s="7" t="inlineStr">
        <is>
          <t>New York</t>
        </is>
      </c>
      <c r="I479" s="7" t="inlineStr">
        <is>
          <t>Direct Sales</t>
        </is>
      </c>
      <c r="J479" s="7" t="inlineStr">
        <is>
          <t>Consumer</t>
        </is>
      </c>
      <c r="K479" s="12" t="n">
        <v>2</v>
      </c>
      <c r="L479" s="9" t="n">
        <v>27.99</v>
      </c>
      <c r="M479" s="10" t="n">
        <v>0.05</v>
      </c>
      <c r="N479" s="9" t="n">
        <v>13.99</v>
      </c>
      <c r="O479" s="9">
        <f>K479*L479</f>
        <v/>
      </c>
      <c r="P479" s="9">
        <f>O479*M479</f>
        <v/>
      </c>
      <c r="Q479" s="9">
        <f>O479-P479</f>
        <v/>
      </c>
      <c r="R479" s="9">
        <f>K479*N479</f>
        <v/>
      </c>
      <c r="S479" s="9">
        <f>Q479-R479</f>
        <v/>
      </c>
      <c r="T479" s="10">
        <f>IFERROR(S479/Q479, 0)</f>
        <v/>
      </c>
    </row>
    <row r="480">
      <c r="A480" s="11" t="inlineStr">
        <is>
          <t>ORD-2024-1463</t>
        </is>
      </c>
      <c r="B480" s="11" t="inlineStr">
        <is>
          <t>2024-07-13</t>
        </is>
      </c>
      <c r="C480" s="11" t="inlineStr">
        <is>
          <t>FUR-DSK-003</t>
        </is>
      </c>
      <c r="D480" s="7" t="inlineStr">
        <is>
          <t>ApexMotor Dual-Motor Standing Desk</t>
        </is>
      </c>
      <c r="E480" s="7" t="inlineStr">
        <is>
          <t>Furniture</t>
        </is>
      </c>
      <c r="F480" s="7" t="inlineStr">
        <is>
          <t>Desks &amp; Workstations</t>
        </is>
      </c>
      <c r="G480" s="7" t="inlineStr">
        <is>
          <t>South</t>
        </is>
      </c>
      <c r="H480" s="7" t="inlineStr">
        <is>
          <t>North Carolina</t>
        </is>
      </c>
      <c r="I480" s="7" t="inlineStr">
        <is>
          <t>Retail Partner</t>
        </is>
      </c>
      <c r="J480" s="7" t="inlineStr">
        <is>
          <t>Corporate</t>
        </is>
      </c>
      <c r="K480" s="12" t="n">
        <v>6</v>
      </c>
      <c r="L480" s="9" t="n">
        <v>549.99</v>
      </c>
      <c r="M480" s="10" t="n">
        <v>0</v>
      </c>
      <c r="N480" s="9" t="n">
        <v>439.99</v>
      </c>
      <c r="O480" s="9">
        <f>K480*L480</f>
        <v/>
      </c>
      <c r="P480" s="9">
        <f>O480*M480</f>
        <v/>
      </c>
      <c r="Q480" s="9">
        <f>O480-P480</f>
        <v/>
      </c>
      <c r="R480" s="9">
        <f>K480*N480</f>
        <v/>
      </c>
      <c r="S480" s="9">
        <f>Q480-R480</f>
        <v/>
      </c>
      <c r="T480" s="10">
        <f>IFERROR(S480/Q480, 0)</f>
        <v/>
      </c>
    </row>
    <row r="481">
      <c r="A481" s="11" t="inlineStr">
        <is>
          <t>ORD-2024-1463</t>
        </is>
      </c>
      <c r="B481" s="11" t="inlineStr">
        <is>
          <t>2024-07-13</t>
        </is>
      </c>
      <c r="C481" s="11" t="inlineStr">
        <is>
          <t>FUR-DSK-004</t>
        </is>
      </c>
      <c r="D481" s="7" t="inlineStr">
        <is>
          <t>Metro Compact Corner Workstation</t>
        </is>
      </c>
      <c r="E481" s="7" t="inlineStr">
        <is>
          <t>Furniture</t>
        </is>
      </c>
      <c r="F481" s="7" t="inlineStr">
        <is>
          <t>Desks &amp; Workstations</t>
        </is>
      </c>
      <c r="G481" s="7" t="inlineStr">
        <is>
          <t>South</t>
        </is>
      </c>
      <c r="H481" s="7" t="inlineStr">
        <is>
          <t>North Carolina</t>
        </is>
      </c>
      <c r="I481" s="7" t="inlineStr">
        <is>
          <t>Retail Partner</t>
        </is>
      </c>
      <c r="J481" s="7" t="inlineStr">
        <is>
          <t>Corporate</t>
        </is>
      </c>
      <c r="K481" s="12" t="n">
        <v>8</v>
      </c>
      <c r="L481" s="9" t="n">
        <v>329.99</v>
      </c>
      <c r="M481" s="10" t="n">
        <v>0.1</v>
      </c>
      <c r="N481" s="9" t="n">
        <v>250.79</v>
      </c>
      <c r="O481" s="9">
        <f>K481*L481</f>
        <v/>
      </c>
      <c r="P481" s="9">
        <f>O481*M481</f>
        <v/>
      </c>
      <c r="Q481" s="9">
        <f>O481-P481</f>
        <v/>
      </c>
      <c r="R481" s="9">
        <f>K481*N481</f>
        <v/>
      </c>
      <c r="S481" s="9">
        <f>Q481-R481</f>
        <v/>
      </c>
      <c r="T481" s="10">
        <f>IFERROR(S481/Q481, 0)</f>
        <v/>
      </c>
    </row>
    <row r="482">
      <c r="A482" s="11" t="inlineStr">
        <is>
          <t>ORD-2024-1599</t>
        </is>
      </c>
      <c r="B482" s="11" t="inlineStr">
        <is>
          <t>2024-07-13</t>
        </is>
      </c>
      <c r="C482" s="11" t="inlineStr">
        <is>
          <t>TEC-TAB-003</t>
        </is>
      </c>
      <c r="D482" s="7" t="inlineStr">
        <is>
          <t>VisionPad Pro 11"</t>
        </is>
      </c>
      <c r="E482" s="7" t="inlineStr">
        <is>
          <t>Technology</t>
        </is>
      </c>
      <c r="F482" s="7" t="inlineStr">
        <is>
          <t>Phones &amp; Tablets</t>
        </is>
      </c>
      <c r="G482" s="7" t="inlineStr">
        <is>
          <t>West</t>
        </is>
      </c>
      <c r="H482" s="7" t="inlineStr">
        <is>
          <t>Washington</t>
        </is>
      </c>
      <c r="I482" s="7" t="inlineStr">
        <is>
          <t>Direct Sales</t>
        </is>
      </c>
      <c r="J482" s="7" t="inlineStr">
        <is>
          <t>Consumer</t>
        </is>
      </c>
      <c r="K482" s="12" t="n">
        <v>3</v>
      </c>
      <c r="L482" s="9" t="n">
        <v>649.99</v>
      </c>
      <c r="M482" s="10" t="n">
        <v>0</v>
      </c>
      <c r="N482" s="9" t="n">
        <v>487.49</v>
      </c>
      <c r="O482" s="9">
        <f>K482*L482</f>
        <v/>
      </c>
      <c r="P482" s="9">
        <f>O482*M482</f>
        <v/>
      </c>
      <c r="Q482" s="9">
        <f>O482-P482</f>
        <v/>
      </c>
      <c r="R482" s="9">
        <f>K482*N482</f>
        <v/>
      </c>
      <c r="S482" s="9">
        <f>Q482-R482</f>
        <v/>
      </c>
      <c r="T482" s="10">
        <f>IFERROR(S482/Q482, 0)</f>
        <v/>
      </c>
    </row>
    <row r="483">
      <c r="A483" s="11" t="inlineStr">
        <is>
          <t>ORD-2024-1267</t>
        </is>
      </c>
      <c r="B483" s="11" t="inlineStr">
        <is>
          <t>2024-07-14</t>
        </is>
      </c>
      <c r="C483" s="11" t="inlineStr">
        <is>
          <t>TEC-ACC-005</t>
        </is>
      </c>
      <c r="D483" s="7" t="inlineStr">
        <is>
          <t>UltraWireless Noise-Canceling Headset</t>
        </is>
      </c>
      <c r="E483" s="7" t="inlineStr">
        <is>
          <t>Technology</t>
        </is>
      </c>
      <c r="F483" s="7" t="inlineStr">
        <is>
          <t>Audio &amp; Accessories</t>
        </is>
      </c>
      <c r="G483" s="7" t="inlineStr">
        <is>
          <t>West</t>
        </is>
      </c>
      <c r="H483" s="7" t="inlineStr">
        <is>
          <t>California</t>
        </is>
      </c>
      <c r="I483" s="7" t="inlineStr">
        <is>
          <t>Direct Sales</t>
        </is>
      </c>
      <c r="J483" s="7" t="inlineStr">
        <is>
          <t>Consumer</t>
        </is>
      </c>
      <c r="K483" s="12" t="n">
        <v>1</v>
      </c>
      <c r="L483" s="9" t="n">
        <v>179.99</v>
      </c>
      <c r="M483" s="10" t="n">
        <v>0.05</v>
      </c>
      <c r="N483" s="9" t="n">
        <v>111.59</v>
      </c>
      <c r="O483" s="9">
        <f>K483*L483</f>
        <v/>
      </c>
      <c r="P483" s="9">
        <f>O483*M483</f>
        <v/>
      </c>
      <c r="Q483" s="9">
        <f>O483-P483</f>
        <v/>
      </c>
      <c r="R483" s="9">
        <f>K483*N483</f>
        <v/>
      </c>
      <c r="S483" s="9">
        <f>Q483-R483</f>
        <v/>
      </c>
      <c r="T483" s="10">
        <f>IFERROR(S483/Q483, 0)</f>
        <v/>
      </c>
    </row>
    <row r="484">
      <c r="A484" s="11" t="inlineStr">
        <is>
          <t>ORD-2024-1476</t>
        </is>
      </c>
      <c r="B484" s="11" t="inlineStr">
        <is>
          <t>2024-07-14</t>
        </is>
      </c>
      <c r="C484" s="11" t="inlineStr">
        <is>
          <t>FUR-LGT-006</t>
        </is>
      </c>
      <c r="D484" s="7" t="inlineStr">
        <is>
          <t>Architect LED Desk Task Lamp</t>
        </is>
      </c>
      <c r="E484" s="7" t="inlineStr">
        <is>
          <t>Furniture</t>
        </is>
      </c>
      <c r="F484" s="7" t="inlineStr">
        <is>
          <t>Lighting</t>
        </is>
      </c>
      <c r="G484" s="7" t="inlineStr">
        <is>
          <t>South</t>
        </is>
      </c>
      <c r="H484" s="7" t="inlineStr">
        <is>
          <t>Georgia</t>
        </is>
      </c>
      <c r="I484" s="7" t="inlineStr">
        <is>
          <t>Online</t>
        </is>
      </c>
      <c r="J484" s="7" t="inlineStr">
        <is>
          <t>Corporate</t>
        </is>
      </c>
      <c r="K484" s="12" t="n">
        <v>7</v>
      </c>
      <c r="L484" s="9" t="n">
        <v>69.98999999999999</v>
      </c>
      <c r="M484" s="10" t="n">
        <v>0.15</v>
      </c>
      <c r="N484" s="9" t="n">
        <v>43.39</v>
      </c>
      <c r="O484" s="9">
        <f>K484*L484</f>
        <v/>
      </c>
      <c r="P484" s="9">
        <f>O484*M484</f>
        <v/>
      </c>
      <c r="Q484" s="9">
        <f>O484-P484</f>
        <v/>
      </c>
      <c r="R484" s="9">
        <f>K484*N484</f>
        <v/>
      </c>
      <c r="S484" s="9">
        <f>Q484-R484</f>
        <v/>
      </c>
      <c r="T484" s="10">
        <f>IFERROR(S484/Q484, 0)</f>
        <v/>
      </c>
    </row>
    <row r="485">
      <c r="A485" s="11" t="inlineStr">
        <is>
          <t>ORD-2024-1108</t>
        </is>
      </c>
      <c r="B485" s="11" t="inlineStr">
        <is>
          <t>2024-07-15</t>
        </is>
      </c>
      <c r="C485" s="11" t="inlineStr">
        <is>
          <t>OFF-PAP-003</t>
        </is>
      </c>
      <c r="D485" s="7" t="inlineStr">
        <is>
          <t>UltraWhite Premium Multipurpose Paper (Case)</t>
        </is>
      </c>
      <c r="E485" s="7" t="inlineStr">
        <is>
          <t>Office Supplies</t>
        </is>
      </c>
      <c r="F485" s="7" t="inlineStr">
        <is>
          <t>Paper Products</t>
        </is>
      </c>
      <c r="G485" s="7" t="inlineStr">
        <is>
          <t>East</t>
        </is>
      </c>
      <c r="H485" s="7" t="inlineStr">
        <is>
          <t>Pennsylvania</t>
        </is>
      </c>
      <c r="I485" s="7" t="inlineStr">
        <is>
          <t>Online</t>
        </is>
      </c>
      <c r="J485" s="7" t="inlineStr">
        <is>
          <t>Consumer</t>
        </is>
      </c>
      <c r="K485" s="12" t="n">
        <v>4</v>
      </c>
      <c r="L485" s="9" t="n">
        <v>54.99</v>
      </c>
      <c r="M485" s="10" t="n">
        <v>0</v>
      </c>
      <c r="N485" s="9" t="n">
        <v>31.89</v>
      </c>
      <c r="O485" s="9">
        <f>K485*L485</f>
        <v/>
      </c>
      <c r="P485" s="9">
        <f>O485*M485</f>
        <v/>
      </c>
      <c r="Q485" s="9">
        <f>O485-P485</f>
        <v/>
      </c>
      <c r="R485" s="9">
        <f>K485*N485</f>
        <v/>
      </c>
      <c r="S485" s="9">
        <f>Q485-R485</f>
        <v/>
      </c>
      <c r="T485" s="10">
        <f>IFERROR(S485/Q485, 0)</f>
        <v/>
      </c>
    </row>
    <row r="486">
      <c r="A486" s="11" t="inlineStr">
        <is>
          <t>ORD-2024-1289</t>
        </is>
      </c>
      <c r="B486" s="11" t="inlineStr">
        <is>
          <t>2024-07-15</t>
        </is>
      </c>
      <c r="C486" s="11" t="inlineStr">
        <is>
          <t>OFF-ART-006</t>
        </is>
      </c>
      <c r="D486" s="7" t="inlineStr">
        <is>
          <t>Professional Presentation Dry Erase Board</t>
        </is>
      </c>
      <c r="E486" s="7" t="inlineStr">
        <is>
          <t>Office Supplies</t>
        </is>
      </c>
      <c r="F486" s="7" t="inlineStr">
        <is>
          <t>Presentation &amp; Art</t>
        </is>
      </c>
      <c r="G486" s="7" t="inlineStr">
        <is>
          <t>East</t>
        </is>
      </c>
      <c r="H486" s="7" t="inlineStr">
        <is>
          <t>Pennsylvania</t>
        </is>
      </c>
      <c r="I486" s="7" t="inlineStr">
        <is>
          <t>Direct Sales</t>
        </is>
      </c>
      <c r="J486" s="7" t="inlineStr">
        <is>
          <t>Home Office</t>
        </is>
      </c>
      <c r="K486" s="12" t="n">
        <v>1</v>
      </c>
      <c r="L486" s="9" t="n">
        <v>89.98999999999999</v>
      </c>
      <c r="M486" s="10" t="n">
        <v>0</v>
      </c>
      <c r="N486" s="9" t="n">
        <v>53.99</v>
      </c>
      <c r="O486" s="9">
        <f>K486*L486</f>
        <v/>
      </c>
      <c r="P486" s="9">
        <f>O486*M486</f>
        <v/>
      </c>
      <c r="Q486" s="9">
        <f>O486-P486</f>
        <v/>
      </c>
      <c r="R486" s="9">
        <f>K486*N486</f>
        <v/>
      </c>
      <c r="S486" s="9">
        <f>Q486-R486</f>
        <v/>
      </c>
      <c r="T486" s="10">
        <f>IFERROR(S486/Q486, 0)</f>
        <v/>
      </c>
    </row>
    <row r="487">
      <c r="A487" s="11" t="inlineStr">
        <is>
          <t>ORD-2024-1699</t>
        </is>
      </c>
      <c r="B487" s="11" t="inlineStr">
        <is>
          <t>2024-07-15</t>
        </is>
      </c>
      <c r="C487" s="11" t="inlineStr">
        <is>
          <t>FUR-LGT-006</t>
        </is>
      </c>
      <c r="D487" s="7" t="inlineStr">
        <is>
          <t>Architect LED Desk Task Lamp</t>
        </is>
      </c>
      <c r="E487" s="7" t="inlineStr">
        <is>
          <t>Furniture</t>
        </is>
      </c>
      <c r="F487" s="7" t="inlineStr">
        <is>
          <t>Lighting</t>
        </is>
      </c>
      <c r="G487" s="7" t="inlineStr">
        <is>
          <t>South</t>
        </is>
      </c>
      <c r="H487" s="7" t="inlineStr">
        <is>
          <t>Florida</t>
        </is>
      </c>
      <c r="I487" s="7" t="inlineStr">
        <is>
          <t>Online</t>
        </is>
      </c>
      <c r="J487" s="7" t="inlineStr">
        <is>
          <t>Corporate</t>
        </is>
      </c>
      <c r="K487" s="12" t="n">
        <v>3</v>
      </c>
      <c r="L487" s="9" t="n">
        <v>69.98999999999999</v>
      </c>
      <c r="M487" s="10" t="n">
        <v>0.05</v>
      </c>
      <c r="N487" s="9" t="n">
        <v>43.39</v>
      </c>
      <c r="O487" s="9">
        <f>K487*L487</f>
        <v/>
      </c>
      <c r="P487" s="9">
        <f>O487*M487</f>
        <v/>
      </c>
      <c r="Q487" s="9">
        <f>O487-P487</f>
        <v/>
      </c>
      <c r="R487" s="9">
        <f>K487*N487</f>
        <v/>
      </c>
      <c r="S487" s="9">
        <f>Q487-R487</f>
        <v/>
      </c>
      <c r="T487" s="10">
        <f>IFERROR(S487/Q487, 0)</f>
        <v/>
      </c>
    </row>
    <row r="488">
      <c r="A488" s="11" t="inlineStr">
        <is>
          <t>ORD-2024-1317</t>
        </is>
      </c>
      <c r="B488" s="11" t="inlineStr">
        <is>
          <t>2024-07-16</t>
        </is>
      </c>
      <c r="C488" s="11" t="inlineStr">
        <is>
          <t>FUR-LGT-006</t>
        </is>
      </c>
      <c r="D488" s="7" t="inlineStr">
        <is>
          <t>Architect LED Desk Task Lamp</t>
        </is>
      </c>
      <c r="E488" s="7" t="inlineStr">
        <is>
          <t>Furniture</t>
        </is>
      </c>
      <c r="F488" s="7" t="inlineStr">
        <is>
          <t>Lighting</t>
        </is>
      </c>
      <c r="G488" s="7" t="inlineStr">
        <is>
          <t>West</t>
        </is>
      </c>
      <c r="H488" s="7" t="inlineStr">
        <is>
          <t>Colorado</t>
        </is>
      </c>
      <c r="I488" s="7" t="inlineStr">
        <is>
          <t>Retail Partner</t>
        </is>
      </c>
      <c r="J488" s="7" t="inlineStr">
        <is>
          <t>Home Office</t>
        </is>
      </c>
      <c r="K488" s="12" t="n">
        <v>3</v>
      </c>
      <c r="L488" s="9" t="n">
        <v>69.98999999999999</v>
      </c>
      <c r="M488" s="10" t="n">
        <v>0.05</v>
      </c>
      <c r="N488" s="9" t="n">
        <v>43.39</v>
      </c>
      <c r="O488" s="9">
        <f>K488*L488</f>
        <v/>
      </c>
      <c r="P488" s="9">
        <f>O488*M488</f>
        <v/>
      </c>
      <c r="Q488" s="9">
        <f>O488-P488</f>
        <v/>
      </c>
      <c r="R488" s="9">
        <f>K488*N488</f>
        <v/>
      </c>
      <c r="S488" s="9">
        <f>Q488-R488</f>
        <v/>
      </c>
      <c r="T488" s="10">
        <f>IFERROR(S488/Q488, 0)</f>
        <v/>
      </c>
    </row>
    <row r="489">
      <c r="A489" s="11" t="inlineStr">
        <is>
          <t>ORD-2024-1057</t>
        </is>
      </c>
      <c r="B489" s="11" t="inlineStr">
        <is>
          <t>2024-07-18</t>
        </is>
      </c>
      <c r="C489" s="11" t="inlineStr">
        <is>
          <t>TEC-TAB-003</t>
        </is>
      </c>
      <c r="D489" s="7" t="inlineStr">
        <is>
          <t>VisionPad Pro 11"</t>
        </is>
      </c>
      <c r="E489" s="7" t="inlineStr">
        <is>
          <t>Technology</t>
        </is>
      </c>
      <c r="F489" s="7" t="inlineStr">
        <is>
          <t>Phones &amp; Tablets</t>
        </is>
      </c>
      <c r="G489" s="7" t="inlineStr">
        <is>
          <t>East</t>
        </is>
      </c>
      <c r="H489" s="7" t="inlineStr">
        <is>
          <t>New York</t>
        </is>
      </c>
      <c r="I489" s="7" t="inlineStr">
        <is>
          <t>Wholesale</t>
        </is>
      </c>
      <c r="J489" s="7" t="inlineStr">
        <is>
          <t>Consumer</t>
        </is>
      </c>
      <c r="K489" s="12" t="n">
        <v>8</v>
      </c>
      <c r="L489" s="9" t="n">
        <v>649.99</v>
      </c>
      <c r="M489" s="10" t="n">
        <v>0.2</v>
      </c>
      <c r="N489" s="9" t="n">
        <v>487.49</v>
      </c>
      <c r="O489" s="9">
        <f>K489*L489</f>
        <v/>
      </c>
      <c r="P489" s="9">
        <f>O489*M489</f>
        <v/>
      </c>
      <c r="Q489" s="9">
        <f>O489-P489</f>
        <v/>
      </c>
      <c r="R489" s="9">
        <f>K489*N489</f>
        <v/>
      </c>
      <c r="S489" s="9">
        <f>Q489-R489</f>
        <v/>
      </c>
      <c r="T489" s="10">
        <f>IFERROR(S489/Q489, 0)</f>
        <v/>
      </c>
    </row>
    <row r="490">
      <c r="A490" s="11" t="inlineStr">
        <is>
          <t>ORD-2024-1057</t>
        </is>
      </c>
      <c r="B490" s="11" t="inlineStr">
        <is>
          <t>2024-07-18</t>
        </is>
      </c>
      <c r="C490" s="11" t="inlineStr">
        <is>
          <t>TEC-ACC-006</t>
        </is>
      </c>
      <c r="D490" s="7" t="inlineStr">
        <is>
          <t>MultiPort Thunderbolt 4 Dock</t>
        </is>
      </c>
      <c r="E490" s="7" t="inlineStr">
        <is>
          <t>Technology</t>
        </is>
      </c>
      <c r="F490" s="7" t="inlineStr">
        <is>
          <t>Audio &amp; Accessories</t>
        </is>
      </c>
      <c r="G490" s="7" t="inlineStr">
        <is>
          <t>East</t>
        </is>
      </c>
      <c r="H490" s="7" t="inlineStr">
        <is>
          <t>New York</t>
        </is>
      </c>
      <c r="I490" s="7" t="inlineStr">
        <is>
          <t>Wholesale</t>
        </is>
      </c>
      <c r="J490" s="7" t="inlineStr">
        <is>
          <t>Consumer</t>
        </is>
      </c>
      <c r="K490" s="12" t="n">
        <v>11</v>
      </c>
      <c r="L490" s="9" t="n">
        <v>149.99</v>
      </c>
      <c r="M490" s="10" t="n">
        <v>0.1</v>
      </c>
      <c r="N490" s="9" t="n">
        <v>98.98999999999999</v>
      </c>
      <c r="O490" s="9">
        <f>K490*L490</f>
        <v/>
      </c>
      <c r="P490" s="9">
        <f>O490*M490</f>
        <v/>
      </c>
      <c r="Q490" s="9">
        <f>O490-P490</f>
        <v/>
      </c>
      <c r="R490" s="9">
        <f>K490*N490</f>
        <v/>
      </c>
      <c r="S490" s="9">
        <f>Q490-R490</f>
        <v/>
      </c>
      <c r="T490" s="10">
        <f>IFERROR(S490/Q490, 0)</f>
        <v/>
      </c>
    </row>
    <row r="491">
      <c r="A491" s="11" t="inlineStr">
        <is>
          <t>ORD-2024-1057</t>
        </is>
      </c>
      <c r="B491" s="11" t="inlineStr">
        <is>
          <t>2024-07-18</t>
        </is>
      </c>
      <c r="C491" s="11" t="inlineStr">
        <is>
          <t>OFF-STR-002</t>
        </is>
      </c>
      <c r="D491" s="7" t="inlineStr">
        <is>
          <t>Stackable Heavy-Duty Storage Bins (4-Pk)</t>
        </is>
      </c>
      <c r="E491" s="7" t="inlineStr">
        <is>
          <t>Office Supplies</t>
        </is>
      </c>
      <c r="F491" s="7" t="inlineStr">
        <is>
          <t>Storage &amp; Organizers</t>
        </is>
      </c>
      <c r="G491" s="7" t="inlineStr">
        <is>
          <t>East</t>
        </is>
      </c>
      <c r="H491" s="7" t="inlineStr">
        <is>
          <t>New York</t>
        </is>
      </c>
      <c r="I491" s="7" t="inlineStr">
        <is>
          <t>Wholesale</t>
        </is>
      </c>
      <c r="J491" s="7" t="inlineStr">
        <is>
          <t>Consumer</t>
        </is>
      </c>
      <c r="K491" s="12" t="n">
        <v>12</v>
      </c>
      <c r="L491" s="9" t="n">
        <v>44.99</v>
      </c>
      <c r="M491" s="10" t="n">
        <v>0.1</v>
      </c>
      <c r="N491" s="9" t="n">
        <v>24.74</v>
      </c>
      <c r="O491" s="9">
        <f>K491*L491</f>
        <v/>
      </c>
      <c r="P491" s="9">
        <f>O491*M491</f>
        <v/>
      </c>
      <c r="Q491" s="9">
        <f>O491-P491</f>
        <v/>
      </c>
      <c r="R491" s="9">
        <f>K491*N491</f>
        <v/>
      </c>
      <c r="S491" s="9">
        <f>Q491-R491</f>
        <v/>
      </c>
      <c r="T491" s="10">
        <f>IFERROR(S491/Q491, 0)</f>
        <v/>
      </c>
    </row>
    <row r="492">
      <c r="A492" s="11" t="inlineStr">
        <is>
          <t>ORD-2024-1276</t>
        </is>
      </c>
      <c r="B492" s="11" t="inlineStr">
        <is>
          <t>2024-07-18</t>
        </is>
      </c>
      <c r="C492" s="11" t="inlineStr">
        <is>
          <t>TEC-LAP-002</t>
        </is>
      </c>
      <c r="D492" s="7" t="inlineStr">
        <is>
          <t>Apex Gaming Laptop 17"</t>
        </is>
      </c>
      <c r="E492" s="7" t="inlineStr">
        <is>
          <t>Technology</t>
        </is>
      </c>
      <c r="F492" s="7" t="inlineStr">
        <is>
          <t>Laptops</t>
        </is>
      </c>
      <c r="G492" s="7" t="inlineStr">
        <is>
          <t>Central</t>
        </is>
      </c>
      <c r="H492" s="7" t="inlineStr">
        <is>
          <t>Ohio</t>
        </is>
      </c>
      <c r="I492" s="7" t="inlineStr">
        <is>
          <t>Online</t>
        </is>
      </c>
      <c r="J492" s="7" t="inlineStr">
        <is>
          <t>Corporate</t>
        </is>
      </c>
      <c r="K492" s="12" t="n">
        <v>5</v>
      </c>
      <c r="L492" s="9" t="n">
        <v>1499.99</v>
      </c>
      <c r="M492" s="10" t="n">
        <v>0.15</v>
      </c>
      <c r="N492" s="9" t="n">
        <v>1259.99</v>
      </c>
      <c r="O492" s="9">
        <f>K492*L492</f>
        <v/>
      </c>
      <c r="P492" s="9">
        <f>O492*M492</f>
        <v/>
      </c>
      <c r="Q492" s="9">
        <f>O492-P492</f>
        <v/>
      </c>
      <c r="R492" s="9">
        <f>K492*N492</f>
        <v/>
      </c>
      <c r="S492" s="9">
        <f>Q492-R492</f>
        <v/>
      </c>
      <c r="T492" s="10">
        <f>IFERROR(S492/Q492, 0)</f>
        <v/>
      </c>
    </row>
    <row r="493">
      <c r="A493" s="11" t="inlineStr">
        <is>
          <t>ORD-2024-1497</t>
        </is>
      </c>
      <c r="B493" s="11" t="inlineStr">
        <is>
          <t>2024-07-18</t>
        </is>
      </c>
      <c r="C493" s="11" t="inlineStr">
        <is>
          <t>TEC-ACC-006</t>
        </is>
      </c>
      <c r="D493" s="7" t="inlineStr">
        <is>
          <t>MultiPort Thunderbolt 4 Dock</t>
        </is>
      </c>
      <c r="E493" s="7" t="inlineStr">
        <is>
          <t>Technology</t>
        </is>
      </c>
      <c r="F493" s="7" t="inlineStr">
        <is>
          <t>Audio &amp; Accessories</t>
        </is>
      </c>
      <c r="G493" s="7" t="inlineStr">
        <is>
          <t>Central</t>
        </is>
      </c>
      <c r="H493" s="7" t="inlineStr">
        <is>
          <t>Illinois</t>
        </is>
      </c>
      <c r="I493" s="7" t="inlineStr">
        <is>
          <t>Online</t>
        </is>
      </c>
      <c r="J493" s="7" t="inlineStr">
        <is>
          <t>Consumer</t>
        </is>
      </c>
      <c r="K493" s="12" t="n">
        <v>4</v>
      </c>
      <c r="L493" s="9" t="n">
        <v>149.99</v>
      </c>
      <c r="M493" s="10" t="n">
        <v>0</v>
      </c>
      <c r="N493" s="9" t="n">
        <v>98.98999999999999</v>
      </c>
      <c r="O493" s="9">
        <f>K493*L493</f>
        <v/>
      </c>
      <c r="P493" s="9">
        <f>O493*M493</f>
        <v/>
      </c>
      <c r="Q493" s="9">
        <f>O493-P493</f>
        <v/>
      </c>
      <c r="R493" s="9">
        <f>K493*N493</f>
        <v/>
      </c>
      <c r="S493" s="9">
        <f>Q493-R493</f>
        <v/>
      </c>
      <c r="T493" s="10">
        <f>IFERROR(S493/Q493, 0)</f>
        <v/>
      </c>
    </row>
    <row r="494">
      <c r="A494" s="11" t="inlineStr">
        <is>
          <t>ORD-2024-1631</t>
        </is>
      </c>
      <c r="B494" s="11" t="inlineStr">
        <is>
          <t>2024-07-18</t>
        </is>
      </c>
      <c r="C494" s="11" t="inlineStr">
        <is>
          <t>OFF-STR-001</t>
        </is>
      </c>
      <c r="D494" s="7" t="inlineStr">
        <is>
          <t>SteelLock 3-Drawer File Cabinet</t>
        </is>
      </c>
      <c r="E494" s="7" t="inlineStr">
        <is>
          <t>Office Supplies</t>
        </is>
      </c>
      <c r="F494" s="7" t="inlineStr">
        <is>
          <t>Storage &amp; Organizers</t>
        </is>
      </c>
      <c r="G494" s="7" t="inlineStr">
        <is>
          <t>Central</t>
        </is>
      </c>
      <c r="H494" s="7" t="inlineStr">
        <is>
          <t>Illinois</t>
        </is>
      </c>
      <c r="I494" s="7" t="inlineStr">
        <is>
          <t>Online</t>
        </is>
      </c>
      <c r="J494" s="7" t="inlineStr">
        <is>
          <t>Corporate</t>
        </is>
      </c>
      <c r="K494" s="12" t="n">
        <v>7</v>
      </c>
      <c r="L494" s="9" t="n">
        <v>169.99</v>
      </c>
      <c r="M494" s="10" t="n">
        <v>0.1</v>
      </c>
      <c r="N494" s="9" t="n">
        <v>115.59</v>
      </c>
      <c r="O494" s="9">
        <f>K494*L494</f>
        <v/>
      </c>
      <c r="P494" s="9">
        <f>O494*M494</f>
        <v/>
      </c>
      <c r="Q494" s="9">
        <f>O494-P494</f>
        <v/>
      </c>
      <c r="R494" s="9">
        <f>K494*N494</f>
        <v/>
      </c>
      <c r="S494" s="9">
        <f>Q494-R494</f>
        <v/>
      </c>
      <c r="T494" s="10">
        <f>IFERROR(S494/Q494, 0)</f>
        <v/>
      </c>
    </row>
    <row r="495">
      <c r="A495" s="11" t="inlineStr">
        <is>
          <t>ORD-2024-1636</t>
        </is>
      </c>
      <c r="B495" s="11" t="inlineStr">
        <is>
          <t>2024-07-18</t>
        </is>
      </c>
      <c r="C495" s="11" t="inlineStr">
        <is>
          <t>OFF-PAP-004</t>
        </is>
      </c>
      <c r="D495" s="7" t="inlineStr">
        <is>
          <t>EcoRecycled Copy Paper (5 Reams)</t>
        </is>
      </c>
      <c r="E495" s="7" t="inlineStr">
        <is>
          <t>Office Supplies</t>
        </is>
      </c>
      <c r="F495" s="7" t="inlineStr">
        <is>
          <t>Paper Products</t>
        </is>
      </c>
      <c r="G495" s="7" t="inlineStr">
        <is>
          <t>East</t>
        </is>
      </c>
      <c r="H495" s="7" t="inlineStr">
        <is>
          <t>New Jersey</t>
        </is>
      </c>
      <c r="I495" s="7" t="inlineStr">
        <is>
          <t>Online</t>
        </is>
      </c>
      <c r="J495" s="7" t="inlineStr">
        <is>
          <t>Corporate</t>
        </is>
      </c>
      <c r="K495" s="12" t="n">
        <v>2</v>
      </c>
      <c r="L495" s="9" t="n">
        <v>32.99</v>
      </c>
      <c r="M495" s="10" t="n">
        <v>0</v>
      </c>
      <c r="N495" s="9" t="n">
        <v>19.79</v>
      </c>
      <c r="O495" s="9">
        <f>K495*L495</f>
        <v/>
      </c>
      <c r="P495" s="9">
        <f>O495*M495</f>
        <v/>
      </c>
      <c r="Q495" s="9">
        <f>O495-P495</f>
        <v/>
      </c>
      <c r="R495" s="9">
        <f>K495*N495</f>
        <v/>
      </c>
      <c r="S495" s="9">
        <f>Q495-R495</f>
        <v/>
      </c>
      <c r="T495" s="10">
        <f>IFERROR(S495/Q495, 0)</f>
        <v/>
      </c>
    </row>
    <row r="496">
      <c r="A496" s="11" t="inlineStr">
        <is>
          <t>ORD-2024-1636</t>
        </is>
      </c>
      <c r="B496" s="11" t="inlineStr">
        <is>
          <t>2024-07-18</t>
        </is>
      </c>
      <c r="C496" s="11" t="inlineStr">
        <is>
          <t>FUR-DSK-004</t>
        </is>
      </c>
      <c r="D496" s="7" t="inlineStr">
        <is>
          <t>Metro Compact Corner Workstation</t>
        </is>
      </c>
      <c r="E496" s="7" t="inlineStr">
        <is>
          <t>Furniture</t>
        </is>
      </c>
      <c r="F496" s="7" t="inlineStr">
        <is>
          <t>Desks &amp; Workstations</t>
        </is>
      </c>
      <c r="G496" s="7" t="inlineStr">
        <is>
          <t>East</t>
        </is>
      </c>
      <c r="H496" s="7" t="inlineStr">
        <is>
          <t>New Jersey</t>
        </is>
      </c>
      <c r="I496" s="7" t="inlineStr">
        <is>
          <t>Online</t>
        </is>
      </c>
      <c r="J496" s="7" t="inlineStr">
        <is>
          <t>Corporate</t>
        </is>
      </c>
      <c r="K496" s="12" t="n">
        <v>7</v>
      </c>
      <c r="L496" s="9" t="n">
        <v>329.99</v>
      </c>
      <c r="M496" s="10" t="n">
        <v>0.1</v>
      </c>
      <c r="N496" s="9" t="n">
        <v>250.79</v>
      </c>
      <c r="O496" s="9">
        <f>K496*L496</f>
        <v/>
      </c>
      <c r="P496" s="9">
        <f>O496*M496</f>
        <v/>
      </c>
      <c r="Q496" s="9">
        <f>O496-P496</f>
        <v/>
      </c>
      <c r="R496" s="9">
        <f>K496*N496</f>
        <v/>
      </c>
      <c r="S496" s="9">
        <f>Q496-R496</f>
        <v/>
      </c>
      <c r="T496" s="10">
        <f>IFERROR(S496/Q496, 0)</f>
        <v/>
      </c>
    </row>
    <row r="497">
      <c r="A497" s="11" t="inlineStr">
        <is>
          <t>ORD-2024-1696</t>
        </is>
      </c>
      <c r="B497" s="11" t="inlineStr">
        <is>
          <t>2024-07-18</t>
        </is>
      </c>
      <c r="C497" s="11" t="inlineStr">
        <is>
          <t>OFF-BIN-005</t>
        </is>
      </c>
      <c r="D497" s="7" t="inlineStr">
        <is>
          <t>Heavy-Duty D-Ring Presentation Binder (6-Pk)</t>
        </is>
      </c>
      <c r="E497" s="7" t="inlineStr">
        <is>
          <t>Office Supplies</t>
        </is>
      </c>
      <c r="F497" s="7" t="inlineStr">
        <is>
          <t>Binders &amp; Fasteners</t>
        </is>
      </c>
      <c r="G497" s="7" t="inlineStr">
        <is>
          <t>West</t>
        </is>
      </c>
      <c r="H497" s="7" t="inlineStr">
        <is>
          <t>Washington</t>
        </is>
      </c>
      <c r="I497" s="7" t="inlineStr">
        <is>
          <t>Online</t>
        </is>
      </c>
      <c r="J497" s="7" t="inlineStr">
        <is>
          <t>Consumer</t>
        </is>
      </c>
      <c r="K497" s="12" t="n">
        <v>4</v>
      </c>
      <c r="L497" s="9" t="n">
        <v>27.99</v>
      </c>
      <c r="M497" s="10" t="n">
        <v>0.05</v>
      </c>
      <c r="N497" s="9" t="n">
        <v>13.99</v>
      </c>
      <c r="O497" s="9">
        <f>K497*L497</f>
        <v/>
      </c>
      <c r="P497" s="9">
        <f>O497*M497</f>
        <v/>
      </c>
      <c r="Q497" s="9">
        <f>O497-P497</f>
        <v/>
      </c>
      <c r="R497" s="9">
        <f>K497*N497</f>
        <v/>
      </c>
      <c r="S497" s="9">
        <f>Q497-R497</f>
        <v/>
      </c>
      <c r="T497" s="10">
        <f>IFERROR(S497/Q497, 0)</f>
        <v/>
      </c>
    </row>
    <row r="498">
      <c r="A498" s="11" t="inlineStr">
        <is>
          <t>ORD-2024-1696</t>
        </is>
      </c>
      <c r="B498" s="11" t="inlineStr">
        <is>
          <t>2024-07-18</t>
        </is>
      </c>
      <c r="C498" s="11" t="inlineStr">
        <is>
          <t>FUR-DSK-003</t>
        </is>
      </c>
      <c r="D498" s="7" t="inlineStr">
        <is>
          <t>ApexMotor Dual-Motor Standing Desk</t>
        </is>
      </c>
      <c r="E498" s="7" t="inlineStr">
        <is>
          <t>Furniture</t>
        </is>
      </c>
      <c r="F498" s="7" t="inlineStr">
        <is>
          <t>Desks &amp; Workstations</t>
        </is>
      </c>
      <c r="G498" s="7" t="inlineStr">
        <is>
          <t>West</t>
        </is>
      </c>
      <c r="H498" s="7" t="inlineStr">
        <is>
          <t>Washington</t>
        </is>
      </c>
      <c r="I498" s="7" t="inlineStr">
        <is>
          <t>Online</t>
        </is>
      </c>
      <c r="J498" s="7" t="inlineStr">
        <is>
          <t>Consumer</t>
        </is>
      </c>
      <c r="K498" s="12" t="n">
        <v>1</v>
      </c>
      <c r="L498" s="9" t="n">
        <v>549.99</v>
      </c>
      <c r="M498" s="10" t="n">
        <v>0</v>
      </c>
      <c r="N498" s="9" t="n">
        <v>439.99</v>
      </c>
      <c r="O498" s="9">
        <f>K498*L498</f>
        <v/>
      </c>
      <c r="P498" s="9">
        <f>O498*M498</f>
        <v/>
      </c>
      <c r="Q498" s="9">
        <f>O498-P498</f>
        <v/>
      </c>
      <c r="R498" s="9">
        <f>K498*N498</f>
        <v/>
      </c>
      <c r="S498" s="9">
        <f>Q498-R498</f>
        <v/>
      </c>
      <c r="T498" s="10">
        <f>IFERROR(S498/Q498, 0)</f>
        <v/>
      </c>
    </row>
    <row r="499">
      <c r="A499" s="11" t="inlineStr">
        <is>
          <t>ORD-2024-1241</t>
        </is>
      </c>
      <c r="B499" s="11" t="inlineStr">
        <is>
          <t>2024-07-19</t>
        </is>
      </c>
      <c r="C499" s="11" t="inlineStr">
        <is>
          <t>TEC-ACC-006</t>
        </is>
      </c>
      <c r="D499" s="7" t="inlineStr">
        <is>
          <t>MultiPort Thunderbolt 4 Dock</t>
        </is>
      </c>
      <c r="E499" s="7" t="inlineStr">
        <is>
          <t>Technology</t>
        </is>
      </c>
      <c r="F499" s="7" t="inlineStr">
        <is>
          <t>Audio &amp; Accessories</t>
        </is>
      </c>
      <c r="G499" s="7" t="inlineStr">
        <is>
          <t>West</t>
        </is>
      </c>
      <c r="H499" s="7" t="inlineStr">
        <is>
          <t>Washington</t>
        </is>
      </c>
      <c r="I499" s="7" t="inlineStr">
        <is>
          <t>Online</t>
        </is>
      </c>
      <c r="J499" s="7" t="inlineStr">
        <is>
          <t>Corporate</t>
        </is>
      </c>
      <c r="K499" s="12" t="n">
        <v>3</v>
      </c>
      <c r="L499" s="9" t="n">
        <v>149.99</v>
      </c>
      <c r="M499" s="10" t="n">
        <v>0</v>
      </c>
      <c r="N499" s="9" t="n">
        <v>98.98999999999999</v>
      </c>
      <c r="O499" s="9">
        <f>K499*L499</f>
        <v/>
      </c>
      <c r="P499" s="9">
        <f>O499*M499</f>
        <v/>
      </c>
      <c r="Q499" s="9">
        <f>O499-P499</f>
        <v/>
      </c>
      <c r="R499" s="9">
        <f>K499*N499</f>
        <v/>
      </c>
      <c r="S499" s="9">
        <f>Q499-R499</f>
        <v/>
      </c>
      <c r="T499" s="10">
        <f>IFERROR(S499/Q499, 0)</f>
        <v/>
      </c>
    </row>
    <row r="500">
      <c r="A500" s="11" t="inlineStr">
        <is>
          <t>ORD-2024-1478</t>
        </is>
      </c>
      <c r="B500" s="11" t="inlineStr">
        <is>
          <t>2024-07-20</t>
        </is>
      </c>
      <c r="C500" s="11" t="inlineStr">
        <is>
          <t>TEC-LAP-002</t>
        </is>
      </c>
      <c r="D500" s="7" t="inlineStr">
        <is>
          <t>Apex Gaming Laptop 17"</t>
        </is>
      </c>
      <c r="E500" s="7" t="inlineStr">
        <is>
          <t>Technology</t>
        </is>
      </c>
      <c r="F500" s="7" t="inlineStr">
        <is>
          <t>Laptops</t>
        </is>
      </c>
      <c r="G500" s="7" t="inlineStr">
        <is>
          <t>West</t>
        </is>
      </c>
      <c r="H500" s="7" t="inlineStr">
        <is>
          <t>Colorado</t>
        </is>
      </c>
      <c r="I500" s="7" t="inlineStr">
        <is>
          <t>Online</t>
        </is>
      </c>
      <c r="J500" s="7" t="inlineStr">
        <is>
          <t>Corporate</t>
        </is>
      </c>
      <c r="K500" s="12" t="n">
        <v>7</v>
      </c>
      <c r="L500" s="9" t="n">
        <v>1499.99</v>
      </c>
      <c r="M500" s="10" t="n">
        <v>0.15</v>
      </c>
      <c r="N500" s="9" t="n">
        <v>1259.99</v>
      </c>
      <c r="O500" s="9">
        <f>K500*L500</f>
        <v/>
      </c>
      <c r="P500" s="9">
        <f>O500*M500</f>
        <v/>
      </c>
      <c r="Q500" s="9">
        <f>O500-P500</f>
        <v/>
      </c>
      <c r="R500" s="9">
        <f>K500*N500</f>
        <v/>
      </c>
      <c r="S500" s="9">
        <f>Q500-R500</f>
        <v/>
      </c>
      <c r="T500" s="10">
        <f>IFERROR(S500/Q500, 0)</f>
        <v/>
      </c>
    </row>
    <row r="501">
      <c r="A501" s="11" t="inlineStr">
        <is>
          <t>ORD-2024-1589</t>
        </is>
      </c>
      <c r="B501" s="11" t="inlineStr">
        <is>
          <t>2024-07-21</t>
        </is>
      </c>
      <c r="C501" s="11" t="inlineStr">
        <is>
          <t>TEC-TAB-003</t>
        </is>
      </c>
      <c r="D501" s="7" t="inlineStr">
        <is>
          <t>VisionPad Pro 11"</t>
        </is>
      </c>
      <c r="E501" s="7" t="inlineStr">
        <is>
          <t>Technology</t>
        </is>
      </c>
      <c r="F501" s="7" t="inlineStr">
        <is>
          <t>Phones &amp; Tablets</t>
        </is>
      </c>
      <c r="G501" s="7" t="inlineStr">
        <is>
          <t>East</t>
        </is>
      </c>
      <c r="H501" s="7" t="inlineStr">
        <is>
          <t>New York</t>
        </is>
      </c>
      <c r="I501" s="7" t="inlineStr">
        <is>
          <t>Wholesale</t>
        </is>
      </c>
      <c r="J501" s="7" t="inlineStr">
        <is>
          <t>Home Office</t>
        </is>
      </c>
      <c r="K501" s="12" t="n">
        <v>11</v>
      </c>
      <c r="L501" s="9" t="n">
        <v>649.99</v>
      </c>
      <c r="M501" s="10" t="n">
        <v>0.1</v>
      </c>
      <c r="N501" s="9" t="n">
        <v>487.49</v>
      </c>
      <c r="O501" s="9">
        <f>K501*L501</f>
        <v/>
      </c>
      <c r="P501" s="9">
        <f>O501*M501</f>
        <v/>
      </c>
      <c r="Q501" s="9">
        <f>O501-P501</f>
        <v/>
      </c>
      <c r="R501" s="9">
        <f>K501*N501</f>
        <v/>
      </c>
      <c r="S501" s="9">
        <f>Q501-R501</f>
        <v/>
      </c>
      <c r="T501" s="10">
        <f>IFERROR(S501/Q501, 0)</f>
        <v/>
      </c>
    </row>
    <row r="502">
      <c r="A502" s="11" t="inlineStr">
        <is>
          <t>ORD-2024-1589</t>
        </is>
      </c>
      <c r="B502" s="11" t="inlineStr">
        <is>
          <t>2024-07-21</t>
        </is>
      </c>
      <c r="C502" s="11" t="inlineStr">
        <is>
          <t>FUR-BOK-005</t>
        </is>
      </c>
      <c r="D502" s="7" t="inlineStr">
        <is>
          <t>Modular 5-Tier Steel Bookcase</t>
        </is>
      </c>
      <c r="E502" s="7" t="inlineStr">
        <is>
          <t>Furniture</t>
        </is>
      </c>
      <c r="F502" s="7" t="inlineStr">
        <is>
          <t>Bookcases</t>
        </is>
      </c>
      <c r="G502" s="7" t="inlineStr">
        <is>
          <t>East</t>
        </is>
      </c>
      <c r="H502" s="7" t="inlineStr">
        <is>
          <t>New York</t>
        </is>
      </c>
      <c r="I502" s="7" t="inlineStr">
        <is>
          <t>Wholesale</t>
        </is>
      </c>
      <c r="J502" s="7" t="inlineStr">
        <is>
          <t>Home Office</t>
        </is>
      </c>
      <c r="K502" s="12" t="n">
        <v>11</v>
      </c>
      <c r="L502" s="9" t="n">
        <v>189.99</v>
      </c>
      <c r="M502" s="10" t="n">
        <v>0.15</v>
      </c>
      <c r="N502" s="9" t="n">
        <v>142.49</v>
      </c>
      <c r="O502" s="9">
        <f>K502*L502</f>
        <v/>
      </c>
      <c r="P502" s="9">
        <f>O502*M502</f>
        <v/>
      </c>
      <c r="Q502" s="9">
        <f>O502-P502</f>
        <v/>
      </c>
      <c r="R502" s="9">
        <f>K502*N502</f>
        <v/>
      </c>
      <c r="S502" s="9">
        <f>Q502-R502</f>
        <v/>
      </c>
      <c r="T502" s="10">
        <f>IFERROR(S502/Q502, 0)</f>
        <v/>
      </c>
    </row>
    <row r="503">
      <c r="A503" s="11" t="inlineStr">
        <is>
          <t>ORD-2024-1102</t>
        </is>
      </c>
      <c r="B503" s="11" t="inlineStr">
        <is>
          <t>2024-07-22</t>
        </is>
      </c>
      <c r="C503" s="11" t="inlineStr">
        <is>
          <t>FUR-DSK-003</t>
        </is>
      </c>
      <c r="D503" s="7" t="inlineStr">
        <is>
          <t>ApexMotor Dual-Motor Standing Desk</t>
        </is>
      </c>
      <c r="E503" s="7" t="inlineStr">
        <is>
          <t>Furniture</t>
        </is>
      </c>
      <c r="F503" s="7" t="inlineStr">
        <is>
          <t>Desks &amp; Workstations</t>
        </is>
      </c>
      <c r="G503" s="7" t="inlineStr">
        <is>
          <t>West</t>
        </is>
      </c>
      <c r="H503" s="7" t="inlineStr">
        <is>
          <t>Colorado</t>
        </is>
      </c>
      <c r="I503" s="7" t="inlineStr">
        <is>
          <t>Online</t>
        </is>
      </c>
      <c r="J503" s="7" t="inlineStr">
        <is>
          <t>Consumer</t>
        </is>
      </c>
      <c r="K503" s="12" t="n">
        <v>4</v>
      </c>
      <c r="L503" s="9" t="n">
        <v>549.99</v>
      </c>
      <c r="M503" s="10" t="n">
        <v>0.05</v>
      </c>
      <c r="N503" s="9" t="n">
        <v>439.99</v>
      </c>
      <c r="O503" s="9">
        <f>K503*L503</f>
        <v/>
      </c>
      <c r="P503" s="9">
        <f>O503*M503</f>
        <v/>
      </c>
      <c r="Q503" s="9">
        <f>O503-P503</f>
        <v/>
      </c>
      <c r="R503" s="9">
        <f>K503*N503</f>
        <v/>
      </c>
      <c r="S503" s="9">
        <f>Q503-R503</f>
        <v/>
      </c>
      <c r="T503" s="10">
        <f>IFERROR(S503/Q503, 0)</f>
        <v/>
      </c>
    </row>
    <row r="504">
      <c r="A504" s="11" t="inlineStr">
        <is>
          <t>ORD-2024-1115</t>
        </is>
      </c>
      <c r="B504" s="11" t="inlineStr">
        <is>
          <t>2024-07-23</t>
        </is>
      </c>
      <c r="C504" s="11" t="inlineStr">
        <is>
          <t>TEC-TAB-004</t>
        </is>
      </c>
      <c r="D504" s="7" t="inlineStr">
        <is>
          <t>VisionPad Lite 8.5"</t>
        </is>
      </c>
      <c r="E504" s="7" t="inlineStr">
        <is>
          <t>Technology</t>
        </is>
      </c>
      <c r="F504" s="7" t="inlineStr">
        <is>
          <t>Phones &amp; Tablets</t>
        </is>
      </c>
      <c r="G504" s="7" t="inlineStr">
        <is>
          <t>Central</t>
        </is>
      </c>
      <c r="H504" s="7" t="inlineStr">
        <is>
          <t>Illinois</t>
        </is>
      </c>
      <c r="I504" s="7" t="inlineStr">
        <is>
          <t>Direct Sales</t>
        </is>
      </c>
      <c r="J504" s="7" t="inlineStr">
        <is>
          <t>Consumer</t>
        </is>
      </c>
      <c r="K504" s="12" t="n">
        <v>4</v>
      </c>
      <c r="L504" s="9" t="n">
        <v>299.99</v>
      </c>
      <c r="M504" s="10" t="n">
        <v>0</v>
      </c>
      <c r="N504" s="9" t="n">
        <v>245.99</v>
      </c>
      <c r="O504" s="9">
        <f>K504*L504</f>
        <v/>
      </c>
      <c r="P504" s="9">
        <f>O504*M504</f>
        <v/>
      </c>
      <c r="Q504" s="9">
        <f>O504-P504</f>
        <v/>
      </c>
      <c r="R504" s="9">
        <f>K504*N504</f>
        <v/>
      </c>
      <c r="S504" s="9">
        <f>Q504-R504</f>
        <v/>
      </c>
      <c r="T504" s="10">
        <f>IFERROR(S504/Q504, 0)</f>
        <v/>
      </c>
    </row>
    <row r="505">
      <c r="A505" s="11" t="inlineStr">
        <is>
          <t>ORD-2024-1700</t>
        </is>
      </c>
      <c r="B505" s="11" t="inlineStr">
        <is>
          <t>2024-07-23</t>
        </is>
      </c>
      <c r="C505" s="11" t="inlineStr">
        <is>
          <t>OFF-DSK-007</t>
        </is>
      </c>
      <c r="D505" s="7" t="inlineStr">
        <is>
          <t>Gel Ergo Mouse Pad &amp; Wrist Rest Combo</t>
        </is>
      </c>
      <c r="E505" s="7" t="inlineStr">
        <is>
          <t>Office Supplies</t>
        </is>
      </c>
      <c r="F505" s="7" t="inlineStr">
        <is>
          <t>Desk Supplies</t>
        </is>
      </c>
      <c r="G505" s="7" t="inlineStr">
        <is>
          <t>East</t>
        </is>
      </c>
      <c r="H505" s="7" t="inlineStr">
        <is>
          <t>Pennsylvania</t>
        </is>
      </c>
      <c r="I505" s="7" t="inlineStr">
        <is>
          <t>Retail Partner</t>
        </is>
      </c>
      <c r="J505" s="7" t="inlineStr">
        <is>
          <t>Home Office</t>
        </is>
      </c>
      <c r="K505" s="12" t="n">
        <v>3</v>
      </c>
      <c r="L505" s="9" t="n">
        <v>21.99</v>
      </c>
      <c r="M505" s="10" t="n">
        <v>0</v>
      </c>
      <c r="N505" s="9" t="n">
        <v>10.56</v>
      </c>
      <c r="O505" s="9">
        <f>K505*L505</f>
        <v/>
      </c>
      <c r="P505" s="9">
        <f>O505*M505</f>
        <v/>
      </c>
      <c r="Q505" s="9">
        <f>O505-P505</f>
        <v/>
      </c>
      <c r="R505" s="9">
        <f>K505*N505</f>
        <v/>
      </c>
      <c r="S505" s="9">
        <f>Q505-R505</f>
        <v/>
      </c>
      <c r="T505" s="10">
        <f>IFERROR(S505/Q505, 0)</f>
        <v/>
      </c>
    </row>
    <row r="506">
      <c r="A506" s="11" t="inlineStr">
        <is>
          <t>ORD-2024-1700</t>
        </is>
      </c>
      <c r="B506" s="11" t="inlineStr">
        <is>
          <t>2024-07-23</t>
        </is>
      </c>
      <c r="C506" s="11" t="inlineStr">
        <is>
          <t>TEC-ACC-006</t>
        </is>
      </c>
      <c r="D506" s="7" t="inlineStr">
        <is>
          <t>MultiPort Thunderbolt 4 Dock</t>
        </is>
      </c>
      <c r="E506" s="7" t="inlineStr">
        <is>
          <t>Technology</t>
        </is>
      </c>
      <c r="F506" s="7" t="inlineStr">
        <is>
          <t>Audio &amp; Accessories</t>
        </is>
      </c>
      <c r="G506" s="7" t="inlineStr">
        <is>
          <t>East</t>
        </is>
      </c>
      <c r="H506" s="7" t="inlineStr">
        <is>
          <t>Pennsylvania</t>
        </is>
      </c>
      <c r="I506" s="7" t="inlineStr">
        <is>
          <t>Retail Partner</t>
        </is>
      </c>
      <c r="J506" s="7" t="inlineStr">
        <is>
          <t>Home Office</t>
        </is>
      </c>
      <c r="K506" s="12" t="n">
        <v>3</v>
      </c>
      <c r="L506" s="9" t="n">
        <v>149.99</v>
      </c>
      <c r="M506" s="10" t="n">
        <v>0.05</v>
      </c>
      <c r="N506" s="9" t="n">
        <v>98.98999999999999</v>
      </c>
      <c r="O506" s="9">
        <f>K506*L506</f>
        <v/>
      </c>
      <c r="P506" s="9">
        <f>O506*M506</f>
        <v/>
      </c>
      <c r="Q506" s="9">
        <f>O506-P506</f>
        <v/>
      </c>
      <c r="R506" s="9">
        <f>K506*N506</f>
        <v/>
      </c>
      <c r="S506" s="9">
        <f>Q506-R506</f>
        <v/>
      </c>
      <c r="T506" s="10">
        <f>IFERROR(S506/Q506, 0)</f>
        <v/>
      </c>
    </row>
    <row r="507">
      <c r="A507" s="11" t="inlineStr">
        <is>
          <t>ORD-2024-1394</t>
        </is>
      </c>
      <c r="B507" s="11" t="inlineStr">
        <is>
          <t>2024-07-24</t>
        </is>
      </c>
      <c r="C507" s="11" t="inlineStr">
        <is>
          <t>OFF-BIN-005</t>
        </is>
      </c>
      <c r="D507" s="7" t="inlineStr">
        <is>
          <t>Heavy-Duty D-Ring Presentation Binder (6-Pk)</t>
        </is>
      </c>
      <c r="E507" s="7" t="inlineStr">
        <is>
          <t>Office Supplies</t>
        </is>
      </c>
      <c r="F507" s="7" t="inlineStr">
        <is>
          <t>Binders &amp; Fasteners</t>
        </is>
      </c>
      <c r="G507" s="7" t="inlineStr">
        <is>
          <t>Central</t>
        </is>
      </c>
      <c r="H507" s="7" t="inlineStr">
        <is>
          <t>Illinois</t>
        </is>
      </c>
      <c r="I507" s="7" t="inlineStr">
        <is>
          <t>Wholesale</t>
        </is>
      </c>
      <c r="J507" s="7" t="inlineStr">
        <is>
          <t>Consumer</t>
        </is>
      </c>
      <c r="K507" s="12" t="n">
        <v>10</v>
      </c>
      <c r="L507" s="9" t="n">
        <v>27.99</v>
      </c>
      <c r="M507" s="10" t="n">
        <v>0.15</v>
      </c>
      <c r="N507" s="9" t="n">
        <v>13.99</v>
      </c>
      <c r="O507" s="9">
        <f>K507*L507</f>
        <v/>
      </c>
      <c r="P507" s="9">
        <f>O507*M507</f>
        <v/>
      </c>
      <c r="Q507" s="9">
        <f>O507-P507</f>
        <v/>
      </c>
      <c r="R507" s="9">
        <f>K507*N507</f>
        <v/>
      </c>
      <c r="S507" s="9">
        <f>Q507-R507</f>
        <v/>
      </c>
      <c r="T507" s="10">
        <f>IFERROR(S507/Q507, 0)</f>
        <v/>
      </c>
    </row>
    <row r="508">
      <c r="A508" s="11" t="inlineStr">
        <is>
          <t>ORD-2024-1394</t>
        </is>
      </c>
      <c r="B508" s="11" t="inlineStr">
        <is>
          <t>2024-07-24</t>
        </is>
      </c>
      <c r="C508" s="11" t="inlineStr">
        <is>
          <t>TEC-ACC-005</t>
        </is>
      </c>
      <c r="D508" s="7" t="inlineStr">
        <is>
          <t>UltraWireless Noise-Canceling Headset</t>
        </is>
      </c>
      <c r="E508" s="7" t="inlineStr">
        <is>
          <t>Technology</t>
        </is>
      </c>
      <c r="F508" s="7" t="inlineStr">
        <is>
          <t>Audio &amp; Accessories</t>
        </is>
      </c>
      <c r="G508" s="7" t="inlineStr">
        <is>
          <t>Central</t>
        </is>
      </c>
      <c r="H508" s="7" t="inlineStr">
        <is>
          <t>Illinois</t>
        </is>
      </c>
      <c r="I508" s="7" t="inlineStr">
        <is>
          <t>Wholesale</t>
        </is>
      </c>
      <c r="J508" s="7" t="inlineStr">
        <is>
          <t>Consumer</t>
        </is>
      </c>
      <c r="K508" s="12" t="n">
        <v>5</v>
      </c>
      <c r="L508" s="9" t="n">
        <v>179.99</v>
      </c>
      <c r="M508" s="10" t="n">
        <v>0.15</v>
      </c>
      <c r="N508" s="9" t="n">
        <v>111.59</v>
      </c>
      <c r="O508" s="9">
        <f>K508*L508</f>
        <v/>
      </c>
      <c r="P508" s="9">
        <f>O508*M508</f>
        <v/>
      </c>
      <c r="Q508" s="9">
        <f>O508-P508</f>
        <v/>
      </c>
      <c r="R508" s="9">
        <f>K508*N508</f>
        <v/>
      </c>
      <c r="S508" s="9">
        <f>Q508-R508</f>
        <v/>
      </c>
      <c r="T508" s="10">
        <f>IFERROR(S508/Q508, 0)</f>
        <v/>
      </c>
    </row>
    <row r="509">
      <c r="A509" s="11" t="inlineStr">
        <is>
          <t>ORD-2024-1260</t>
        </is>
      </c>
      <c r="B509" s="11" t="inlineStr">
        <is>
          <t>2024-07-25</t>
        </is>
      </c>
      <c r="C509" s="11" t="inlineStr">
        <is>
          <t>OFF-DSK-008</t>
        </is>
      </c>
      <c r="D509" s="7" t="inlineStr">
        <is>
          <t>Steel Desktop Mesh Organizer Caddy</t>
        </is>
      </c>
      <c r="E509" s="7" t="inlineStr">
        <is>
          <t>Office Supplies</t>
        </is>
      </c>
      <c r="F509" s="7" t="inlineStr">
        <is>
          <t>Desk Supplies</t>
        </is>
      </c>
      <c r="G509" s="7" t="inlineStr">
        <is>
          <t>East</t>
        </is>
      </c>
      <c r="H509" s="7" t="inlineStr">
        <is>
          <t>Pennsylvania</t>
        </is>
      </c>
      <c r="I509" s="7" t="inlineStr">
        <is>
          <t>Direct Sales</t>
        </is>
      </c>
      <c r="J509" s="7" t="inlineStr">
        <is>
          <t>Home Office</t>
        </is>
      </c>
      <c r="K509" s="12" t="n">
        <v>4</v>
      </c>
      <c r="L509" s="9" t="n">
        <v>18.99</v>
      </c>
      <c r="M509" s="10" t="n">
        <v>0.15</v>
      </c>
      <c r="N509" s="9" t="n">
        <v>8.550000000000001</v>
      </c>
      <c r="O509" s="9">
        <f>K509*L509</f>
        <v/>
      </c>
      <c r="P509" s="9">
        <f>O509*M509</f>
        <v/>
      </c>
      <c r="Q509" s="9">
        <f>O509-P509</f>
        <v/>
      </c>
      <c r="R509" s="9">
        <f>K509*N509</f>
        <v/>
      </c>
      <c r="S509" s="9">
        <f>Q509-R509</f>
        <v/>
      </c>
      <c r="T509" s="10">
        <f>IFERROR(S509/Q509, 0)</f>
        <v/>
      </c>
    </row>
    <row r="510">
      <c r="A510" s="11" t="inlineStr">
        <is>
          <t>ORD-2024-1400</t>
        </is>
      </c>
      <c r="B510" s="11" t="inlineStr">
        <is>
          <t>2024-07-25</t>
        </is>
      </c>
      <c r="C510" s="11" t="inlineStr">
        <is>
          <t>FUR-CHA-002</t>
        </is>
      </c>
      <c r="D510" s="7" t="inlineStr">
        <is>
          <t>AeroTask Operator Task Chair</t>
        </is>
      </c>
      <c r="E510" s="7" t="inlineStr">
        <is>
          <t>Furniture</t>
        </is>
      </c>
      <c r="F510" s="7" t="inlineStr">
        <is>
          <t>Chairs</t>
        </is>
      </c>
      <c r="G510" s="7" t="inlineStr">
        <is>
          <t>East</t>
        </is>
      </c>
      <c r="H510" s="7" t="inlineStr">
        <is>
          <t>Pennsylvania</t>
        </is>
      </c>
      <c r="I510" s="7" t="inlineStr">
        <is>
          <t>Online</t>
        </is>
      </c>
      <c r="J510" s="7" t="inlineStr">
        <is>
          <t>Consumer</t>
        </is>
      </c>
      <c r="K510" s="12" t="n">
        <v>3</v>
      </c>
      <c r="L510" s="9" t="n">
        <v>219.99</v>
      </c>
      <c r="M510" s="10" t="n">
        <v>0.1</v>
      </c>
      <c r="N510" s="9" t="n">
        <v>171.59</v>
      </c>
      <c r="O510" s="9">
        <f>K510*L510</f>
        <v/>
      </c>
      <c r="P510" s="9">
        <f>O510*M510</f>
        <v/>
      </c>
      <c r="Q510" s="9">
        <f>O510-P510</f>
        <v/>
      </c>
      <c r="R510" s="9">
        <f>K510*N510</f>
        <v/>
      </c>
      <c r="S510" s="9">
        <f>Q510-R510</f>
        <v/>
      </c>
      <c r="T510" s="10">
        <f>IFERROR(S510/Q510, 0)</f>
        <v/>
      </c>
    </row>
    <row r="511">
      <c r="A511" s="11" t="inlineStr">
        <is>
          <t>ORD-2024-1484</t>
        </is>
      </c>
      <c r="B511" s="11" t="inlineStr">
        <is>
          <t>2024-07-25</t>
        </is>
      </c>
      <c r="C511" s="11" t="inlineStr">
        <is>
          <t>TEC-ACC-007</t>
        </is>
      </c>
      <c r="D511" s="7" t="inlineStr">
        <is>
          <t>ErgoMechanical Wireless Keyboard</t>
        </is>
      </c>
      <c r="E511" s="7" t="inlineStr">
        <is>
          <t>Technology</t>
        </is>
      </c>
      <c r="F511" s="7" t="inlineStr">
        <is>
          <t>Audio &amp; Accessories</t>
        </is>
      </c>
      <c r="G511" s="7" t="inlineStr">
        <is>
          <t>West</t>
        </is>
      </c>
      <c r="H511" s="7" t="inlineStr">
        <is>
          <t>Oregon</t>
        </is>
      </c>
      <c r="I511" s="7" t="inlineStr">
        <is>
          <t>Direct Sales</t>
        </is>
      </c>
      <c r="J511" s="7" t="inlineStr">
        <is>
          <t>Consumer</t>
        </is>
      </c>
      <c r="K511" s="12" t="n">
        <v>4</v>
      </c>
      <c r="L511" s="9" t="n">
        <v>109.99</v>
      </c>
      <c r="M511" s="10" t="n">
        <v>0.15</v>
      </c>
      <c r="N511" s="9" t="n">
        <v>65.98999999999999</v>
      </c>
      <c r="O511" s="9">
        <f>K511*L511</f>
        <v/>
      </c>
      <c r="P511" s="9">
        <f>O511*M511</f>
        <v/>
      </c>
      <c r="Q511" s="9">
        <f>O511-P511</f>
        <v/>
      </c>
      <c r="R511" s="9">
        <f>K511*N511</f>
        <v/>
      </c>
      <c r="S511" s="9">
        <f>Q511-R511</f>
        <v/>
      </c>
      <c r="T511" s="10">
        <f>IFERROR(S511/Q511, 0)</f>
        <v/>
      </c>
    </row>
    <row r="512">
      <c r="A512" s="11" t="inlineStr">
        <is>
          <t>ORD-2024-1656</t>
        </is>
      </c>
      <c r="B512" s="11" t="inlineStr">
        <is>
          <t>2024-07-25</t>
        </is>
      </c>
      <c r="C512" s="11" t="inlineStr">
        <is>
          <t>OFF-BIN-005</t>
        </is>
      </c>
      <c r="D512" s="7" t="inlineStr">
        <is>
          <t>Heavy-Duty D-Ring Presentation Binder (6-Pk)</t>
        </is>
      </c>
      <c r="E512" s="7" t="inlineStr">
        <is>
          <t>Office Supplies</t>
        </is>
      </c>
      <c r="F512" s="7" t="inlineStr">
        <is>
          <t>Binders &amp; Fasteners</t>
        </is>
      </c>
      <c r="G512" s="7" t="inlineStr">
        <is>
          <t>East</t>
        </is>
      </c>
      <c r="H512" s="7" t="inlineStr">
        <is>
          <t>New York</t>
        </is>
      </c>
      <c r="I512" s="7" t="inlineStr">
        <is>
          <t>Wholesale</t>
        </is>
      </c>
      <c r="J512" s="7" t="inlineStr">
        <is>
          <t>Home Office</t>
        </is>
      </c>
      <c r="K512" s="12" t="n">
        <v>6</v>
      </c>
      <c r="L512" s="9" t="n">
        <v>27.99</v>
      </c>
      <c r="M512" s="10" t="n">
        <v>0.2</v>
      </c>
      <c r="N512" s="9" t="n">
        <v>13.99</v>
      </c>
      <c r="O512" s="9">
        <f>K512*L512</f>
        <v/>
      </c>
      <c r="P512" s="9">
        <f>O512*M512</f>
        <v/>
      </c>
      <c r="Q512" s="9">
        <f>O512-P512</f>
        <v/>
      </c>
      <c r="R512" s="9">
        <f>K512*N512</f>
        <v/>
      </c>
      <c r="S512" s="9">
        <f>Q512-R512</f>
        <v/>
      </c>
      <c r="T512" s="10">
        <f>IFERROR(S512/Q512, 0)</f>
        <v/>
      </c>
    </row>
    <row r="513">
      <c r="A513" s="11" t="inlineStr">
        <is>
          <t>ORD-2024-1652</t>
        </is>
      </c>
      <c r="B513" s="11" t="inlineStr">
        <is>
          <t>2024-07-26</t>
        </is>
      </c>
      <c r="C513" s="11" t="inlineStr">
        <is>
          <t>OFF-DSK-007</t>
        </is>
      </c>
      <c r="D513" s="7" t="inlineStr">
        <is>
          <t>Gel Ergo Mouse Pad &amp; Wrist Rest Combo</t>
        </is>
      </c>
      <c r="E513" s="7" t="inlineStr">
        <is>
          <t>Office Supplies</t>
        </is>
      </c>
      <c r="F513" s="7" t="inlineStr">
        <is>
          <t>Desk Supplies</t>
        </is>
      </c>
      <c r="G513" s="7" t="inlineStr">
        <is>
          <t>Central</t>
        </is>
      </c>
      <c r="H513" s="7" t="inlineStr">
        <is>
          <t>Michigan</t>
        </is>
      </c>
      <c r="I513" s="7" t="inlineStr">
        <is>
          <t>Retail Partner</t>
        </is>
      </c>
      <c r="J513" s="7" t="inlineStr">
        <is>
          <t>Consumer</t>
        </is>
      </c>
      <c r="K513" s="12" t="n">
        <v>2</v>
      </c>
      <c r="L513" s="9" t="n">
        <v>21.99</v>
      </c>
      <c r="M513" s="10" t="n">
        <v>0.05</v>
      </c>
      <c r="N513" s="9" t="n">
        <v>10.56</v>
      </c>
      <c r="O513" s="9">
        <f>K513*L513</f>
        <v/>
      </c>
      <c r="P513" s="9">
        <f>O513*M513</f>
        <v/>
      </c>
      <c r="Q513" s="9">
        <f>O513-P513</f>
        <v/>
      </c>
      <c r="R513" s="9">
        <f>K513*N513</f>
        <v/>
      </c>
      <c r="S513" s="9">
        <f>Q513-R513</f>
        <v/>
      </c>
      <c r="T513" s="10">
        <f>IFERROR(S513/Q513, 0)</f>
        <v/>
      </c>
    </row>
    <row r="514">
      <c r="A514" s="11" t="inlineStr">
        <is>
          <t>ORD-2024-1374</t>
        </is>
      </c>
      <c r="B514" s="11" t="inlineStr">
        <is>
          <t>2024-07-28</t>
        </is>
      </c>
      <c r="C514" s="11" t="inlineStr">
        <is>
          <t>TEC-LAP-002</t>
        </is>
      </c>
      <c r="D514" s="7" t="inlineStr">
        <is>
          <t>Apex Gaming Laptop 17"</t>
        </is>
      </c>
      <c r="E514" s="7" t="inlineStr">
        <is>
          <t>Technology</t>
        </is>
      </c>
      <c r="F514" s="7" t="inlineStr">
        <is>
          <t>Laptops</t>
        </is>
      </c>
      <c r="G514" s="7" t="inlineStr">
        <is>
          <t>Central</t>
        </is>
      </c>
      <c r="H514" s="7" t="inlineStr">
        <is>
          <t>Ohio</t>
        </is>
      </c>
      <c r="I514" s="7" t="inlineStr">
        <is>
          <t>Retail Partner</t>
        </is>
      </c>
      <c r="J514" s="7" t="inlineStr">
        <is>
          <t>Home Office</t>
        </is>
      </c>
      <c r="K514" s="12" t="n">
        <v>4</v>
      </c>
      <c r="L514" s="9" t="n">
        <v>1499.99</v>
      </c>
      <c r="M514" s="10" t="n">
        <v>0.15</v>
      </c>
      <c r="N514" s="9" t="n">
        <v>1259.99</v>
      </c>
      <c r="O514" s="9">
        <f>K514*L514</f>
        <v/>
      </c>
      <c r="P514" s="9">
        <f>O514*M514</f>
        <v/>
      </c>
      <c r="Q514" s="9">
        <f>O514-P514</f>
        <v/>
      </c>
      <c r="R514" s="9">
        <f>K514*N514</f>
        <v/>
      </c>
      <c r="S514" s="9">
        <f>Q514-R514</f>
        <v/>
      </c>
      <c r="T514" s="10">
        <f>IFERROR(S514/Q514, 0)</f>
        <v/>
      </c>
    </row>
    <row r="515">
      <c r="A515" s="11" t="inlineStr">
        <is>
          <t>ORD-2024-1374</t>
        </is>
      </c>
      <c r="B515" s="11" t="inlineStr">
        <is>
          <t>2024-07-28</t>
        </is>
      </c>
      <c r="C515" s="11" t="inlineStr">
        <is>
          <t>FUR-DSK-004</t>
        </is>
      </c>
      <c r="D515" s="7" t="inlineStr">
        <is>
          <t>Metro Compact Corner Workstation</t>
        </is>
      </c>
      <c r="E515" s="7" t="inlineStr">
        <is>
          <t>Furniture</t>
        </is>
      </c>
      <c r="F515" s="7" t="inlineStr">
        <is>
          <t>Desks &amp; Workstations</t>
        </is>
      </c>
      <c r="G515" s="7" t="inlineStr">
        <is>
          <t>Central</t>
        </is>
      </c>
      <c r="H515" s="7" t="inlineStr">
        <is>
          <t>Ohio</t>
        </is>
      </c>
      <c r="I515" s="7" t="inlineStr">
        <is>
          <t>Retail Partner</t>
        </is>
      </c>
      <c r="J515" s="7" t="inlineStr">
        <is>
          <t>Home Office</t>
        </is>
      </c>
      <c r="K515" s="12" t="n">
        <v>1</v>
      </c>
      <c r="L515" s="9" t="n">
        <v>329.99</v>
      </c>
      <c r="M515" s="10" t="n">
        <v>0</v>
      </c>
      <c r="N515" s="9" t="n">
        <v>250.79</v>
      </c>
      <c r="O515" s="9">
        <f>K515*L515</f>
        <v/>
      </c>
      <c r="P515" s="9">
        <f>O515*M515</f>
        <v/>
      </c>
      <c r="Q515" s="9">
        <f>O515-P515</f>
        <v/>
      </c>
      <c r="R515" s="9">
        <f>K515*N515</f>
        <v/>
      </c>
      <c r="S515" s="9">
        <f>Q515-R515</f>
        <v/>
      </c>
      <c r="T515" s="10">
        <f>IFERROR(S515/Q515, 0)</f>
        <v/>
      </c>
    </row>
    <row r="516">
      <c r="A516" s="11" t="inlineStr">
        <is>
          <t>ORD-2024-1435</t>
        </is>
      </c>
      <c r="B516" s="11" t="inlineStr">
        <is>
          <t>2024-07-28</t>
        </is>
      </c>
      <c r="C516" s="11" t="inlineStr">
        <is>
          <t>FUR-CHA-001</t>
        </is>
      </c>
      <c r="D516" s="7" t="inlineStr">
        <is>
          <t>ErgoFlex Executive Mesh Chair</t>
        </is>
      </c>
      <c r="E516" s="7" t="inlineStr">
        <is>
          <t>Furniture</t>
        </is>
      </c>
      <c r="F516" s="7" t="inlineStr">
        <is>
          <t>Chairs</t>
        </is>
      </c>
      <c r="G516" s="7" t="inlineStr">
        <is>
          <t>West</t>
        </is>
      </c>
      <c r="H516" s="7" t="inlineStr">
        <is>
          <t>California</t>
        </is>
      </c>
      <c r="I516" s="7" t="inlineStr">
        <is>
          <t>Online</t>
        </is>
      </c>
      <c r="J516" s="7" t="inlineStr">
        <is>
          <t>Consumer</t>
        </is>
      </c>
      <c r="K516" s="12" t="n">
        <v>2</v>
      </c>
      <c r="L516" s="9" t="n">
        <v>389.99</v>
      </c>
      <c r="M516" s="10" t="n">
        <v>0.05</v>
      </c>
      <c r="N516" s="9" t="n">
        <v>331.49</v>
      </c>
      <c r="O516" s="9">
        <f>K516*L516</f>
        <v/>
      </c>
      <c r="P516" s="9">
        <f>O516*M516</f>
        <v/>
      </c>
      <c r="Q516" s="9">
        <f>O516-P516</f>
        <v/>
      </c>
      <c r="R516" s="9">
        <f>K516*N516</f>
        <v/>
      </c>
      <c r="S516" s="9">
        <f>Q516-R516</f>
        <v/>
      </c>
      <c r="T516" s="10">
        <f>IFERROR(S516/Q516, 0)</f>
        <v/>
      </c>
    </row>
    <row r="517">
      <c r="A517" s="11" t="inlineStr">
        <is>
          <t>ORD-2024-1099</t>
        </is>
      </c>
      <c r="B517" s="11" t="inlineStr">
        <is>
          <t>2024-07-30</t>
        </is>
      </c>
      <c r="C517" s="11" t="inlineStr">
        <is>
          <t>FUR-DSK-004</t>
        </is>
      </c>
      <c r="D517" s="7" t="inlineStr">
        <is>
          <t>Metro Compact Corner Workstation</t>
        </is>
      </c>
      <c r="E517" s="7" t="inlineStr">
        <is>
          <t>Furniture</t>
        </is>
      </c>
      <c r="F517" s="7" t="inlineStr">
        <is>
          <t>Desks &amp; Workstations</t>
        </is>
      </c>
      <c r="G517" s="7" t="inlineStr">
        <is>
          <t>East</t>
        </is>
      </c>
      <c r="H517" s="7" t="inlineStr">
        <is>
          <t>Pennsylvania</t>
        </is>
      </c>
      <c r="I517" s="7" t="inlineStr">
        <is>
          <t>Online</t>
        </is>
      </c>
      <c r="J517" s="7" t="inlineStr">
        <is>
          <t>Consumer</t>
        </is>
      </c>
      <c r="K517" s="12" t="n">
        <v>4</v>
      </c>
      <c r="L517" s="9" t="n">
        <v>329.99</v>
      </c>
      <c r="M517" s="10" t="n">
        <v>0</v>
      </c>
      <c r="N517" s="9" t="n">
        <v>250.79</v>
      </c>
      <c r="O517" s="9">
        <f>K517*L517</f>
        <v/>
      </c>
      <c r="P517" s="9">
        <f>O517*M517</f>
        <v/>
      </c>
      <c r="Q517" s="9">
        <f>O517-P517</f>
        <v/>
      </c>
      <c r="R517" s="9">
        <f>K517*N517</f>
        <v/>
      </c>
      <c r="S517" s="9">
        <f>Q517-R517</f>
        <v/>
      </c>
      <c r="T517" s="10">
        <f>IFERROR(S517/Q517, 0)</f>
        <v/>
      </c>
    </row>
    <row r="518">
      <c r="A518" s="11" t="inlineStr">
        <is>
          <t>ORD-2024-1192</t>
        </is>
      </c>
      <c r="B518" s="11" t="inlineStr">
        <is>
          <t>2024-07-30</t>
        </is>
      </c>
      <c r="C518" s="11" t="inlineStr">
        <is>
          <t>TEC-ACC-005</t>
        </is>
      </c>
      <c r="D518" s="7" t="inlineStr">
        <is>
          <t>UltraWireless Noise-Canceling Headset</t>
        </is>
      </c>
      <c r="E518" s="7" t="inlineStr">
        <is>
          <t>Technology</t>
        </is>
      </c>
      <c r="F518" s="7" t="inlineStr">
        <is>
          <t>Audio &amp; Accessories</t>
        </is>
      </c>
      <c r="G518" s="7" t="inlineStr">
        <is>
          <t>Central</t>
        </is>
      </c>
      <c r="H518" s="7" t="inlineStr">
        <is>
          <t>Ohio</t>
        </is>
      </c>
      <c r="I518" s="7" t="inlineStr">
        <is>
          <t>Online</t>
        </is>
      </c>
      <c r="J518" s="7" t="inlineStr">
        <is>
          <t>Consumer</t>
        </is>
      </c>
      <c r="K518" s="12" t="n">
        <v>1</v>
      </c>
      <c r="L518" s="9" t="n">
        <v>179.99</v>
      </c>
      <c r="M518" s="10" t="n">
        <v>0</v>
      </c>
      <c r="N518" s="9" t="n">
        <v>111.59</v>
      </c>
      <c r="O518" s="9">
        <f>K518*L518</f>
        <v/>
      </c>
      <c r="P518" s="9">
        <f>O518*M518</f>
        <v/>
      </c>
      <c r="Q518" s="9">
        <f>O518-P518</f>
        <v/>
      </c>
      <c r="R518" s="9">
        <f>K518*N518</f>
        <v/>
      </c>
      <c r="S518" s="9">
        <f>Q518-R518</f>
        <v/>
      </c>
      <c r="T518" s="10">
        <f>IFERROR(S518/Q518, 0)</f>
        <v/>
      </c>
    </row>
    <row r="519">
      <c r="A519" s="11" t="inlineStr">
        <is>
          <t>ORD-2024-1192</t>
        </is>
      </c>
      <c r="B519" s="11" t="inlineStr">
        <is>
          <t>2024-07-30</t>
        </is>
      </c>
      <c r="C519" s="11" t="inlineStr">
        <is>
          <t>TEC-LAP-002</t>
        </is>
      </c>
      <c r="D519" s="7" t="inlineStr">
        <is>
          <t>Apex Gaming Laptop 17"</t>
        </is>
      </c>
      <c r="E519" s="7" t="inlineStr">
        <is>
          <t>Technology</t>
        </is>
      </c>
      <c r="F519" s="7" t="inlineStr">
        <is>
          <t>Laptops</t>
        </is>
      </c>
      <c r="G519" s="7" t="inlineStr">
        <is>
          <t>Central</t>
        </is>
      </c>
      <c r="H519" s="7" t="inlineStr">
        <is>
          <t>Ohio</t>
        </is>
      </c>
      <c r="I519" s="7" t="inlineStr">
        <is>
          <t>Online</t>
        </is>
      </c>
      <c r="J519" s="7" t="inlineStr">
        <is>
          <t>Consumer</t>
        </is>
      </c>
      <c r="K519" s="12" t="n">
        <v>2</v>
      </c>
      <c r="L519" s="9" t="n">
        <v>1499.99</v>
      </c>
      <c r="M519" s="10" t="n">
        <v>0.25</v>
      </c>
      <c r="N519" s="9" t="n">
        <v>1259.99</v>
      </c>
      <c r="O519" s="9">
        <f>K519*L519</f>
        <v/>
      </c>
      <c r="P519" s="9">
        <f>O519*M519</f>
        <v/>
      </c>
      <c r="Q519" s="9">
        <f>O519-P519</f>
        <v/>
      </c>
      <c r="R519" s="9">
        <f>K519*N519</f>
        <v/>
      </c>
      <c r="S519" s="9">
        <f>Q519-R519</f>
        <v/>
      </c>
      <c r="T519" s="10">
        <f>IFERROR(S519/Q519, 0)</f>
        <v/>
      </c>
    </row>
    <row r="520">
      <c r="A520" s="11" t="inlineStr">
        <is>
          <t>ORD-2024-1192</t>
        </is>
      </c>
      <c r="B520" s="11" t="inlineStr">
        <is>
          <t>2024-07-30</t>
        </is>
      </c>
      <c r="C520" s="11" t="inlineStr">
        <is>
          <t>FUR-CHA-002</t>
        </is>
      </c>
      <c r="D520" s="7" t="inlineStr">
        <is>
          <t>AeroTask Operator Task Chair</t>
        </is>
      </c>
      <c r="E520" s="7" t="inlineStr">
        <is>
          <t>Furniture</t>
        </is>
      </c>
      <c r="F520" s="7" t="inlineStr">
        <is>
          <t>Chairs</t>
        </is>
      </c>
      <c r="G520" s="7" t="inlineStr">
        <is>
          <t>Central</t>
        </is>
      </c>
      <c r="H520" s="7" t="inlineStr">
        <is>
          <t>Ohio</t>
        </is>
      </c>
      <c r="I520" s="7" t="inlineStr">
        <is>
          <t>Online</t>
        </is>
      </c>
      <c r="J520" s="7" t="inlineStr">
        <is>
          <t>Consumer</t>
        </is>
      </c>
      <c r="K520" s="12" t="n">
        <v>3</v>
      </c>
      <c r="L520" s="9" t="n">
        <v>219.99</v>
      </c>
      <c r="M520" s="10" t="n">
        <v>0</v>
      </c>
      <c r="N520" s="9" t="n">
        <v>171.59</v>
      </c>
      <c r="O520" s="9">
        <f>K520*L520</f>
        <v/>
      </c>
      <c r="P520" s="9">
        <f>O520*M520</f>
        <v/>
      </c>
      <c r="Q520" s="9">
        <f>O520-P520</f>
        <v/>
      </c>
      <c r="R520" s="9">
        <f>K520*N520</f>
        <v/>
      </c>
      <c r="S520" s="9">
        <f>Q520-R520</f>
        <v/>
      </c>
      <c r="T520" s="10">
        <f>IFERROR(S520/Q520, 0)</f>
        <v/>
      </c>
    </row>
    <row r="521">
      <c r="A521" s="11" t="inlineStr">
        <is>
          <t>ORD-2024-1192</t>
        </is>
      </c>
      <c r="B521" s="11" t="inlineStr">
        <is>
          <t>2024-07-30</t>
        </is>
      </c>
      <c r="C521" s="11" t="inlineStr">
        <is>
          <t>OFF-STR-001</t>
        </is>
      </c>
      <c r="D521" s="7" t="inlineStr">
        <is>
          <t>SteelLock 3-Drawer File Cabinet</t>
        </is>
      </c>
      <c r="E521" s="7" t="inlineStr">
        <is>
          <t>Office Supplies</t>
        </is>
      </c>
      <c r="F521" s="7" t="inlineStr">
        <is>
          <t>Storage &amp; Organizers</t>
        </is>
      </c>
      <c r="G521" s="7" t="inlineStr">
        <is>
          <t>Central</t>
        </is>
      </c>
      <c r="H521" s="7" t="inlineStr">
        <is>
          <t>Ohio</t>
        </is>
      </c>
      <c r="I521" s="7" t="inlineStr">
        <is>
          <t>Online</t>
        </is>
      </c>
      <c r="J521" s="7" t="inlineStr">
        <is>
          <t>Consumer</t>
        </is>
      </c>
      <c r="K521" s="12" t="n">
        <v>1</v>
      </c>
      <c r="L521" s="9" t="n">
        <v>169.99</v>
      </c>
      <c r="M521" s="10" t="n">
        <v>0</v>
      </c>
      <c r="N521" s="9" t="n">
        <v>115.59</v>
      </c>
      <c r="O521" s="9">
        <f>K521*L521</f>
        <v/>
      </c>
      <c r="P521" s="9">
        <f>O521*M521</f>
        <v/>
      </c>
      <c r="Q521" s="9">
        <f>O521-P521</f>
        <v/>
      </c>
      <c r="R521" s="9">
        <f>K521*N521</f>
        <v/>
      </c>
      <c r="S521" s="9">
        <f>Q521-R521</f>
        <v/>
      </c>
      <c r="T521" s="10">
        <f>IFERROR(S521/Q521, 0)</f>
        <v/>
      </c>
    </row>
    <row r="522">
      <c r="A522" s="11" t="inlineStr">
        <is>
          <t>ORD-2024-1379</t>
        </is>
      </c>
      <c r="B522" s="11" t="inlineStr">
        <is>
          <t>2024-07-30</t>
        </is>
      </c>
      <c r="C522" s="11" t="inlineStr">
        <is>
          <t>FUR-LGT-006</t>
        </is>
      </c>
      <c r="D522" s="7" t="inlineStr">
        <is>
          <t>Architect LED Desk Task Lamp</t>
        </is>
      </c>
      <c r="E522" s="7" t="inlineStr">
        <is>
          <t>Furniture</t>
        </is>
      </c>
      <c r="F522" s="7" t="inlineStr">
        <is>
          <t>Lighting</t>
        </is>
      </c>
      <c r="G522" s="7" t="inlineStr">
        <is>
          <t>Central</t>
        </is>
      </c>
      <c r="H522" s="7" t="inlineStr">
        <is>
          <t>Illinois</t>
        </is>
      </c>
      <c r="I522" s="7" t="inlineStr">
        <is>
          <t>Online</t>
        </is>
      </c>
      <c r="J522" s="7" t="inlineStr">
        <is>
          <t>Corporate</t>
        </is>
      </c>
      <c r="K522" s="12" t="n">
        <v>2</v>
      </c>
      <c r="L522" s="9" t="n">
        <v>69.98999999999999</v>
      </c>
      <c r="M522" s="10" t="n">
        <v>0</v>
      </c>
      <c r="N522" s="9" t="n">
        <v>43.39</v>
      </c>
      <c r="O522" s="9">
        <f>K522*L522</f>
        <v/>
      </c>
      <c r="P522" s="9">
        <f>O522*M522</f>
        <v/>
      </c>
      <c r="Q522" s="9">
        <f>O522-P522</f>
        <v/>
      </c>
      <c r="R522" s="9">
        <f>K522*N522</f>
        <v/>
      </c>
      <c r="S522" s="9">
        <f>Q522-R522</f>
        <v/>
      </c>
      <c r="T522" s="10">
        <f>IFERROR(S522/Q522, 0)</f>
        <v/>
      </c>
    </row>
    <row r="523">
      <c r="A523" s="11" t="inlineStr">
        <is>
          <t>ORD-2024-1232</t>
        </is>
      </c>
      <c r="B523" s="11" t="inlineStr">
        <is>
          <t>2024-07-31</t>
        </is>
      </c>
      <c r="C523" s="11" t="inlineStr">
        <is>
          <t>OFF-DSK-007</t>
        </is>
      </c>
      <c r="D523" s="7" t="inlineStr">
        <is>
          <t>Gel Ergo Mouse Pad &amp; Wrist Rest Combo</t>
        </is>
      </c>
      <c r="E523" s="7" t="inlineStr">
        <is>
          <t>Office Supplies</t>
        </is>
      </c>
      <c r="F523" s="7" t="inlineStr">
        <is>
          <t>Desk Supplies</t>
        </is>
      </c>
      <c r="G523" s="7" t="inlineStr">
        <is>
          <t>Central</t>
        </is>
      </c>
      <c r="H523" s="7" t="inlineStr">
        <is>
          <t>Ohio</t>
        </is>
      </c>
      <c r="I523" s="7" t="inlineStr">
        <is>
          <t>Online</t>
        </is>
      </c>
      <c r="J523" s="7" t="inlineStr">
        <is>
          <t>Corporate</t>
        </is>
      </c>
      <c r="K523" s="12" t="n">
        <v>7</v>
      </c>
      <c r="L523" s="9" t="n">
        <v>21.99</v>
      </c>
      <c r="M523" s="10" t="n">
        <v>0</v>
      </c>
      <c r="N523" s="9" t="n">
        <v>10.56</v>
      </c>
      <c r="O523" s="9">
        <f>K523*L523</f>
        <v/>
      </c>
      <c r="P523" s="9">
        <f>O523*M523</f>
        <v/>
      </c>
      <c r="Q523" s="9">
        <f>O523-P523</f>
        <v/>
      </c>
      <c r="R523" s="9">
        <f>K523*N523</f>
        <v/>
      </c>
      <c r="S523" s="9">
        <f>Q523-R523</f>
        <v/>
      </c>
      <c r="T523" s="10">
        <f>IFERROR(S523/Q523, 0)</f>
        <v/>
      </c>
    </row>
    <row r="524">
      <c r="A524" s="11" t="inlineStr">
        <is>
          <t>ORD-2024-1454</t>
        </is>
      </c>
      <c r="B524" s="11" t="inlineStr">
        <is>
          <t>2024-07-31</t>
        </is>
      </c>
      <c r="C524" s="11" t="inlineStr">
        <is>
          <t>TEC-ACC-007</t>
        </is>
      </c>
      <c r="D524" s="7" t="inlineStr">
        <is>
          <t>ErgoMechanical Wireless Keyboard</t>
        </is>
      </c>
      <c r="E524" s="7" t="inlineStr">
        <is>
          <t>Technology</t>
        </is>
      </c>
      <c r="F524" s="7" t="inlineStr">
        <is>
          <t>Audio &amp; Accessories</t>
        </is>
      </c>
      <c r="G524" s="7" t="inlineStr">
        <is>
          <t>West</t>
        </is>
      </c>
      <c r="H524" s="7" t="inlineStr">
        <is>
          <t>Washington</t>
        </is>
      </c>
      <c r="I524" s="7" t="inlineStr">
        <is>
          <t>Online</t>
        </is>
      </c>
      <c r="J524" s="7" t="inlineStr">
        <is>
          <t>Corporate</t>
        </is>
      </c>
      <c r="K524" s="12" t="n">
        <v>6</v>
      </c>
      <c r="L524" s="9" t="n">
        <v>109.99</v>
      </c>
      <c r="M524" s="10" t="n">
        <v>0</v>
      </c>
      <c r="N524" s="9" t="n">
        <v>65.98999999999999</v>
      </c>
      <c r="O524" s="9">
        <f>K524*L524</f>
        <v/>
      </c>
      <c r="P524" s="9">
        <f>O524*M524</f>
        <v/>
      </c>
      <c r="Q524" s="9">
        <f>O524-P524</f>
        <v/>
      </c>
      <c r="R524" s="9">
        <f>K524*N524</f>
        <v/>
      </c>
      <c r="S524" s="9">
        <f>Q524-R524</f>
        <v/>
      </c>
      <c r="T524" s="10">
        <f>IFERROR(S524/Q524, 0)</f>
        <v/>
      </c>
    </row>
    <row r="525">
      <c r="A525" s="11" t="inlineStr">
        <is>
          <t>ORD-2024-1045</t>
        </is>
      </c>
      <c r="B525" s="11" t="inlineStr">
        <is>
          <t>2024-08-01</t>
        </is>
      </c>
      <c r="C525" s="11" t="inlineStr">
        <is>
          <t>OFF-DSK-007</t>
        </is>
      </c>
      <c r="D525" s="7" t="inlineStr">
        <is>
          <t>Gel Ergo Mouse Pad &amp; Wrist Rest Combo</t>
        </is>
      </c>
      <c r="E525" s="7" t="inlineStr">
        <is>
          <t>Office Supplies</t>
        </is>
      </c>
      <c r="F525" s="7" t="inlineStr">
        <is>
          <t>Desk Supplies</t>
        </is>
      </c>
      <c r="G525" s="7" t="inlineStr">
        <is>
          <t>East</t>
        </is>
      </c>
      <c r="H525" s="7" t="inlineStr">
        <is>
          <t>New York</t>
        </is>
      </c>
      <c r="I525" s="7" t="inlineStr">
        <is>
          <t>Online</t>
        </is>
      </c>
      <c r="J525" s="7" t="inlineStr">
        <is>
          <t>Corporate</t>
        </is>
      </c>
      <c r="K525" s="12" t="n">
        <v>2</v>
      </c>
      <c r="L525" s="9" t="n">
        <v>21.99</v>
      </c>
      <c r="M525" s="10" t="n">
        <v>0</v>
      </c>
      <c r="N525" s="9" t="n">
        <v>10.56</v>
      </c>
      <c r="O525" s="9">
        <f>K525*L525</f>
        <v/>
      </c>
      <c r="P525" s="9">
        <f>O525*M525</f>
        <v/>
      </c>
      <c r="Q525" s="9">
        <f>O525-P525</f>
        <v/>
      </c>
      <c r="R525" s="9">
        <f>K525*N525</f>
        <v/>
      </c>
      <c r="S525" s="9">
        <f>Q525-R525</f>
        <v/>
      </c>
      <c r="T525" s="10">
        <f>IFERROR(S525/Q525, 0)</f>
        <v/>
      </c>
    </row>
    <row r="526">
      <c r="A526" s="11" t="inlineStr">
        <is>
          <t>ORD-2024-1580</t>
        </is>
      </c>
      <c r="B526" s="11" t="inlineStr">
        <is>
          <t>2024-08-01</t>
        </is>
      </c>
      <c r="C526" s="11" t="inlineStr">
        <is>
          <t>OFF-PAP-004</t>
        </is>
      </c>
      <c r="D526" s="7" t="inlineStr">
        <is>
          <t>EcoRecycled Copy Paper (5 Reams)</t>
        </is>
      </c>
      <c r="E526" s="7" t="inlineStr">
        <is>
          <t>Office Supplies</t>
        </is>
      </c>
      <c r="F526" s="7" t="inlineStr">
        <is>
          <t>Paper Products</t>
        </is>
      </c>
      <c r="G526" s="7" t="inlineStr">
        <is>
          <t>Central</t>
        </is>
      </c>
      <c r="H526" s="7" t="inlineStr">
        <is>
          <t>Illinois</t>
        </is>
      </c>
      <c r="I526" s="7" t="inlineStr">
        <is>
          <t>Online</t>
        </is>
      </c>
      <c r="J526" s="7" t="inlineStr">
        <is>
          <t>Consumer</t>
        </is>
      </c>
      <c r="K526" s="12" t="n">
        <v>4</v>
      </c>
      <c r="L526" s="9" t="n">
        <v>32.99</v>
      </c>
      <c r="M526" s="10" t="n">
        <v>0.15</v>
      </c>
      <c r="N526" s="9" t="n">
        <v>19.79</v>
      </c>
      <c r="O526" s="9">
        <f>K526*L526</f>
        <v/>
      </c>
      <c r="P526" s="9">
        <f>O526*M526</f>
        <v/>
      </c>
      <c r="Q526" s="9">
        <f>O526-P526</f>
        <v/>
      </c>
      <c r="R526" s="9">
        <f>K526*N526</f>
        <v/>
      </c>
      <c r="S526" s="9">
        <f>Q526-R526</f>
        <v/>
      </c>
      <c r="T526" s="10">
        <f>IFERROR(S526/Q526, 0)</f>
        <v/>
      </c>
    </row>
    <row r="527">
      <c r="A527" s="11" t="inlineStr">
        <is>
          <t>ORD-2024-1697</t>
        </is>
      </c>
      <c r="B527" s="11" t="inlineStr">
        <is>
          <t>2024-08-02</t>
        </is>
      </c>
      <c r="C527" s="11" t="inlineStr">
        <is>
          <t>OFF-DSK-007</t>
        </is>
      </c>
      <c r="D527" s="7" t="inlineStr">
        <is>
          <t>Gel Ergo Mouse Pad &amp; Wrist Rest Combo</t>
        </is>
      </c>
      <c r="E527" s="7" t="inlineStr">
        <is>
          <t>Office Supplies</t>
        </is>
      </c>
      <c r="F527" s="7" t="inlineStr">
        <is>
          <t>Desk Supplies</t>
        </is>
      </c>
      <c r="G527" s="7" t="inlineStr">
        <is>
          <t>South</t>
        </is>
      </c>
      <c r="H527" s="7" t="inlineStr">
        <is>
          <t>Florida</t>
        </is>
      </c>
      <c r="I527" s="7" t="inlineStr">
        <is>
          <t>Online</t>
        </is>
      </c>
      <c r="J527" s="7" t="inlineStr">
        <is>
          <t>Consumer</t>
        </is>
      </c>
      <c r="K527" s="12" t="n">
        <v>4</v>
      </c>
      <c r="L527" s="9" t="n">
        <v>21.99</v>
      </c>
      <c r="M527" s="10" t="n">
        <v>0.05</v>
      </c>
      <c r="N527" s="9" t="n">
        <v>10.56</v>
      </c>
      <c r="O527" s="9">
        <f>K527*L527</f>
        <v/>
      </c>
      <c r="P527" s="9">
        <f>O527*M527</f>
        <v/>
      </c>
      <c r="Q527" s="9">
        <f>O527-P527</f>
        <v/>
      </c>
      <c r="R527" s="9">
        <f>K527*N527</f>
        <v/>
      </c>
      <c r="S527" s="9">
        <f>Q527-R527</f>
        <v/>
      </c>
      <c r="T527" s="10">
        <f>IFERROR(S527/Q527, 0)</f>
        <v/>
      </c>
    </row>
    <row r="528">
      <c r="A528" s="11" t="inlineStr">
        <is>
          <t>ORD-2024-1066</t>
        </is>
      </c>
      <c r="B528" s="11" t="inlineStr">
        <is>
          <t>2024-08-03</t>
        </is>
      </c>
      <c r="C528" s="11" t="inlineStr">
        <is>
          <t>OFF-DSK-008</t>
        </is>
      </c>
      <c r="D528" s="7" t="inlineStr">
        <is>
          <t>Steel Desktop Mesh Organizer Caddy</t>
        </is>
      </c>
      <c r="E528" s="7" t="inlineStr">
        <is>
          <t>Office Supplies</t>
        </is>
      </c>
      <c r="F528" s="7" t="inlineStr">
        <is>
          <t>Desk Supplies</t>
        </is>
      </c>
      <c r="G528" s="7" t="inlineStr">
        <is>
          <t>West</t>
        </is>
      </c>
      <c r="H528" s="7" t="inlineStr">
        <is>
          <t>Colorado</t>
        </is>
      </c>
      <c r="I528" s="7" t="inlineStr">
        <is>
          <t>Direct Sales</t>
        </is>
      </c>
      <c r="J528" s="7" t="inlineStr">
        <is>
          <t>Consumer</t>
        </is>
      </c>
      <c r="K528" s="12" t="n">
        <v>3</v>
      </c>
      <c r="L528" s="9" t="n">
        <v>18.99</v>
      </c>
      <c r="M528" s="10" t="n">
        <v>0</v>
      </c>
      <c r="N528" s="9" t="n">
        <v>8.550000000000001</v>
      </c>
      <c r="O528" s="9">
        <f>K528*L528</f>
        <v/>
      </c>
      <c r="P528" s="9">
        <f>O528*M528</f>
        <v/>
      </c>
      <c r="Q528" s="9">
        <f>O528-P528</f>
        <v/>
      </c>
      <c r="R528" s="9">
        <f>K528*N528</f>
        <v/>
      </c>
      <c r="S528" s="9">
        <f>Q528-R528</f>
        <v/>
      </c>
      <c r="T528" s="10">
        <f>IFERROR(S528/Q528, 0)</f>
        <v/>
      </c>
    </row>
    <row r="529">
      <c r="A529" s="11" t="inlineStr">
        <is>
          <t>ORD-2024-1066</t>
        </is>
      </c>
      <c r="B529" s="11" t="inlineStr">
        <is>
          <t>2024-08-03</t>
        </is>
      </c>
      <c r="C529" s="11" t="inlineStr">
        <is>
          <t>FUR-CHA-001</t>
        </is>
      </c>
      <c r="D529" s="7" t="inlineStr">
        <is>
          <t>ErgoFlex Executive Mesh Chair</t>
        </is>
      </c>
      <c r="E529" s="7" t="inlineStr">
        <is>
          <t>Furniture</t>
        </is>
      </c>
      <c r="F529" s="7" t="inlineStr">
        <is>
          <t>Chairs</t>
        </is>
      </c>
      <c r="G529" s="7" t="inlineStr">
        <is>
          <t>West</t>
        </is>
      </c>
      <c r="H529" s="7" t="inlineStr">
        <is>
          <t>Colorado</t>
        </is>
      </c>
      <c r="I529" s="7" t="inlineStr">
        <is>
          <t>Direct Sales</t>
        </is>
      </c>
      <c r="J529" s="7" t="inlineStr">
        <is>
          <t>Consumer</t>
        </is>
      </c>
      <c r="K529" s="12" t="n">
        <v>2</v>
      </c>
      <c r="L529" s="9" t="n">
        <v>389.99</v>
      </c>
      <c r="M529" s="10" t="n">
        <v>0.05</v>
      </c>
      <c r="N529" s="9" t="n">
        <v>331.49</v>
      </c>
      <c r="O529" s="9">
        <f>K529*L529</f>
        <v/>
      </c>
      <c r="P529" s="9">
        <f>O529*M529</f>
        <v/>
      </c>
      <c r="Q529" s="9">
        <f>O529-P529</f>
        <v/>
      </c>
      <c r="R529" s="9">
        <f>K529*N529</f>
        <v/>
      </c>
      <c r="S529" s="9">
        <f>Q529-R529</f>
        <v/>
      </c>
      <c r="T529" s="10">
        <f>IFERROR(S529/Q529, 0)</f>
        <v/>
      </c>
    </row>
    <row r="530">
      <c r="A530" s="11" t="inlineStr">
        <is>
          <t>ORD-2024-1521</t>
        </is>
      </c>
      <c r="B530" s="11" t="inlineStr">
        <is>
          <t>2024-08-03</t>
        </is>
      </c>
      <c r="C530" s="11" t="inlineStr">
        <is>
          <t>TEC-LAP-002</t>
        </is>
      </c>
      <c r="D530" s="7" t="inlineStr">
        <is>
          <t>Apex Gaming Laptop 17"</t>
        </is>
      </c>
      <c r="E530" s="7" t="inlineStr">
        <is>
          <t>Technology</t>
        </is>
      </c>
      <c r="F530" s="7" t="inlineStr">
        <is>
          <t>Laptops</t>
        </is>
      </c>
      <c r="G530" s="7" t="inlineStr">
        <is>
          <t>West</t>
        </is>
      </c>
      <c r="H530" s="7" t="inlineStr">
        <is>
          <t>California</t>
        </is>
      </c>
      <c r="I530" s="7" t="inlineStr">
        <is>
          <t>Retail Partner</t>
        </is>
      </c>
      <c r="J530" s="7" t="inlineStr">
        <is>
          <t>Corporate</t>
        </is>
      </c>
      <c r="K530" s="12" t="n">
        <v>8</v>
      </c>
      <c r="L530" s="9" t="n">
        <v>1499.99</v>
      </c>
      <c r="M530" s="10" t="n">
        <v>0.1</v>
      </c>
      <c r="N530" s="9" t="n">
        <v>1259.99</v>
      </c>
      <c r="O530" s="9">
        <f>K530*L530</f>
        <v/>
      </c>
      <c r="P530" s="9">
        <f>O530*M530</f>
        <v/>
      </c>
      <c r="Q530" s="9">
        <f>O530-P530</f>
        <v/>
      </c>
      <c r="R530" s="9">
        <f>K530*N530</f>
        <v/>
      </c>
      <c r="S530" s="9">
        <f>Q530-R530</f>
        <v/>
      </c>
      <c r="T530" s="10">
        <f>IFERROR(S530/Q530, 0)</f>
        <v/>
      </c>
    </row>
    <row r="531">
      <c r="A531" s="11" t="inlineStr">
        <is>
          <t>ORD-2024-1422</t>
        </is>
      </c>
      <c r="B531" s="11" t="inlineStr">
        <is>
          <t>2024-08-05</t>
        </is>
      </c>
      <c r="C531" s="11" t="inlineStr">
        <is>
          <t>OFF-STR-001</t>
        </is>
      </c>
      <c r="D531" s="7" t="inlineStr">
        <is>
          <t>SteelLock 3-Drawer File Cabinet</t>
        </is>
      </c>
      <c r="E531" s="7" t="inlineStr">
        <is>
          <t>Office Supplies</t>
        </is>
      </c>
      <c r="F531" s="7" t="inlineStr">
        <is>
          <t>Storage &amp; Organizers</t>
        </is>
      </c>
      <c r="G531" s="7" t="inlineStr">
        <is>
          <t>East</t>
        </is>
      </c>
      <c r="H531" s="7" t="inlineStr">
        <is>
          <t>New York</t>
        </is>
      </c>
      <c r="I531" s="7" t="inlineStr">
        <is>
          <t>Online</t>
        </is>
      </c>
      <c r="J531" s="7" t="inlineStr">
        <is>
          <t>Corporate</t>
        </is>
      </c>
      <c r="K531" s="12" t="n">
        <v>3</v>
      </c>
      <c r="L531" s="9" t="n">
        <v>169.99</v>
      </c>
      <c r="M531" s="10" t="n">
        <v>0</v>
      </c>
      <c r="N531" s="9" t="n">
        <v>115.59</v>
      </c>
      <c r="O531" s="9">
        <f>K531*L531</f>
        <v/>
      </c>
      <c r="P531" s="9">
        <f>O531*M531</f>
        <v/>
      </c>
      <c r="Q531" s="9">
        <f>O531-P531</f>
        <v/>
      </c>
      <c r="R531" s="9">
        <f>K531*N531</f>
        <v/>
      </c>
      <c r="S531" s="9">
        <f>Q531-R531</f>
        <v/>
      </c>
      <c r="T531" s="10">
        <f>IFERROR(S531/Q531, 0)</f>
        <v/>
      </c>
    </row>
    <row r="532">
      <c r="A532" s="11" t="inlineStr">
        <is>
          <t>ORD-2024-1422</t>
        </is>
      </c>
      <c r="B532" s="11" t="inlineStr">
        <is>
          <t>2024-08-05</t>
        </is>
      </c>
      <c r="C532" s="11" t="inlineStr">
        <is>
          <t>OFF-STR-001</t>
        </is>
      </c>
      <c r="D532" s="7" t="inlineStr">
        <is>
          <t>SteelLock 3-Drawer File Cabinet</t>
        </is>
      </c>
      <c r="E532" s="7" t="inlineStr">
        <is>
          <t>Office Supplies</t>
        </is>
      </c>
      <c r="F532" s="7" t="inlineStr">
        <is>
          <t>Storage &amp; Organizers</t>
        </is>
      </c>
      <c r="G532" s="7" t="inlineStr">
        <is>
          <t>East</t>
        </is>
      </c>
      <c r="H532" s="7" t="inlineStr">
        <is>
          <t>New York</t>
        </is>
      </c>
      <c r="I532" s="7" t="inlineStr">
        <is>
          <t>Online</t>
        </is>
      </c>
      <c r="J532" s="7" t="inlineStr">
        <is>
          <t>Corporate</t>
        </is>
      </c>
      <c r="K532" s="12" t="n">
        <v>2</v>
      </c>
      <c r="L532" s="9" t="n">
        <v>169.99</v>
      </c>
      <c r="M532" s="10" t="n">
        <v>0.05</v>
      </c>
      <c r="N532" s="9" t="n">
        <v>115.59</v>
      </c>
      <c r="O532" s="9">
        <f>K532*L532</f>
        <v/>
      </c>
      <c r="P532" s="9">
        <f>O532*M532</f>
        <v/>
      </c>
      <c r="Q532" s="9">
        <f>O532-P532</f>
        <v/>
      </c>
      <c r="R532" s="9">
        <f>K532*N532</f>
        <v/>
      </c>
      <c r="S532" s="9">
        <f>Q532-R532</f>
        <v/>
      </c>
      <c r="T532" s="10">
        <f>IFERROR(S532/Q532, 0)</f>
        <v/>
      </c>
    </row>
    <row r="533">
      <c r="A533" s="11" t="inlineStr">
        <is>
          <t>ORD-2024-1422</t>
        </is>
      </c>
      <c r="B533" s="11" t="inlineStr">
        <is>
          <t>2024-08-05</t>
        </is>
      </c>
      <c r="C533" s="11" t="inlineStr">
        <is>
          <t>OFF-DSK-008</t>
        </is>
      </c>
      <c r="D533" s="7" t="inlineStr">
        <is>
          <t>Steel Desktop Mesh Organizer Caddy</t>
        </is>
      </c>
      <c r="E533" s="7" t="inlineStr">
        <is>
          <t>Office Supplies</t>
        </is>
      </c>
      <c r="F533" s="7" t="inlineStr">
        <is>
          <t>Desk Supplies</t>
        </is>
      </c>
      <c r="G533" s="7" t="inlineStr">
        <is>
          <t>East</t>
        </is>
      </c>
      <c r="H533" s="7" t="inlineStr">
        <is>
          <t>New York</t>
        </is>
      </c>
      <c r="I533" s="7" t="inlineStr">
        <is>
          <t>Online</t>
        </is>
      </c>
      <c r="J533" s="7" t="inlineStr">
        <is>
          <t>Corporate</t>
        </is>
      </c>
      <c r="K533" s="12" t="n">
        <v>8</v>
      </c>
      <c r="L533" s="9" t="n">
        <v>18.99</v>
      </c>
      <c r="M533" s="10" t="n">
        <v>0</v>
      </c>
      <c r="N533" s="9" t="n">
        <v>8.550000000000001</v>
      </c>
      <c r="O533" s="9">
        <f>K533*L533</f>
        <v/>
      </c>
      <c r="P533" s="9">
        <f>O533*M533</f>
        <v/>
      </c>
      <c r="Q533" s="9">
        <f>O533-P533</f>
        <v/>
      </c>
      <c r="R533" s="9">
        <f>K533*N533</f>
        <v/>
      </c>
      <c r="S533" s="9">
        <f>Q533-R533</f>
        <v/>
      </c>
      <c r="T533" s="10">
        <f>IFERROR(S533/Q533, 0)</f>
        <v/>
      </c>
    </row>
    <row r="534">
      <c r="A534" s="11" t="inlineStr">
        <is>
          <t>ORD-2024-1507</t>
        </is>
      </c>
      <c r="B534" s="11" t="inlineStr">
        <is>
          <t>2024-08-06</t>
        </is>
      </c>
      <c r="C534" s="11" t="inlineStr">
        <is>
          <t>FUR-LGT-006</t>
        </is>
      </c>
      <c r="D534" s="7" t="inlineStr">
        <is>
          <t>Architect LED Desk Task Lamp</t>
        </is>
      </c>
      <c r="E534" s="7" t="inlineStr">
        <is>
          <t>Furniture</t>
        </is>
      </c>
      <c r="F534" s="7" t="inlineStr">
        <is>
          <t>Lighting</t>
        </is>
      </c>
      <c r="G534" s="7" t="inlineStr">
        <is>
          <t>East</t>
        </is>
      </c>
      <c r="H534" s="7" t="inlineStr">
        <is>
          <t>New Jersey</t>
        </is>
      </c>
      <c r="I534" s="7" t="inlineStr">
        <is>
          <t>Online</t>
        </is>
      </c>
      <c r="J534" s="7" t="inlineStr">
        <is>
          <t>Consumer</t>
        </is>
      </c>
      <c r="K534" s="12" t="n">
        <v>3</v>
      </c>
      <c r="L534" s="9" t="n">
        <v>69.98999999999999</v>
      </c>
      <c r="M534" s="10" t="n">
        <v>0</v>
      </c>
      <c r="N534" s="9" t="n">
        <v>43.39</v>
      </c>
      <c r="O534" s="9">
        <f>K534*L534</f>
        <v/>
      </c>
      <c r="P534" s="9">
        <f>O534*M534</f>
        <v/>
      </c>
      <c r="Q534" s="9">
        <f>O534-P534</f>
        <v/>
      </c>
      <c r="R534" s="9">
        <f>K534*N534</f>
        <v/>
      </c>
      <c r="S534" s="9">
        <f>Q534-R534</f>
        <v/>
      </c>
      <c r="T534" s="10">
        <f>IFERROR(S534/Q534, 0)</f>
        <v/>
      </c>
    </row>
    <row r="535">
      <c r="A535" s="11" t="inlineStr">
        <is>
          <t>ORD-2024-1509</t>
        </is>
      </c>
      <c r="B535" s="11" t="inlineStr">
        <is>
          <t>2024-08-06</t>
        </is>
      </c>
      <c r="C535" s="11" t="inlineStr">
        <is>
          <t>OFF-STR-002</t>
        </is>
      </c>
      <c r="D535" s="7" t="inlineStr">
        <is>
          <t>Stackable Heavy-Duty Storage Bins (4-Pk)</t>
        </is>
      </c>
      <c r="E535" s="7" t="inlineStr">
        <is>
          <t>Office Supplies</t>
        </is>
      </c>
      <c r="F535" s="7" t="inlineStr">
        <is>
          <t>Storage &amp; Organizers</t>
        </is>
      </c>
      <c r="G535" s="7" t="inlineStr">
        <is>
          <t>Central</t>
        </is>
      </c>
      <c r="H535" s="7" t="inlineStr">
        <is>
          <t>Texas</t>
        </is>
      </c>
      <c r="I535" s="7" t="inlineStr">
        <is>
          <t>Retail Partner</t>
        </is>
      </c>
      <c r="J535" s="7" t="inlineStr">
        <is>
          <t>Consumer</t>
        </is>
      </c>
      <c r="K535" s="12" t="n">
        <v>3</v>
      </c>
      <c r="L535" s="9" t="n">
        <v>44.99</v>
      </c>
      <c r="M535" s="10" t="n">
        <v>0</v>
      </c>
      <c r="N535" s="9" t="n">
        <v>24.74</v>
      </c>
      <c r="O535" s="9">
        <f>K535*L535</f>
        <v/>
      </c>
      <c r="P535" s="9">
        <f>O535*M535</f>
        <v/>
      </c>
      <c r="Q535" s="9">
        <f>O535-P535</f>
        <v/>
      </c>
      <c r="R535" s="9">
        <f>K535*N535</f>
        <v/>
      </c>
      <c r="S535" s="9">
        <f>Q535-R535</f>
        <v/>
      </c>
      <c r="T535" s="10">
        <f>IFERROR(S535/Q535, 0)</f>
        <v/>
      </c>
    </row>
    <row r="536">
      <c r="A536" s="11" t="inlineStr">
        <is>
          <t>ORD-2024-1619</t>
        </is>
      </c>
      <c r="B536" s="11" t="inlineStr">
        <is>
          <t>2024-08-06</t>
        </is>
      </c>
      <c r="C536" s="11" t="inlineStr">
        <is>
          <t>FUR-CHA-001</t>
        </is>
      </c>
      <c r="D536" s="7" t="inlineStr">
        <is>
          <t>ErgoFlex Executive Mesh Chair</t>
        </is>
      </c>
      <c r="E536" s="7" t="inlineStr">
        <is>
          <t>Furniture</t>
        </is>
      </c>
      <c r="F536" s="7" t="inlineStr">
        <is>
          <t>Chairs</t>
        </is>
      </c>
      <c r="G536" s="7" t="inlineStr">
        <is>
          <t>East</t>
        </is>
      </c>
      <c r="H536" s="7" t="inlineStr">
        <is>
          <t>New Jersey</t>
        </is>
      </c>
      <c r="I536" s="7" t="inlineStr">
        <is>
          <t>Online</t>
        </is>
      </c>
      <c r="J536" s="7" t="inlineStr">
        <is>
          <t>Consumer</t>
        </is>
      </c>
      <c r="K536" s="12" t="n">
        <v>4</v>
      </c>
      <c r="L536" s="9" t="n">
        <v>389.99</v>
      </c>
      <c r="M536" s="10" t="n">
        <v>0.15</v>
      </c>
      <c r="N536" s="9" t="n">
        <v>331.49</v>
      </c>
      <c r="O536" s="9">
        <f>K536*L536</f>
        <v/>
      </c>
      <c r="P536" s="9">
        <f>O536*M536</f>
        <v/>
      </c>
      <c r="Q536" s="9">
        <f>O536-P536</f>
        <v/>
      </c>
      <c r="R536" s="9">
        <f>K536*N536</f>
        <v/>
      </c>
      <c r="S536" s="9">
        <f>Q536-R536</f>
        <v/>
      </c>
      <c r="T536" s="10">
        <f>IFERROR(S536/Q536, 0)</f>
        <v/>
      </c>
    </row>
    <row r="537">
      <c r="A537" s="11" t="inlineStr">
        <is>
          <t>ORD-2024-1017</t>
        </is>
      </c>
      <c r="B537" s="11" t="inlineStr">
        <is>
          <t>2024-08-07</t>
        </is>
      </c>
      <c r="C537" s="11" t="inlineStr">
        <is>
          <t>OFF-DSK-008</t>
        </is>
      </c>
      <c r="D537" s="7" t="inlineStr">
        <is>
          <t>Steel Desktop Mesh Organizer Caddy</t>
        </is>
      </c>
      <c r="E537" s="7" t="inlineStr">
        <is>
          <t>Office Supplies</t>
        </is>
      </c>
      <c r="F537" s="7" t="inlineStr">
        <is>
          <t>Desk Supplies</t>
        </is>
      </c>
      <c r="G537" s="7" t="inlineStr">
        <is>
          <t>South</t>
        </is>
      </c>
      <c r="H537" s="7" t="inlineStr">
        <is>
          <t>North Carolina</t>
        </is>
      </c>
      <c r="I537" s="7" t="inlineStr">
        <is>
          <t>Online</t>
        </is>
      </c>
      <c r="J537" s="7" t="inlineStr">
        <is>
          <t>Consumer</t>
        </is>
      </c>
      <c r="K537" s="12" t="n">
        <v>1</v>
      </c>
      <c r="L537" s="9" t="n">
        <v>18.99</v>
      </c>
      <c r="M537" s="10" t="n">
        <v>0</v>
      </c>
      <c r="N537" s="9" t="n">
        <v>8.550000000000001</v>
      </c>
      <c r="O537" s="9">
        <f>K537*L537</f>
        <v/>
      </c>
      <c r="P537" s="9">
        <f>O537*M537</f>
        <v/>
      </c>
      <c r="Q537" s="9">
        <f>O537-P537</f>
        <v/>
      </c>
      <c r="R537" s="9">
        <f>K537*N537</f>
        <v/>
      </c>
      <c r="S537" s="9">
        <f>Q537-R537</f>
        <v/>
      </c>
      <c r="T537" s="10">
        <f>IFERROR(S537/Q537, 0)</f>
        <v/>
      </c>
    </row>
    <row r="538">
      <c r="A538" s="11" t="inlineStr">
        <is>
          <t>ORD-2024-1017</t>
        </is>
      </c>
      <c r="B538" s="11" t="inlineStr">
        <is>
          <t>2024-08-07</t>
        </is>
      </c>
      <c r="C538" s="11" t="inlineStr">
        <is>
          <t>OFF-ART-006</t>
        </is>
      </c>
      <c r="D538" s="7" t="inlineStr">
        <is>
          <t>Professional Presentation Dry Erase Board</t>
        </is>
      </c>
      <c r="E538" s="7" t="inlineStr">
        <is>
          <t>Office Supplies</t>
        </is>
      </c>
      <c r="F538" s="7" t="inlineStr">
        <is>
          <t>Presentation &amp; Art</t>
        </is>
      </c>
      <c r="G538" s="7" t="inlineStr">
        <is>
          <t>South</t>
        </is>
      </c>
      <c r="H538" s="7" t="inlineStr">
        <is>
          <t>North Carolina</t>
        </is>
      </c>
      <c r="I538" s="7" t="inlineStr">
        <is>
          <t>Online</t>
        </is>
      </c>
      <c r="J538" s="7" t="inlineStr">
        <is>
          <t>Consumer</t>
        </is>
      </c>
      <c r="K538" s="12" t="n">
        <v>2</v>
      </c>
      <c r="L538" s="9" t="n">
        <v>89.98999999999999</v>
      </c>
      <c r="M538" s="10" t="n">
        <v>0</v>
      </c>
      <c r="N538" s="9" t="n">
        <v>53.99</v>
      </c>
      <c r="O538" s="9">
        <f>K538*L538</f>
        <v/>
      </c>
      <c r="P538" s="9">
        <f>O538*M538</f>
        <v/>
      </c>
      <c r="Q538" s="9">
        <f>O538-P538</f>
        <v/>
      </c>
      <c r="R538" s="9">
        <f>K538*N538</f>
        <v/>
      </c>
      <c r="S538" s="9">
        <f>Q538-R538</f>
        <v/>
      </c>
      <c r="T538" s="10">
        <f>IFERROR(S538/Q538, 0)</f>
        <v/>
      </c>
    </row>
    <row r="539">
      <c r="A539" s="11" t="inlineStr">
        <is>
          <t>ORD-2024-1705</t>
        </is>
      </c>
      <c r="B539" s="11" t="inlineStr">
        <is>
          <t>2024-08-07</t>
        </is>
      </c>
      <c r="C539" s="11" t="inlineStr">
        <is>
          <t>TEC-TAB-003</t>
        </is>
      </c>
      <c r="D539" s="7" t="inlineStr">
        <is>
          <t>VisionPad Pro 11"</t>
        </is>
      </c>
      <c r="E539" s="7" t="inlineStr">
        <is>
          <t>Technology</t>
        </is>
      </c>
      <c r="F539" s="7" t="inlineStr">
        <is>
          <t>Phones &amp; Tablets</t>
        </is>
      </c>
      <c r="G539" s="7" t="inlineStr">
        <is>
          <t>East</t>
        </is>
      </c>
      <c r="H539" s="7" t="inlineStr">
        <is>
          <t>New Jersey</t>
        </is>
      </c>
      <c r="I539" s="7" t="inlineStr">
        <is>
          <t>Direct Sales</t>
        </is>
      </c>
      <c r="J539" s="7" t="inlineStr">
        <is>
          <t>Consumer</t>
        </is>
      </c>
      <c r="K539" s="12" t="n">
        <v>2</v>
      </c>
      <c r="L539" s="9" t="n">
        <v>649.99</v>
      </c>
      <c r="M539" s="10" t="n">
        <v>0</v>
      </c>
      <c r="N539" s="9" t="n">
        <v>487.49</v>
      </c>
      <c r="O539" s="9">
        <f>K539*L539</f>
        <v/>
      </c>
      <c r="P539" s="9">
        <f>O539*M539</f>
        <v/>
      </c>
      <c r="Q539" s="9">
        <f>O539-P539</f>
        <v/>
      </c>
      <c r="R539" s="9">
        <f>K539*N539</f>
        <v/>
      </c>
      <c r="S539" s="9">
        <f>Q539-R539</f>
        <v/>
      </c>
      <c r="T539" s="10">
        <f>IFERROR(S539/Q539, 0)</f>
        <v/>
      </c>
    </row>
    <row r="540">
      <c r="A540" s="11" t="inlineStr">
        <is>
          <t>ORD-2024-1043</t>
        </is>
      </c>
      <c r="B540" s="11" t="inlineStr">
        <is>
          <t>2024-08-08</t>
        </is>
      </c>
      <c r="C540" s="11" t="inlineStr">
        <is>
          <t>FUR-DSK-003</t>
        </is>
      </c>
      <c r="D540" s="7" t="inlineStr">
        <is>
          <t>ApexMotor Dual-Motor Standing Desk</t>
        </is>
      </c>
      <c r="E540" s="7" t="inlineStr">
        <is>
          <t>Furniture</t>
        </is>
      </c>
      <c r="F540" s="7" t="inlineStr">
        <is>
          <t>Desks &amp; Workstations</t>
        </is>
      </c>
      <c r="G540" s="7" t="inlineStr">
        <is>
          <t>East</t>
        </is>
      </c>
      <c r="H540" s="7" t="inlineStr">
        <is>
          <t>New York</t>
        </is>
      </c>
      <c r="I540" s="7" t="inlineStr">
        <is>
          <t>Retail Partner</t>
        </is>
      </c>
      <c r="J540" s="7" t="inlineStr">
        <is>
          <t>Corporate</t>
        </is>
      </c>
      <c r="K540" s="12" t="n">
        <v>2</v>
      </c>
      <c r="L540" s="9" t="n">
        <v>549.99</v>
      </c>
      <c r="M540" s="10" t="n">
        <v>0.05</v>
      </c>
      <c r="N540" s="9" t="n">
        <v>439.99</v>
      </c>
      <c r="O540" s="9">
        <f>K540*L540</f>
        <v/>
      </c>
      <c r="P540" s="9">
        <f>O540*M540</f>
        <v/>
      </c>
      <c r="Q540" s="9">
        <f>O540-P540</f>
        <v/>
      </c>
      <c r="R540" s="9">
        <f>K540*N540</f>
        <v/>
      </c>
      <c r="S540" s="9">
        <f>Q540-R540</f>
        <v/>
      </c>
      <c r="T540" s="10">
        <f>IFERROR(S540/Q540, 0)</f>
        <v/>
      </c>
    </row>
    <row r="541">
      <c r="A541" s="11" t="inlineStr">
        <is>
          <t>ORD-2024-1124</t>
        </is>
      </c>
      <c r="B541" s="11" t="inlineStr">
        <is>
          <t>2024-08-08</t>
        </is>
      </c>
      <c r="C541" s="11" t="inlineStr">
        <is>
          <t>FUR-DSK-003</t>
        </is>
      </c>
      <c r="D541" s="7" t="inlineStr">
        <is>
          <t>ApexMotor Dual-Motor Standing Desk</t>
        </is>
      </c>
      <c r="E541" s="7" t="inlineStr">
        <is>
          <t>Furniture</t>
        </is>
      </c>
      <c r="F541" s="7" t="inlineStr">
        <is>
          <t>Desks &amp; Workstations</t>
        </is>
      </c>
      <c r="G541" s="7" t="inlineStr">
        <is>
          <t>East</t>
        </is>
      </c>
      <c r="H541" s="7" t="inlineStr">
        <is>
          <t>Massachusetts</t>
        </is>
      </c>
      <c r="I541" s="7" t="inlineStr">
        <is>
          <t>Online</t>
        </is>
      </c>
      <c r="J541" s="7" t="inlineStr">
        <is>
          <t>Home Office</t>
        </is>
      </c>
      <c r="K541" s="12" t="n">
        <v>3</v>
      </c>
      <c r="L541" s="9" t="n">
        <v>549.99</v>
      </c>
      <c r="M541" s="10" t="n">
        <v>0.05</v>
      </c>
      <c r="N541" s="9" t="n">
        <v>439.99</v>
      </c>
      <c r="O541" s="9">
        <f>K541*L541</f>
        <v/>
      </c>
      <c r="P541" s="9">
        <f>O541*M541</f>
        <v/>
      </c>
      <c r="Q541" s="9">
        <f>O541-P541</f>
        <v/>
      </c>
      <c r="R541" s="9">
        <f>K541*N541</f>
        <v/>
      </c>
      <c r="S541" s="9">
        <f>Q541-R541</f>
        <v/>
      </c>
      <c r="T541" s="10">
        <f>IFERROR(S541/Q541, 0)</f>
        <v/>
      </c>
    </row>
    <row r="542">
      <c r="A542" s="11" t="inlineStr">
        <is>
          <t>ORD-2024-1124</t>
        </is>
      </c>
      <c r="B542" s="11" t="inlineStr">
        <is>
          <t>2024-08-08</t>
        </is>
      </c>
      <c r="C542" s="11" t="inlineStr">
        <is>
          <t>OFF-PAP-004</t>
        </is>
      </c>
      <c r="D542" s="7" t="inlineStr">
        <is>
          <t>EcoRecycled Copy Paper (5 Reams)</t>
        </is>
      </c>
      <c r="E542" s="7" t="inlineStr">
        <is>
          <t>Office Supplies</t>
        </is>
      </c>
      <c r="F542" s="7" t="inlineStr">
        <is>
          <t>Paper Products</t>
        </is>
      </c>
      <c r="G542" s="7" t="inlineStr">
        <is>
          <t>East</t>
        </is>
      </c>
      <c r="H542" s="7" t="inlineStr">
        <is>
          <t>Massachusetts</t>
        </is>
      </c>
      <c r="I542" s="7" t="inlineStr">
        <is>
          <t>Online</t>
        </is>
      </c>
      <c r="J542" s="7" t="inlineStr">
        <is>
          <t>Home Office</t>
        </is>
      </c>
      <c r="K542" s="12" t="n">
        <v>1</v>
      </c>
      <c r="L542" s="9" t="n">
        <v>32.99</v>
      </c>
      <c r="M542" s="10" t="n">
        <v>0.05</v>
      </c>
      <c r="N542" s="9" t="n">
        <v>19.79</v>
      </c>
      <c r="O542" s="9">
        <f>K542*L542</f>
        <v/>
      </c>
      <c r="P542" s="9">
        <f>O542*M542</f>
        <v/>
      </c>
      <c r="Q542" s="9">
        <f>O542-P542</f>
        <v/>
      </c>
      <c r="R542" s="9">
        <f>K542*N542</f>
        <v/>
      </c>
      <c r="S542" s="9">
        <f>Q542-R542</f>
        <v/>
      </c>
      <c r="T542" s="10">
        <f>IFERROR(S542/Q542, 0)</f>
        <v/>
      </c>
    </row>
    <row r="543">
      <c r="A543" s="11" t="inlineStr">
        <is>
          <t>ORD-2024-1124</t>
        </is>
      </c>
      <c r="B543" s="11" t="inlineStr">
        <is>
          <t>2024-08-08</t>
        </is>
      </c>
      <c r="C543" s="11" t="inlineStr">
        <is>
          <t>TEC-ACC-005</t>
        </is>
      </c>
      <c r="D543" s="7" t="inlineStr">
        <is>
          <t>UltraWireless Noise-Canceling Headset</t>
        </is>
      </c>
      <c r="E543" s="7" t="inlineStr">
        <is>
          <t>Technology</t>
        </is>
      </c>
      <c r="F543" s="7" t="inlineStr">
        <is>
          <t>Audio &amp; Accessories</t>
        </is>
      </c>
      <c r="G543" s="7" t="inlineStr">
        <is>
          <t>East</t>
        </is>
      </c>
      <c r="H543" s="7" t="inlineStr">
        <is>
          <t>Massachusetts</t>
        </is>
      </c>
      <c r="I543" s="7" t="inlineStr">
        <is>
          <t>Online</t>
        </is>
      </c>
      <c r="J543" s="7" t="inlineStr">
        <is>
          <t>Home Office</t>
        </is>
      </c>
      <c r="K543" s="12" t="n">
        <v>2</v>
      </c>
      <c r="L543" s="9" t="n">
        <v>179.99</v>
      </c>
      <c r="M543" s="10" t="n">
        <v>0.1</v>
      </c>
      <c r="N543" s="9" t="n">
        <v>111.59</v>
      </c>
      <c r="O543" s="9">
        <f>K543*L543</f>
        <v/>
      </c>
      <c r="P543" s="9">
        <f>O543*M543</f>
        <v/>
      </c>
      <c r="Q543" s="9">
        <f>O543-P543</f>
        <v/>
      </c>
      <c r="R543" s="9">
        <f>K543*N543</f>
        <v/>
      </c>
      <c r="S543" s="9">
        <f>Q543-R543</f>
        <v/>
      </c>
      <c r="T543" s="10">
        <f>IFERROR(S543/Q543, 0)</f>
        <v/>
      </c>
    </row>
    <row r="544">
      <c r="A544" s="11" t="inlineStr">
        <is>
          <t>ORD-2024-1492</t>
        </is>
      </c>
      <c r="B544" s="11" t="inlineStr">
        <is>
          <t>2024-08-08</t>
        </is>
      </c>
      <c r="C544" s="11" t="inlineStr">
        <is>
          <t>TEC-LAP-002</t>
        </is>
      </c>
      <c r="D544" s="7" t="inlineStr">
        <is>
          <t>Apex Gaming Laptop 17"</t>
        </is>
      </c>
      <c r="E544" s="7" t="inlineStr">
        <is>
          <t>Technology</t>
        </is>
      </c>
      <c r="F544" s="7" t="inlineStr">
        <is>
          <t>Laptops</t>
        </is>
      </c>
      <c r="G544" s="7" t="inlineStr">
        <is>
          <t>West</t>
        </is>
      </c>
      <c r="H544" s="7" t="inlineStr">
        <is>
          <t>Washington</t>
        </is>
      </c>
      <c r="I544" s="7" t="inlineStr">
        <is>
          <t>Online</t>
        </is>
      </c>
      <c r="J544" s="7" t="inlineStr">
        <is>
          <t>Home Office</t>
        </is>
      </c>
      <c r="K544" s="12" t="n">
        <v>1</v>
      </c>
      <c r="L544" s="9" t="n">
        <v>1499.99</v>
      </c>
      <c r="M544" s="10" t="n">
        <v>0.2</v>
      </c>
      <c r="N544" s="9" t="n">
        <v>1259.99</v>
      </c>
      <c r="O544" s="9">
        <f>K544*L544</f>
        <v/>
      </c>
      <c r="P544" s="9">
        <f>O544*M544</f>
        <v/>
      </c>
      <c r="Q544" s="9">
        <f>O544-P544</f>
        <v/>
      </c>
      <c r="R544" s="9">
        <f>K544*N544</f>
        <v/>
      </c>
      <c r="S544" s="9">
        <f>Q544-R544</f>
        <v/>
      </c>
      <c r="T544" s="10">
        <f>IFERROR(S544/Q544, 0)</f>
        <v/>
      </c>
    </row>
    <row r="545">
      <c r="A545" s="11" t="inlineStr">
        <is>
          <t>ORD-2024-1336</t>
        </is>
      </c>
      <c r="B545" s="11" t="inlineStr">
        <is>
          <t>2024-08-09</t>
        </is>
      </c>
      <c r="C545" s="11" t="inlineStr">
        <is>
          <t>TEC-ACC-006</t>
        </is>
      </c>
      <c r="D545" s="7" t="inlineStr">
        <is>
          <t>MultiPort Thunderbolt 4 Dock</t>
        </is>
      </c>
      <c r="E545" s="7" t="inlineStr">
        <is>
          <t>Technology</t>
        </is>
      </c>
      <c r="F545" s="7" t="inlineStr">
        <is>
          <t>Audio &amp; Accessories</t>
        </is>
      </c>
      <c r="G545" s="7" t="inlineStr">
        <is>
          <t>Central</t>
        </is>
      </c>
      <c r="H545" s="7" t="inlineStr">
        <is>
          <t>Texas</t>
        </is>
      </c>
      <c r="I545" s="7" t="inlineStr">
        <is>
          <t>Direct Sales</t>
        </is>
      </c>
      <c r="J545" s="7" t="inlineStr">
        <is>
          <t>Consumer</t>
        </is>
      </c>
      <c r="K545" s="12" t="n">
        <v>2</v>
      </c>
      <c r="L545" s="9" t="n">
        <v>149.99</v>
      </c>
      <c r="M545" s="10" t="n">
        <v>0.1</v>
      </c>
      <c r="N545" s="9" t="n">
        <v>98.98999999999999</v>
      </c>
      <c r="O545" s="9">
        <f>K545*L545</f>
        <v/>
      </c>
      <c r="P545" s="9">
        <f>O545*M545</f>
        <v/>
      </c>
      <c r="Q545" s="9">
        <f>O545-P545</f>
        <v/>
      </c>
      <c r="R545" s="9">
        <f>K545*N545</f>
        <v/>
      </c>
      <c r="S545" s="9">
        <f>Q545-R545</f>
        <v/>
      </c>
      <c r="T545" s="10">
        <f>IFERROR(S545/Q545, 0)</f>
        <v/>
      </c>
    </row>
    <row r="546">
      <c r="A546" s="11" t="inlineStr">
        <is>
          <t>ORD-2024-1402</t>
        </is>
      </c>
      <c r="B546" s="11" t="inlineStr">
        <is>
          <t>2024-08-09</t>
        </is>
      </c>
      <c r="C546" s="11" t="inlineStr">
        <is>
          <t>FUR-DSK-004</t>
        </is>
      </c>
      <c r="D546" s="7" t="inlineStr">
        <is>
          <t>Metro Compact Corner Workstation</t>
        </is>
      </c>
      <c r="E546" s="7" t="inlineStr">
        <is>
          <t>Furniture</t>
        </is>
      </c>
      <c r="F546" s="7" t="inlineStr">
        <is>
          <t>Desks &amp; Workstations</t>
        </is>
      </c>
      <c r="G546" s="7" t="inlineStr">
        <is>
          <t>Central</t>
        </is>
      </c>
      <c r="H546" s="7" t="inlineStr">
        <is>
          <t>Illinois</t>
        </is>
      </c>
      <c r="I546" s="7" t="inlineStr">
        <is>
          <t>Retail Partner</t>
        </is>
      </c>
      <c r="J546" s="7" t="inlineStr">
        <is>
          <t>Consumer</t>
        </is>
      </c>
      <c r="K546" s="12" t="n">
        <v>4</v>
      </c>
      <c r="L546" s="9" t="n">
        <v>329.99</v>
      </c>
      <c r="M546" s="10" t="n">
        <v>0</v>
      </c>
      <c r="N546" s="9" t="n">
        <v>250.79</v>
      </c>
      <c r="O546" s="9">
        <f>K546*L546</f>
        <v/>
      </c>
      <c r="P546" s="9">
        <f>O546*M546</f>
        <v/>
      </c>
      <c r="Q546" s="9">
        <f>O546-P546</f>
        <v/>
      </c>
      <c r="R546" s="9">
        <f>K546*N546</f>
        <v/>
      </c>
      <c r="S546" s="9">
        <f>Q546-R546</f>
        <v/>
      </c>
      <c r="T546" s="10">
        <f>IFERROR(S546/Q546, 0)</f>
        <v/>
      </c>
    </row>
    <row r="547">
      <c r="A547" s="11" t="inlineStr">
        <is>
          <t>ORD-2024-1175</t>
        </is>
      </c>
      <c r="B547" s="11" t="inlineStr">
        <is>
          <t>2024-08-10</t>
        </is>
      </c>
      <c r="C547" s="11" t="inlineStr">
        <is>
          <t>OFF-PAP-004</t>
        </is>
      </c>
      <c r="D547" s="7" t="inlineStr">
        <is>
          <t>EcoRecycled Copy Paper (5 Reams)</t>
        </is>
      </c>
      <c r="E547" s="7" t="inlineStr">
        <is>
          <t>Office Supplies</t>
        </is>
      </c>
      <c r="F547" s="7" t="inlineStr">
        <is>
          <t>Paper Products</t>
        </is>
      </c>
      <c r="G547" s="7" t="inlineStr">
        <is>
          <t>East</t>
        </is>
      </c>
      <c r="H547" s="7" t="inlineStr">
        <is>
          <t>New York</t>
        </is>
      </c>
      <c r="I547" s="7" t="inlineStr">
        <is>
          <t>Direct Sales</t>
        </is>
      </c>
      <c r="J547" s="7" t="inlineStr">
        <is>
          <t>Consumer</t>
        </is>
      </c>
      <c r="K547" s="12" t="n">
        <v>2</v>
      </c>
      <c r="L547" s="9" t="n">
        <v>32.99</v>
      </c>
      <c r="M547" s="10" t="n">
        <v>0</v>
      </c>
      <c r="N547" s="9" t="n">
        <v>19.79</v>
      </c>
      <c r="O547" s="9">
        <f>K547*L547</f>
        <v/>
      </c>
      <c r="P547" s="9">
        <f>O547*M547</f>
        <v/>
      </c>
      <c r="Q547" s="9">
        <f>O547-P547</f>
        <v/>
      </c>
      <c r="R547" s="9">
        <f>K547*N547</f>
        <v/>
      </c>
      <c r="S547" s="9">
        <f>Q547-R547</f>
        <v/>
      </c>
      <c r="T547" s="10">
        <f>IFERROR(S547/Q547, 0)</f>
        <v/>
      </c>
    </row>
    <row r="548">
      <c r="A548" s="11" t="inlineStr">
        <is>
          <t>ORD-2024-1175</t>
        </is>
      </c>
      <c r="B548" s="11" t="inlineStr">
        <is>
          <t>2024-08-10</t>
        </is>
      </c>
      <c r="C548" s="11" t="inlineStr">
        <is>
          <t>FUR-CHA-001</t>
        </is>
      </c>
      <c r="D548" s="7" t="inlineStr">
        <is>
          <t>ErgoFlex Executive Mesh Chair</t>
        </is>
      </c>
      <c r="E548" s="7" t="inlineStr">
        <is>
          <t>Furniture</t>
        </is>
      </c>
      <c r="F548" s="7" t="inlineStr">
        <is>
          <t>Chairs</t>
        </is>
      </c>
      <c r="G548" s="7" t="inlineStr">
        <is>
          <t>East</t>
        </is>
      </c>
      <c r="H548" s="7" t="inlineStr">
        <is>
          <t>New York</t>
        </is>
      </c>
      <c r="I548" s="7" t="inlineStr">
        <is>
          <t>Direct Sales</t>
        </is>
      </c>
      <c r="J548" s="7" t="inlineStr">
        <is>
          <t>Consumer</t>
        </is>
      </c>
      <c r="K548" s="12" t="n">
        <v>1</v>
      </c>
      <c r="L548" s="9" t="n">
        <v>389.99</v>
      </c>
      <c r="M548" s="10" t="n">
        <v>0.05</v>
      </c>
      <c r="N548" s="9" t="n">
        <v>331.49</v>
      </c>
      <c r="O548" s="9">
        <f>K548*L548</f>
        <v/>
      </c>
      <c r="P548" s="9">
        <f>O548*M548</f>
        <v/>
      </c>
      <c r="Q548" s="9">
        <f>O548-P548</f>
        <v/>
      </c>
      <c r="R548" s="9">
        <f>K548*N548</f>
        <v/>
      </c>
      <c r="S548" s="9">
        <f>Q548-R548</f>
        <v/>
      </c>
      <c r="T548" s="10">
        <f>IFERROR(S548/Q548, 0)</f>
        <v/>
      </c>
    </row>
    <row r="549">
      <c r="A549" s="11" t="inlineStr">
        <is>
          <t>ORD-2024-1496</t>
        </is>
      </c>
      <c r="B549" s="11" t="inlineStr">
        <is>
          <t>2024-08-10</t>
        </is>
      </c>
      <c r="C549" s="11" t="inlineStr">
        <is>
          <t>TEC-TAB-003</t>
        </is>
      </c>
      <c r="D549" s="7" t="inlineStr">
        <is>
          <t>VisionPad Pro 11"</t>
        </is>
      </c>
      <c r="E549" s="7" t="inlineStr">
        <is>
          <t>Technology</t>
        </is>
      </c>
      <c r="F549" s="7" t="inlineStr">
        <is>
          <t>Phones &amp; Tablets</t>
        </is>
      </c>
      <c r="G549" s="7" t="inlineStr">
        <is>
          <t>West</t>
        </is>
      </c>
      <c r="H549" s="7" t="inlineStr">
        <is>
          <t>California</t>
        </is>
      </c>
      <c r="I549" s="7" t="inlineStr">
        <is>
          <t>Direct Sales</t>
        </is>
      </c>
      <c r="J549" s="7" t="inlineStr">
        <is>
          <t>Home Office</t>
        </is>
      </c>
      <c r="K549" s="12" t="n">
        <v>2</v>
      </c>
      <c r="L549" s="9" t="n">
        <v>649.99</v>
      </c>
      <c r="M549" s="10" t="n">
        <v>0.05</v>
      </c>
      <c r="N549" s="9" t="n">
        <v>487.49</v>
      </c>
      <c r="O549" s="9">
        <f>K549*L549</f>
        <v/>
      </c>
      <c r="P549" s="9">
        <f>O549*M549</f>
        <v/>
      </c>
      <c r="Q549" s="9">
        <f>O549-P549</f>
        <v/>
      </c>
      <c r="R549" s="9">
        <f>K549*N549</f>
        <v/>
      </c>
      <c r="S549" s="9">
        <f>Q549-R549</f>
        <v/>
      </c>
      <c r="T549" s="10">
        <f>IFERROR(S549/Q549, 0)</f>
        <v/>
      </c>
    </row>
    <row r="550">
      <c r="A550" s="11" t="inlineStr">
        <is>
          <t>ORD-2024-1071</t>
        </is>
      </c>
      <c r="B550" s="11" t="inlineStr">
        <is>
          <t>2024-08-12</t>
        </is>
      </c>
      <c r="C550" s="11" t="inlineStr">
        <is>
          <t>TEC-ACC-006</t>
        </is>
      </c>
      <c r="D550" s="7" t="inlineStr">
        <is>
          <t>MultiPort Thunderbolt 4 Dock</t>
        </is>
      </c>
      <c r="E550" s="7" t="inlineStr">
        <is>
          <t>Technology</t>
        </is>
      </c>
      <c r="F550" s="7" t="inlineStr">
        <is>
          <t>Audio &amp; Accessories</t>
        </is>
      </c>
      <c r="G550" s="7" t="inlineStr">
        <is>
          <t>West</t>
        </is>
      </c>
      <c r="H550" s="7" t="inlineStr">
        <is>
          <t>Oregon</t>
        </is>
      </c>
      <c r="I550" s="7" t="inlineStr">
        <is>
          <t>Online</t>
        </is>
      </c>
      <c r="J550" s="7" t="inlineStr">
        <is>
          <t>Consumer</t>
        </is>
      </c>
      <c r="K550" s="12" t="n">
        <v>4</v>
      </c>
      <c r="L550" s="9" t="n">
        <v>149.99</v>
      </c>
      <c r="M550" s="10" t="n">
        <v>0.05</v>
      </c>
      <c r="N550" s="9" t="n">
        <v>98.98999999999999</v>
      </c>
      <c r="O550" s="9">
        <f>K550*L550</f>
        <v/>
      </c>
      <c r="P550" s="9">
        <f>O550*M550</f>
        <v/>
      </c>
      <c r="Q550" s="9">
        <f>O550-P550</f>
        <v/>
      </c>
      <c r="R550" s="9">
        <f>K550*N550</f>
        <v/>
      </c>
      <c r="S550" s="9">
        <f>Q550-R550</f>
        <v/>
      </c>
      <c r="T550" s="10">
        <f>IFERROR(S550/Q550, 0)</f>
        <v/>
      </c>
    </row>
    <row r="551">
      <c r="A551" s="11" t="inlineStr">
        <is>
          <t>ORD-2024-1392</t>
        </is>
      </c>
      <c r="B551" s="11" t="inlineStr">
        <is>
          <t>2024-08-12</t>
        </is>
      </c>
      <c r="C551" s="11" t="inlineStr">
        <is>
          <t>TEC-LAP-001</t>
        </is>
      </c>
      <c r="D551" s="7" t="inlineStr">
        <is>
          <t>ProBook Elite 15.6"</t>
        </is>
      </c>
      <c r="E551" s="7" t="inlineStr">
        <is>
          <t>Technology</t>
        </is>
      </c>
      <c r="F551" s="7" t="inlineStr">
        <is>
          <t>Laptops</t>
        </is>
      </c>
      <c r="G551" s="7" t="inlineStr">
        <is>
          <t>East</t>
        </is>
      </c>
      <c r="H551" s="7" t="inlineStr">
        <is>
          <t>Massachusetts</t>
        </is>
      </c>
      <c r="I551" s="7" t="inlineStr">
        <is>
          <t>Retail Partner</t>
        </is>
      </c>
      <c r="J551" s="7" t="inlineStr">
        <is>
          <t>Home Office</t>
        </is>
      </c>
      <c r="K551" s="12" t="n">
        <v>3</v>
      </c>
      <c r="L551" s="9" t="n">
        <v>1199.99</v>
      </c>
      <c r="M551" s="10" t="n">
        <v>0.1</v>
      </c>
      <c r="N551" s="9" t="n">
        <v>863.99</v>
      </c>
      <c r="O551" s="9">
        <f>K551*L551</f>
        <v/>
      </c>
      <c r="P551" s="9">
        <f>O551*M551</f>
        <v/>
      </c>
      <c r="Q551" s="9">
        <f>O551-P551</f>
        <v/>
      </c>
      <c r="R551" s="9">
        <f>K551*N551</f>
        <v/>
      </c>
      <c r="S551" s="9">
        <f>Q551-R551</f>
        <v/>
      </c>
      <c r="T551" s="10">
        <f>IFERROR(S551/Q551, 0)</f>
        <v/>
      </c>
    </row>
    <row r="552">
      <c r="A552" s="11" t="inlineStr">
        <is>
          <t>ORD-2024-1455</t>
        </is>
      </c>
      <c r="B552" s="11" t="inlineStr">
        <is>
          <t>2024-08-12</t>
        </is>
      </c>
      <c r="C552" s="11" t="inlineStr">
        <is>
          <t>TEC-LAP-002</t>
        </is>
      </c>
      <c r="D552" s="7" t="inlineStr">
        <is>
          <t>Apex Gaming Laptop 17"</t>
        </is>
      </c>
      <c r="E552" s="7" t="inlineStr">
        <is>
          <t>Technology</t>
        </is>
      </c>
      <c r="F552" s="7" t="inlineStr">
        <is>
          <t>Laptops</t>
        </is>
      </c>
      <c r="G552" s="7" t="inlineStr">
        <is>
          <t>West</t>
        </is>
      </c>
      <c r="H552" s="7" t="inlineStr">
        <is>
          <t>California</t>
        </is>
      </c>
      <c r="I552" s="7" t="inlineStr">
        <is>
          <t>Wholesale</t>
        </is>
      </c>
      <c r="J552" s="7" t="inlineStr">
        <is>
          <t>Consumer</t>
        </is>
      </c>
      <c r="K552" s="12" t="n">
        <v>9</v>
      </c>
      <c r="L552" s="9" t="n">
        <v>1499.99</v>
      </c>
      <c r="M552" s="10" t="n">
        <v>0.15</v>
      </c>
      <c r="N552" s="9" t="n">
        <v>1259.99</v>
      </c>
      <c r="O552" s="9">
        <f>K552*L552</f>
        <v/>
      </c>
      <c r="P552" s="9">
        <f>O552*M552</f>
        <v/>
      </c>
      <c r="Q552" s="9">
        <f>O552-P552</f>
        <v/>
      </c>
      <c r="R552" s="9">
        <f>K552*N552</f>
        <v/>
      </c>
      <c r="S552" s="9">
        <f>Q552-R552</f>
        <v/>
      </c>
      <c r="T552" s="10">
        <f>IFERROR(S552/Q552, 0)</f>
        <v/>
      </c>
    </row>
    <row r="553">
      <c r="A553" s="11" t="inlineStr">
        <is>
          <t>ORD-2024-1097</t>
        </is>
      </c>
      <c r="B553" s="11" t="inlineStr">
        <is>
          <t>2024-08-13</t>
        </is>
      </c>
      <c r="C553" s="11" t="inlineStr">
        <is>
          <t>FUR-CHA-001</t>
        </is>
      </c>
      <c r="D553" s="7" t="inlineStr">
        <is>
          <t>ErgoFlex Executive Mesh Chair</t>
        </is>
      </c>
      <c r="E553" s="7" t="inlineStr">
        <is>
          <t>Furniture</t>
        </is>
      </c>
      <c r="F553" s="7" t="inlineStr">
        <is>
          <t>Chairs</t>
        </is>
      </c>
      <c r="G553" s="7" t="inlineStr">
        <is>
          <t>East</t>
        </is>
      </c>
      <c r="H553" s="7" t="inlineStr">
        <is>
          <t>Pennsylvania</t>
        </is>
      </c>
      <c r="I553" s="7" t="inlineStr">
        <is>
          <t>Online</t>
        </is>
      </c>
      <c r="J553" s="7" t="inlineStr">
        <is>
          <t>Corporate</t>
        </is>
      </c>
      <c r="K553" s="12" t="n">
        <v>2</v>
      </c>
      <c r="L553" s="9" t="n">
        <v>389.99</v>
      </c>
      <c r="M553" s="10" t="n">
        <v>0.05</v>
      </c>
      <c r="N553" s="9" t="n">
        <v>331.49</v>
      </c>
      <c r="O553" s="9">
        <f>K553*L553</f>
        <v/>
      </c>
      <c r="P553" s="9">
        <f>O553*M553</f>
        <v/>
      </c>
      <c r="Q553" s="9">
        <f>O553-P553</f>
        <v/>
      </c>
      <c r="R553" s="9">
        <f>K553*N553</f>
        <v/>
      </c>
      <c r="S553" s="9">
        <f>Q553-R553</f>
        <v/>
      </c>
      <c r="T553" s="10">
        <f>IFERROR(S553/Q553, 0)</f>
        <v/>
      </c>
    </row>
    <row r="554">
      <c r="A554" s="11" t="inlineStr">
        <is>
          <t>ORD-2024-1127</t>
        </is>
      </c>
      <c r="B554" s="11" t="inlineStr">
        <is>
          <t>2024-08-13</t>
        </is>
      </c>
      <c r="C554" s="11" t="inlineStr">
        <is>
          <t>OFF-BIN-005</t>
        </is>
      </c>
      <c r="D554" s="7" t="inlineStr">
        <is>
          <t>Heavy-Duty D-Ring Presentation Binder (6-Pk)</t>
        </is>
      </c>
      <c r="E554" s="7" t="inlineStr">
        <is>
          <t>Office Supplies</t>
        </is>
      </c>
      <c r="F554" s="7" t="inlineStr">
        <is>
          <t>Binders &amp; Fasteners</t>
        </is>
      </c>
      <c r="G554" s="7" t="inlineStr">
        <is>
          <t>East</t>
        </is>
      </c>
      <c r="H554" s="7" t="inlineStr">
        <is>
          <t>New York</t>
        </is>
      </c>
      <c r="I554" s="7" t="inlineStr">
        <is>
          <t>Online</t>
        </is>
      </c>
      <c r="J554" s="7" t="inlineStr">
        <is>
          <t>Consumer</t>
        </is>
      </c>
      <c r="K554" s="12" t="n">
        <v>4</v>
      </c>
      <c r="L554" s="9" t="n">
        <v>27.99</v>
      </c>
      <c r="M554" s="10" t="n">
        <v>0.1</v>
      </c>
      <c r="N554" s="9" t="n">
        <v>13.99</v>
      </c>
      <c r="O554" s="9">
        <f>K554*L554</f>
        <v/>
      </c>
      <c r="P554" s="9">
        <f>O554*M554</f>
        <v/>
      </c>
      <c r="Q554" s="9">
        <f>O554-P554</f>
        <v/>
      </c>
      <c r="R554" s="9">
        <f>K554*N554</f>
        <v/>
      </c>
      <c r="S554" s="9">
        <f>Q554-R554</f>
        <v/>
      </c>
      <c r="T554" s="10">
        <f>IFERROR(S554/Q554, 0)</f>
        <v/>
      </c>
    </row>
    <row r="555">
      <c r="A555" s="11" t="inlineStr">
        <is>
          <t>ORD-2024-1145</t>
        </is>
      </c>
      <c r="B555" s="11" t="inlineStr">
        <is>
          <t>2024-08-15</t>
        </is>
      </c>
      <c r="C555" s="11" t="inlineStr">
        <is>
          <t>FUR-DSK-004</t>
        </is>
      </c>
      <c r="D555" s="7" t="inlineStr">
        <is>
          <t>Metro Compact Corner Workstation</t>
        </is>
      </c>
      <c r="E555" s="7" t="inlineStr">
        <is>
          <t>Furniture</t>
        </is>
      </c>
      <c r="F555" s="7" t="inlineStr">
        <is>
          <t>Desks &amp; Workstations</t>
        </is>
      </c>
      <c r="G555" s="7" t="inlineStr">
        <is>
          <t>Central</t>
        </is>
      </c>
      <c r="H555" s="7" t="inlineStr">
        <is>
          <t>Ohio</t>
        </is>
      </c>
      <c r="I555" s="7" t="inlineStr">
        <is>
          <t>Online</t>
        </is>
      </c>
      <c r="J555" s="7" t="inlineStr">
        <is>
          <t>Consumer</t>
        </is>
      </c>
      <c r="K555" s="12" t="n">
        <v>2</v>
      </c>
      <c r="L555" s="9" t="n">
        <v>329.99</v>
      </c>
      <c r="M555" s="10" t="n">
        <v>0.15</v>
      </c>
      <c r="N555" s="9" t="n">
        <v>250.79</v>
      </c>
      <c r="O555" s="9">
        <f>K555*L555</f>
        <v/>
      </c>
      <c r="P555" s="9">
        <f>O555*M555</f>
        <v/>
      </c>
      <c r="Q555" s="9">
        <f>O555-P555</f>
        <v/>
      </c>
      <c r="R555" s="9">
        <f>K555*N555</f>
        <v/>
      </c>
      <c r="S555" s="9">
        <f>Q555-R555</f>
        <v/>
      </c>
      <c r="T555" s="10">
        <f>IFERROR(S555/Q555, 0)</f>
        <v/>
      </c>
    </row>
    <row r="556">
      <c r="A556" s="11" t="inlineStr">
        <is>
          <t>ORD-2024-1145</t>
        </is>
      </c>
      <c r="B556" s="11" t="inlineStr">
        <is>
          <t>2024-08-15</t>
        </is>
      </c>
      <c r="C556" s="11" t="inlineStr">
        <is>
          <t>OFF-ART-006</t>
        </is>
      </c>
      <c r="D556" s="7" t="inlineStr">
        <is>
          <t>Professional Presentation Dry Erase Board</t>
        </is>
      </c>
      <c r="E556" s="7" t="inlineStr">
        <is>
          <t>Office Supplies</t>
        </is>
      </c>
      <c r="F556" s="7" t="inlineStr">
        <is>
          <t>Presentation &amp; Art</t>
        </is>
      </c>
      <c r="G556" s="7" t="inlineStr">
        <is>
          <t>Central</t>
        </is>
      </c>
      <c r="H556" s="7" t="inlineStr">
        <is>
          <t>Ohio</t>
        </is>
      </c>
      <c r="I556" s="7" t="inlineStr">
        <is>
          <t>Online</t>
        </is>
      </c>
      <c r="J556" s="7" t="inlineStr">
        <is>
          <t>Consumer</t>
        </is>
      </c>
      <c r="K556" s="12" t="n">
        <v>1</v>
      </c>
      <c r="L556" s="9" t="n">
        <v>89.98999999999999</v>
      </c>
      <c r="M556" s="10" t="n">
        <v>0</v>
      </c>
      <c r="N556" s="9" t="n">
        <v>53.99</v>
      </c>
      <c r="O556" s="9">
        <f>K556*L556</f>
        <v/>
      </c>
      <c r="P556" s="9">
        <f>O556*M556</f>
        <v/>
      </c>
      <c r="Q556" s="9">
        <f>O556-P556</f>
        <v/>
      </c>
      <c r="R556" s="9">
        <f>K556*N556</f>
        <v/>
      </c>
      <c r="S556" s="9">
        <f>Q556-R556</f>
        <v/>
      </c>
      <c r="T556" s="10">
        <f>IFERROR(S556/Q556, 0)</f>
        <v/>
      </c>
    </row>
    <row r="557">
      <c r="A557" s="11" t="inlineStr">
        <is>
          <t>ORD-2024-1409</t>
        </is>
      </c>
      <c r="B557" s="11" t="inlineStr">
        <is>
          <t>2024-08-15</t>
        </is>
      </c>
      <c r="C557" s="11" t="inlineStr">
        <is>
          <t>OFF-STR-001</t>
        </is>
      </c>
      <c r="D557" s="7" t="inlineStr">
        <is>
          <t>SteelLock 3-Drawer File Cabinet</t>
        </is>
      </c>
      <c r="E557" s="7" t="inlineStr">
        <is>
          <t>Office Supplies</t>
        </is>
      </c>
      <c r="F557" s="7" t="inlineStr">
        <is>
          <t>Storage &amp; Organizers</t>
        </is>
      </c>
      <c r="G557" s="7" t="inlineStr">
        <is>
          <t>West</t>
        </is>
      </c>
      <c r="H557" s="7" t="inlineStr">
        <is>
          <t>Oregon</t>
        </is>
      </c>
      <c r="I557" s="7" t="inlineStr">
        <is>
          <t>Online</t>
        </is>
      </c>
      <c r="J557" s="7" t="inlineStr">
        <is>
          <t>Corporate</t>
        </is>
      </c>
      <c r="K557" s="12" t="n">
        <v>2</v>
      </c>
      <c r="L557" s="9" t="n">
        <v>169.99</v>
      </c>
      <c r="M557" s="10" t="n">
        <v>0.1</v>
      </c>
      <c r="N557" s="9" t="n">
        <v>115.59</v>
      </c>
      <c r="O557" s="9">
        <f>K557*L557</f>
        <v/>
      </c>
      <c r="P557" s="9">
        <f>O557*M557</f>
        <v/>
      </c>
      <c r="Q557" s="9">
        <f>O557-P557</f>
        <v/>
      </c>
      <c r="R557" s="9">
        <f>K557*N557</f>
        <v/>
      </c>
      <c r="S557" s="9">
        <f>Q557-R557</f>
        <v/>
      </c>
      <c r="T557" s="10">
        <f>IFERROR(S557/Q557, 0)</f>
        <v/>
      </c>
    </row>
    <row r="558">
      <c r="A558" s="11" t="inlineStr">
        <is>
          <t>ORD-2024-1514</t>
        </is>
      </c>
      <c r="B558" s="11" t="inlineStr">
        <is>
          <t>2024-08-15</t>
        </is>
      </c>
      <c r="C558" s="11" t="inlineStr">
        <is>
          <t>TEC-ACC-006</t>
        </is>
      </c>
      <c r="D558" s="7" t="inlineStr">
        <is>
          <t>MultiPort Thunderbolt 4 Dock</t>
        </is>
      </c>
      <c r="E558" s="7" t="inlineStr">
        <is>
          <t>Technology</t>
        </is>
      </c>
      <c r="F558" s="7" t="inlineStr">
        <is>
          <t>Audio &amp; Accessories</t>
        </is>
      </c>
      <c r="G558" s="7" t="inlineStr">
        <is>
          <t>Central</t>
        </is>
      </c>
      <c r="H558" s="7" t="inlineStr">
        <is>
          <t>Ohio</t>
        </is>
      </c>
      <c r="I558" s="7" t="inlineStr">
        <is>
          <t>Retail Partner</t>
        </is>
      </c>
      <c r="J558" s="7" t="inlineStr">
        <is>
          <t>Home Office</t>
        </is>
      </c>
      <c r="K558" s="12" t="n">
        <v>4</v>
      </c>
      <c r="L558" s="9" t="n">
        <v>149.99</v>
      </c>
      <c r="M558" s="10" t="n">
        <v>0</v>
      </c>
      <c r="N558" s="9" t="n">
        <v>98.98999999999999</v>
      </c>
      <c r="O558" s="9">
        <f>K558*L558</f>
        <v/>
      </c>
      <c r="P558" s="9">
        <f>O558*M558</f>
        <v/>
      </c>
      <c r="Q558" s="9">
        <f>O558-P558</f>
        <v/>
      </c>
      <c r="R558" s="9">
        <f>K558*N558</f>
        <v/>
      </c>
      <c r="S558" s="9">
        <f>Q558-R558</f>
        <v/>
      </c>
      <c r="T558" s="10">
        <f>IFERROR(S558/Q558, 0)</f>
        <v/>
      </c>
    </row>
    <row r="559">
      <c r="A559" s="11" t="inlineStr">
        <is>
          <t>ORD-2024-1654</t>
        </is>
      </c>
      <c r="B559" s="11" t="inlineStr">
        <is>
          <t>2024-08-15</t>
        </is>
      </c>
      <c r="C559" s="11" t="inlineStr">
        <is>
          <t>FUR-BOK-005</t>
        </is>
      </c>
      <c r="D559" s="7" t="inlineStr">
        <is>
          <t>Modular 5-Tier Steel Bookcase</t>
        </is>
      </c>
      <c r="E559" s="7" t="inlineStr">
        <is>
          <t>Furniture</t>
        </is>
      </c>
      <c r="F559" s="7" t="inlineStr">
        <is>
          <t>Bookcases</t>
        </is>
      </c>
      <c r="G559" s="7" t="inlineStr">
        <is>
          <t>West</t>
        </is>
      </c>
      <c r="H559" s="7" t="inlineStr">
        <is>
          <t>Colorado</t>
        </is>
      </c>
      <c r="I559" s="7" t="inlineStr">
        <is>
          <t>Direct Sales</t>
        </is>
      </c>
      <c r="J559" s="7" t="inlineStr">
        <is>
          <t>Consumer</t>
        </is>
      </c>
      <c r="K559" s="12" t="n">
        <v>1</v>
      </c>
      <c r="L559" s="9" t="n">
        <v>189.99</v>
      </c>
      <c r="M559" s="10" t="n">
        <v>0</v>
      </c>
      <c r="N559" s="9" t="n">
        <v>142.49</v>
      </c>
      <c r="O559" s="9">
        <f>K559*L559</f>
        <v/>
      </c>
      <c r="P559" s="9">
        <f>O559*M559</f>
        <v/>
      </c>
      <c r="Q559" s="9">
        <f>O559-P559</f>
        <v/>
      </c>
      <c r="R559" s="9">
        <f>K559*N559</f>
        <v/>
      </c>
      <c r="S559" s="9">
        <f>Q559-R559</f>
        <v/>
      </c>
      <c r="T559" s="10">
        <f>IFERROR(S559/Q559, 0)</f>
        <v/>
      </c>
    </row>
    <row r="560">
      <c r="A560" s="11" t="inlineStr">
        <is>
          <t>ORD-2024-1144</t>
        </is>
      </c>
      <c r="B560" s="11" t="inlineStr">
        <is>
          <t>2024-08-16</t>
        </is>
      </c>
      <c r="C560" s="11" t="inlineStr">
        <is>
          <t>OFF-BIN-005</t>
        </is>
      </c>
      <c r="D560" s="7" t="inlineStr">
        <is>
          <t>Heavy-Duty D-Ring Presentation Binder (6-Pk)</t>
        </is>
      </c>
      <c r="E560" s="7" t="inlineStr">
        <is>
          <t>Office Supplies</t>
        </is>
      </c>
      <c r="F560" s="7" t="inlineStr">
        <is>
          <t>Binders &amp; Fasteners</t>
        </is>
      </c>
      <c r="G560" s="7" t="inlineStr">
        <is>
          <t>South</t>
        </is>
      </c>
      <c r="H560" s="7" t="inlineStr">
        <is>
          <t>Florida</t>
        </is>
      </c>
      <c r="I560" s="7" t="inlineStr">
        <is>
          <t>Retail Partner</t>
        </is>
      </c>
      <c r="J560" s="7" t="inlineStr">
        <is>
          <t>Consumer</t>
        </is>
      </c>
      <c r="K560" s="12" t="n">
        <v>2</v>
      </c>
      <c r="L560" s="9" t="n">
        <v>27.99</v>
      </c>
      <c r="M560" s="10" t="n">
        <v>0</v>
      </c>
      <c r="N560" s="9" t="n">
        <v>13.99</v>
      </c>
      <c r="O560" s="9">
        <f>K560*L560</f>
        <v/>
      </c>
      <c r="P560" s="9">
        <f>O560*M560</f>
        <v/>
      </c>
      <c r="Q560" s="9">
        <f>O560-P560</f>
        <v/>
      </c>
      <c r="R560" s="9">
        <f>K560*N560</f>
        <v/>
      </c>
      <c r="S560" s="9">
        <f>Q560-R560</f>
        <v/>
      </c>
      <c r="T560" s="10">
        <f>IFERROR(S560/Q560, 0)</f>
        <v/>
      </c>
    </row>
    <row r="561">
      <c r="A561" s="11" t="inlineStr">
        <is>
          <t>ORD-2024-1725</t>
        </is>
      </c>
      <c r="B561" s="11" t="inlineStr">
        <is>
          <t>2024-08-17</t>
        </is>
      </c>
      <c r="C561" s="11" t="inlineStr">
        <is>
          <t>OFF-DSK-007</t>
        </is>
      </c>
      <c r="D561" s="7" t="inlineStr">
        <is>
          <t>Gel Ergo Mouse Pad &amp; Wrist Rest Combo</t>
        </is>
      </c>
      <c r="E561" s="7" t="inlineStr">
        <is>
          <t>Office Supplies</t>
        </is>
      </c>
      <c r="F561" s="7" t="inlineStr">
        <is>
          <t>Desk Supplies</t>
        </is>
      </c>
      <c r="G561" s="7" t="inlineStr">
        <is>
          <t>West</t>
        </is>
      </c>
      <c r="H561" s="7" t="inlineStr">
        <is>
          <t>Oregon</t>
        </is>
      </c>
      <c r="I561" s="7" t="inlineStr">
        <is>
          <t>Online</t>
        </is>
      </c>
      <c r="J561" s="7" t="inlineStr">
        <is>
          <t>Consumer</t>
        </is>
      </c>
      <c r="K561" s="12" t="n">
        <v>4</v>
      </c>
      <c r="L561" s="9" t="n">
        <v>21.99</v>
      </c>
      <c r="M561" s="10" t="n">
        <v>0.1</v>
      </c>
      <c r="N561" s="9" t="n">
        <v>10.56</v>
      </c>
      <c r="O561" s="9">
        <f>K561*L561</f>
        <v/>
      </c>
      <c r="P561" s="9">
        <f>O561*M561</f>
        <v/>
      </c>
      <c r="Q561" s="9">
        <f>O561-P561</f>
        <v/>
      </c>
      <c r="R561" s="9">
        <f>K561*N561</f>
        <v/>
      </c>
      <c r="S561" s="9">
        <f>Q561-R561</f>
        <v/>
      </c>
      <c r="T561" s="10">
        <f>IFERROR(S561/Q561, 0)</f>
        <v/>
      </c>
    </row>
    <row r="562">
      <c r="A562" s="11" t="inlineStr">
        <is>
          <t>ORD-2024-1725</t>
        </is>
      </c>
      <c r="B562" s="11" t="inlineStr">
        <is>
          <t>2024-08-17</t>
        </is>
      </c>
      <c r="C562" s="11" t="inlineStr">
        <is>
          <t>FUR-LGT-006</t>
        </is>
      </c>
      <c r="D562" s="7" t="inlineStr">
        <is>
          <t>Architect LED Desk Task Lamp</t>
        </is>
      </c>
      <c r="E562" s="7" t="inlineStr">
        <is>
          <t>Furniture</t>
        </is>
      </c>
      <c r="F562" s="7" t="inlineStr">
        <is>
          <t>Lighting</t>
        </is>
      </c>
      <c r="G562" s="7" t="inlineStr">
        <is>
          <t>West</t>
        </is>
      </c>
      <c r="H562" s="7" t="inlineStr">
        <is>
          <t>Oregon</t>
        </is>
      </c>
      <c r="I562" s="7" t="inlineStr">
        <is>
          <t>Online</t>
        </is>
      </c>
      <c r="J562" s="7" t="inlineStr">
        <is>
          <t>Consumer</t>
        </is>
      </c>
      <c r="K562" s="12" t="n">
        <v>4</v>
      </c>
      <c r="L562" s="9" t="n">
        <v>69.98999999999999</v>
      </c>
      <c r="M562" s="10" t="n">
        <v>0</v>
      </c>
      <c r="N562" s="9" t="n">
        <v>43.39</v>
      </c>
      <c r="O562" s="9">
        <f>K562*L562</f>
        <v/>
      </c>
      <c r="P562" s="9">
        <f>O562*M562</f>
        <v/>
      </c>
      <c r="Q562" s="9">
        <f>O562-P562</f>
        <v/>
      </c>
      <c r="R562" s="9">
        <f>K562*N562</f>
        <v/>
      </c>
      <c r="S562" s="9">
        <f>Q562-R562</f>
        <v/>
      </c>
      <c r="T562" s="10">
        <f>IFERROR(S562/Q562, 0)</f>
        <v/>
      </c>
    </row>
    <row r="563">
      <c r="A563" s="11" t="inlineStr">
        <is>
          <t>ORD-2024-1527</t>
        </is>
      </c>
      <c r="B563" s="11" t="inlineStr">
        <is>
          <t>2024-08-18</t>
        </is>
      </c>
      <c r="C563" s="11" t="inlineStr">
        <is>
          <t>OFF-DSK-008</t>
        </is>
      </c>
      <c r="D563" s="7" t="inlineStr">
        <is>
          <t>Steel Desktop Mesh Organizer Caddy</t>
        </is>
      </c>
      <c r="E563" s="7" t="inlineStr">
        <is>
          <t>Office Supplies</t>
        </is>
      </c>
      <c r="F563" s="7" t="inlineStr">
        <is>
          <t>Desk Supplies</t>
        </is>
      </c>
      <c r="G563" s="7" t="inlineStr">
        <is>
          <t>West</t>
        </is>
      </c>
      <c r="H563" s="7" t="inlineStr">
        <is>
          <t>Colorado</t>
        </is>
      </c>
      <c r="I563" s="7" t="inlineStr">
        <is>
          <t>Online</t>
        </is>
      </c>
      <c r="J563" s="7" t="inlineStr">
        <is>
          <t>Corporate</t>
        </is>
      </c>
      <c r="K563" s="12" t="n">
        <v>8</v>
      </c>
      <c r="L563" s="9" t="n">
        <v>18.99</v>
      </c>
      <c r="M563" s="10" t="n">
        <v>0.1</v>
      </c>
      <c r="N563" s="9" t="n">
        <v>8.550000000000001</v>
      </c>
      <c r="O563" s="9">
        <f>K563*L563</f>
        <v/>
      </c>
      <c r="P563" s="9">
        <f>O563*M563</f>
        <v/>
      </c>
      <c r="Q563" s="9">
        <f>O563-P563</f>
        <v/>
      </c>
      <c r="R563" s="9">
        <f>K563*N563</f>
        <v/>
      </c>
      <c r="S563" s="9">
        <f>Q563-R563</f>
        <v/>
      </c>
      <c r="T563" s="10">
        <f>IFERROR(S563/Q563, 0)</f>
        <v/>
      </c>
    </row>
    <row r="564">
      <c r="A564" s="11" t="inlineStr">
        <is>
          <t>ORD-2024-1326</t>
        </is>
      </c>
      <c r="B564" s="11" t="inlineStr">
        <is>
          <t>2024-08-19</t>
        </is>
      </c>
      <c r="C564" s="11" t="inlineStr">
        <is>
          <t>OFF-BIN-005</t>
        </is>
      </c>
      <c r="D564" s="7" t="inlineStr">
        <is>
          <t>Heavy-Duty D-Ring Presentation Binder (6-Pk)</t>
        </is>
      </c>
      <c r="E564" s="7" t="inlineStr">
        <is>
          <t>Office Supplies</t>
        </is>
      </c>
      <c r="F564" s="7" t="inlineStr">
        <is>
          <t>Binders &amp; Fasteners</t>
        </is>
      </c>
      <c r="G564" s="7" t="inlineStr">
        <is>
          <t>South</t>
        </is>
      </c>
      <c r="H564" s="7" t="inlineStr">
        <is>
          <t>Virginia</t>
        </is>
      </c>
      <c r="I564" s="7" t="inlineStr">
        <is>
          <t>Direct Sales</t>
        </is>
      </c>
      <c r="J564" s="7" t="inlineStr">
        <is>
          <t>Corporate</t>
        </is>
      </c>
      <c r="K564" s="12" t="n">
        <v>5</v>
      </c>
      <c r="L564" s="9" t="n">
        <v>27.99</v>
      </c>
      <c r="M564" s="10" t="n">
        <v>0.05</v>
      </c>
      <c r="N564" s="9" t="n">
        <v>13.99</v>
      </c>
      <c r="O564" s="9">
        <f>K564*L564</f>
        <v/>
      </c>
      <c r="P564" s="9">
        <f>O564*M564</f>
        <v/>
      </c>
      <c r="Q564" s="9">
        <f>O564-P564</f>
        <v/>
      </c>
      <c r="R564" s="9">
        <f>K564*N564</f>
        <v/>
      </c>
      <c r="S564" s="9">
        <f>Q564-R564</f>
        <v/>
      </c>
      <c r="T564" s="10">
        <f>IFERROR(S564/Q564, 0)</f>
        <v/>
      </c>
    </row>
    <row r="565">
      <c r="A565" s="11" t="inlineStr">
        <is>
          <t>ORD-2024-1357</t>
        </is>
      </c>
      <c r="B565" s="11" t="inlineStr">
        <is>
          <t>2024-08-19</t>
        </is>
      </c>
      <c r="C565" s="11" t="inlineStr">
        <is>
          <t>FUR-DSK-004</t>
        </is>
      </c>
      <c r="D565" s="7" t="inlineStr">
        <is>
          <t>Metro Compact Corner Workstation</t>
        </is>
      </c>
      <c r="E565" s="7" t="inlineStr">
        <is>
          <t>Furniture</t>
        </is>
      </c>
      <c r="F565" s="7" t="inlineStr">
        <is>
          <t>Desks &amp; Workstations</t>
        </is>
      </c>
      <c r="G565" s="7" t="inlineStr">
        <is>
          <t>Central</t>
        </is>
      </c>
      <c r="H565" s="7" t="inlineStr">
        <is>
          <t>Texas</t>
        </is>
      </c>
      <c r="I565" s="7" t="inlineStr">
        <is>
          <t>Wholesale</t>
        </is>
      </c>
      <c r="J565" s="7" t="inlineStr">
        <is>
          <t>Corporate</t>
        </is>
      </c>
      <c r="K565" s="12" t="n">
        <v>9</v>
      </c>
      <c r="L565" s="9" t="n">
        <v>329.99</v>
      </c>
      <c r="M565" s="10" t="n">
        <v>0.15</v>
      </c>
      <c r="N565" s="9" t="n">
        <v>250.79</v>
      </c>
      <c r="O565" s="9">
        <f>K565*L565</f>
        <v/>
      </c>
      <c r="P565" s="9">
        <f>O565*M565</f>
        <v/>
      </c>
      <c r="Q565" s="9">
        <f>O565-P565</f>
        <v/>
      </c>
      <c r="R565" s="9">
        <f>K565*N565</f>
        <v/>
      </c>
      <c r="S565" s="9">
        <f>Q565-R565</f>
        <v/>
      </c>
      <c r="T565" s="10">
        <f>IFERROR(S565/Q565, 0)</f>
        <v/>
      </c>
    </row>
    <row r="566">
      <c r="A566" s="11" t="inlineStr">
        <is>
          <t>ORD-2024-1428</t>
        </is>
      </c>
      <c r="B566" s="11" t="inlineStr">
        <is>
          <t>2024-08-20</t>
        </is>
      </c>
      <c r="C566" s="11" t="inlineStr">
        <is>
          <t>TEC-TAB-003</t>
        </is>
      </c>
      <c r="D566" s="7" t="inlineStr">
        <is>
          <t>VisionPad Pro 11"</t>
        </is>
      </c>
      <c r="E566" s="7" t="inlineStr">
        <is>
          <t>Technology</t>
        </is>
      </c>
      <c r="F566" s="7" t="inlineStr">
        <is>
          <t>Phones &amp; Tablets</t>
        </is>
      </c>
      <c r="G566" s="7" t="inlineStr">
        <is>
          <t>Central</t>
        </is>
      </c>
      <c r="H566" s="7" t="inlineStr">
        <is>
          <t>Illinois</t>
        </is>
      </c>
      <c r="I566" s="7" t="inlineStr">
        <is>
          <t>Direct Sales</t>
        </is>
      </c>
      <c r="J566" s="7" t="inlineStr">
        <is>
          <t>Consumer</t>
        </is>
      </c>
      <c r="K566" s="12" t="n">
        <v>3</v>
      </c>
      <c r="L566" s="9" t="n">
        <v>649.99</v>
      </c>
      <c r="M566" s="10" t="n">
        <v>0.1</v>
      </c>
      <c r="N566" s="9" t="n">
        <v>487.49</v>
      </c>
      <c r="O566" s="9">
        <f>K566*L566</f>
        <v/>
      </c>
      <c r="P566" s="9">
        <f>O566*M566</f>
        <v/>
      </c>
      <c r="Q566" s="9">
        <f>O566-P566</f>
        <v/>
      </c>
      <c r="R566" s="9">
        <f>K566*N566</f>
        <v/>
      </c>
      <c r="S566" s="9">
        <f>Q566-R566</f>
        <v/>
      </c>
      <c r="T566" s="10">
        <f>IFERROR(S566/Q566, 0)</f>
        <v/>
      </c>
    </row>
    <row r="567">
      <c r="A567" s="11" t="inlineStr">
        <is>
          <t>ORD-2024-1428</t>
        </is>
      </c>
      <c r="B567" s="11" t="inlineStr">
        <is>
          <t>2024-08-20</t>
        </is>
      </c>
      <c r="C567" s="11" t="inlineStr">
        <is>
          <t>FUR-BOK-005</t>
        </is>
      </c>
      <c r="D567" s="7" t="inlineStr">
        <is>
          <t>Modular 5-Tier Steel Bookcase</t>
        </is>
      </c>
      <c r="E567" s="7" t="inlineStr">
        <is>
          <t>Furniture</t>
        </is>
      </c>
      <c r="F567" s="7" t="inlineStr">
        <is>
          <t>Bookcases</t>
        </is>
      </c>
      <c r="G567" s="7" t="inlineStr">
        <is>
          <t>Central</t>
        </is>
      </c>
      <c r="H567" s="7" t="inlineStr">
        <is>
          <t>Illinois</t>
        </is>
      </c>
      <c r="I567" s="7" t="inlineStr">
        <is>
          <t>Direct Sales</t>
        </is>
      </c>
      <c r="J567" s="7" t="inlineStr">
        <is>
          <t>Consumer</t>
        </is>
      </c>
      <c r="K567" s="12" t="n">
        <v>4</v>
      </c>
      <c r="L567" s="9" t="n">
        <v>189.99</v>
      </c>
      <c r="M567" s="10" t="n">
        <v>0.05</v>
      </c>
      <c r="N567" s="9" t="n">
        <v>142.49</v>
      </c>
      <c r="O567" s="9">
        <f>K567*L567</f>
        <v/>
      </c>
      <c r="P567" s="9">
        <f>O567*M567</f>
        <v/>
      </c>
      <c r="Q567" s="9">
        <f>O567-P567</f>
        <v/>
      </c>
      <c r="R567" s="9">
        <f>K567*N567</f>
        <v/>
      </c>
      <c r="S567" s="9">
        <f>Q567-R567</f>
        <v/>
      </c>
      <c r="T567" s="10">
        <f>IFERROR(S567/Q567, 0)</f>
        <v/>
      </c>
    </row>
    <row r="568">
      <c r="A568" s="11" t="inlineStr">
        <is>
          <t>ORD-2024-1428</t>
        </is>
      </c>
      <c r="B568" s="11" t="inlineStr">
        <is>
          <t>2024-08-20</t>
        </is>
      </c>
      <c r="C568" s="11" t="inlineStr">
        <is>
          <t>OFF-PAP-003</t>
        </is>
      </c>
      <c r="D568" s="7" t="inlineStr">
        <is>
          <t>UltraWhite Premium Multipurpose Paper (Case)</t>
        </is>
      </c>
      <c r="E568" s="7" t="inlineStr">
        <is>
          <t>Office Supplies</t>
        </is>
      </c>
      <c r="F568" s="7" t="inlineStr">
        <is>
          <t>Paper Products</t>
        </is>
      </c>
      <c r="G568" s="7" t="inlineStr">
        <is>
          <t>Central</t>
        </is>
      </c>
      <c r="H568" s="7" t="inlineStr">
        <is>
          <t>Illinois</t>
        </is>
      </c>
      <c r="I568" s="7" t="inlineStr">
        <is>
          <t>Direct Sales</t>
        </is>
      </c>
      <c r="J568" s="7" t="inlineStr">
        <is>
          <t>Consumer</t>
        </is>
      </c>
      <c r="K568" s="12" t="n">
        <v>4</v>
      </c>
      <c r="L568" s="9" t="n">
        <v>54.99</v>
      </c>
      <c r="M568" s="10" t="n">
        <v>0.15</v>
      </c>
      <c r="N568" s="9" t="n">
        <v>31.89</v>
      </c>
      <c r="O568" s="9">
        <f>K568*L568</f>
        <v/>
      </c>
      <c r="P568" s="9">
        <f>O568*M568</f>
        <v/>
      </c>
      <c r="Q568" s="9">
        <f>O568-P568</f>
        <v/>
      </c>
      <c r="R568" s="9">
        <f>K568*N568</f>
        <v/>
      </c>
      <c r="S568" s="9">
        <f>Q568-R568</f>
        <v/>
      </c>
      <c r="T568" s="10">
        <f>IFERROR(S568/Q568, 0)</f>
        <v/>
      </c>
    </row>
    <row r="569">
      <c r="A569" s="11" t="inlineStr">
        <is>
          <t>ORD-2024-1077</t>
        </is>
      </c>
      <c r="B569" s="11" t="inlineStr">
        <is>
          <t>2024-08-21</t>
        </is>
      </c>
      <c r="C569" s="11" t="inlineStr">
        <is>
          <t>OFF-PAP-003</t>
        </is>
      </c>
      <c r="D569" s="7" t="inlineStr">
        <is>
          <t>UltraWhite Premium Multipurpose Paper (Case)</t>
        </is>
      </c>
      <c r="E569" s="7" t="inlineStr">
        <is>
          <t>Office Supplies</t>
        </is>
      </c>
      <c r="F569" s="7" t="inlineStr">
        <is>
          <t>Paper Products</t>
        </is>
      </c>
      <c r="G569" s="7" t="inlineStr">
        <is>
          <t>East</t>
        </is>
      </c>
      <c r="H569" s="7" t="inlineStr">
        <is>
          <t>Massachusetts</t>
        </is>
      </c>
      <c r="I569" s="7" t="inlineStr">
        <is>
          <t>Direct Sales</t>
        </is>
      </c>
      <c r="J569" s="7" t="inlineStr">
        <is>
          <t>Consumer</t>
        </is>
      </c>
      <c r="K569" s="12" t="n">
        <v>4</v>
      </c>
      <c r="L569" s="9" t="n">
        <v>54.99</v>
      </c>
      <c r="M569" s="10" t="n">
        <v>0.15</v>
      </c>
      <c r="N569" s="9" t="n">
        <v>31.89</v>
      </c>
      <c r="O569" s="9">
        <f>K569*L569</f>
        <v/>
      </c>
      <c r="P569" s="9">
        <f>O569*M569</f>
        <v/>
      </c>
      <c r="Q569" s="9">
        <f>O569-P569</f>
        <v/>
      </c>
      <c r="R569" s="9">
        <f>K569*N569</f>
        <v/>
      </c>
      <c r="S569" s="9">
        <f>Q569-R569</f>
        <v/>
      </c>
      <c r="T569" s="10">
        <f>IFERROR(S569/Q569, 0)</f>
        <v/>
      </c>
    </row>
    <row r="570">
      <c r="A570" s="11" t="inlineStr">
        <is>
          <t>ORD-2024-1077</t>
        </is>
      </c>
      <c r="B570" s="11" t="inlineStr">
        <is>
          <t>2024-08-21</t>
        </is>
      </c>
      <c r="C570" s="11" t="inlineStr">
        <is>
          <t>FUR-CHA-001</t>
        </is>
      </c>
      <c r="D570" s="7" t="inlineStr">
        <is>
          <t>ErgoFlex Executive Mesh Chair</t>
        </is>
      </c>
      <c r="E570" s="7" t="inlineStr">
        <is>
          <t>Furniture</t>
        </is>
      </c>
      <c r="F570" s="7" t="inlineStr">
        <is>
          <t>Chairs</t>
        </is>
      </c>
      <c r="G570" s="7" t="inlineStr">
        <is>
          <t>East</t>
        </is>
      </c>
      <c r="H570" s="7" t="inlineStr">
        <is>
          <t>Massachusetts</t>
        </is>
      </c>
      <c r="I570" s="7" t="inlineStr">
        <is>
          <t>Direct Sales</t>
        </is>
      </c>
      <c r="J570" s="7" t="inlineStr">
        <is>
          <t>Consumer</t>
        </is>
      </c>
      <c r="K570" s="12" t="n">
        <v>1</v>
      </c>
      <c r="L570" s="9" t="n">
        <v>389.99</v>
      </c>
      <c r="M570" s="10" t="n">
        <v>0.15</v>
      </c>
      <c r="N570" s="9" t="n">
        <v>331.49</v>
      </c>
      <c r="O570" s="9">
        <f>K570*L570</f>
        <v/>
      </c>
      <c r="P570" s="9">
        <f>O570*M570</f>
        <v/>
      </c>
      <c r="Q570" s="9">
        <f>O570-P570</f>
        <v/>
      </c>
      <c r="R570" s="9">
        <f>K570*N570</f>
        <v/>
      </c>
      <c r="S570" s="9">
        <f>Q570-R570</f>
        <v/>
      </c>
      <c r="T570" s="10">
        <f>IFERROR(S570/Q570, 0)</f>
        <v/>
      </c>
    </row>
    <row r="571">
      <c r="A571" s="11" t="inlineStr">
        <is>
          <t>ORD-2024-1077</t>
        </is>
      </c>
      <c r="B571" s="11" t="inlineStr">
        <is>
          <t>2024-08-21</t>
        </is>
      </c>
      <c r="C571" s="11" t="inlineStr">
        <is>
          <t>TEC-TAB-003</t>
        </is>
      </c>
      <c r="D571" s="7" t="inlineStr">
        <is>
          <t>VisionPad Pro 11"</t>
        </is>
      </c>
      <c r="E571" s="7" t="inlineStr">
        <is>
          <t>Technology</t>
        </is>
      </c>
      <c r="F571" s="7" t="inlineStr">
        <is>
          <t>Phones &amp; Tablets</t>
        </is>
      </c>
      <c r="G571" s="7" t="inlineStr">
        <is>
          <t>East</t>
        </is>
      </c>
      <c r="H571" s="7" t="inlineStr">
        <is>
          <t>Massachusetts</t>
        </is>
      </c>
      <c r="I571" s="7" t="inlineStr">
        <is>
          <t>Direct Sales</t>
        </is>
      </c>
      <c r="J571" s="7" t="inlineStr">
        <is>
          <t>Consumer</t>
        </is>
      </c>
      <c r="K571" s="12" t="n">
        <v>4</v>
      </c>
      <c r="L571" s="9" t="n">
        <v>649.99</v>
      </c>
      <c r="M571" s="10" t="n">
        <v>0</v>
      </c>
      <c r="N571" s="9" t="n">
        <v>487.49</v>
      </c>
      <c r="O571" s="9">
        <f>K571*L571</f>
        <v/>
      </c>
      <c r="P571" s="9">
        <f>O571*M571</f>
        <v/>
      </c>
      <c r="Q571" s="9">
        <f>O571-P571</f>
        <v/>
      </c>
      <c r="R571" s="9">
        <f>K571*N571</f>
        <v/>
      </c>
      <c r="S571" s="9">
        <f>Q571-R571</f>
        <v/>
      </c>
      <c r="T571" s="10">
        <f>IFERROR(S571/Q571, 0)</f>
        <v/>
      </c>
    </row>
    <row r="572">
      <c r="A572" s="11" t="inlineStr">
        <is>
          <t>ORD-2024-1345</t>
        </is>
      </c>
      <c r="B572" s="11" t="inlineStr">
        <is>
          <t>2024-08-21</t>
        </is>
      </c>
      <c r="C572" s="11" t="inlineStr">
        <is>
          <t>OFF-ART-006</t>
        </is>
      </c>
      <c r="D572" s="7" t="inlineStr">
        <is>
          <t>Professional Presentation Dry Erase Board</t>
        </is>
      </c>
      <c r="E572" s="7" t="inlineStr">
        <is>
          <t>Office Supplies</t>
        </is>
      </c>
      <c r="F572" s="7" t="inlineStr">
        <is>
          <t>Presentation &amp; Art</t>
        </is>
      </c>
      <c r="G572" s="7" t="inlineStr">
        <is>
          <t>East</t>
        </is>
      </c>
      <c r="H572" s="7" t="inlineStr">
        <is>
          <t>New York</t>
        </is>
      </c>
      <c r="I572" s="7" t="inlineStr">
        <is>
          <t>Wholesale</t>
        </is>
      </c>
      <c r="J572" s="7" t="inlineStr">
        <is>
          <t>Consumer</t>
        </is>
      </c>
      <c r="K572" s="12" t="n">
        <v>14</v>
      </c>
      <c r="L572" s="9" t="n">
        <v>89.98999999999999</v>
      </c>
      <c r="M572" s="10" t="n">
        <v>0.1</v>
      </c>
      <c r="N572" s="9" t="n">
        <v>53.99</v>
      </c>
      <c r="O572" s="9">
        <f>K572*L572</f>
        <v/>
      </c>
      <c r="P572" s="9">
        <f>O572*M572</f>
        <v/>
      </c>
      <c r="Q572" s="9">
        <f>O572-P572</f>
        <v/>
      </c>
      <c r="R572" s="9">
        <f>K572*N572</f>
        <v/>
      </c>
      <c r="S572" s="9">
        <f>Q572-R572</f>
        <v/>
      </c>
      <c r="T572" s="10">
        <f>IFERROR(S572/Q572, 0)</f>
        <v/>
      </c>
    </row>
    <row r="573">
      <c r="A573" s="11" t="inlineStr">
        <is>
          <t>ORD-2024-1704</t>
        </is>
      </c>
      <c r="B573" s="11" t="inlineStr">
        <is>
          <t>2024-08-21</t>
        </is>
      </c>
      <c r="C573" s="11" t="inlineStr">
        <is>
          <t>TEC-TAB-004</t>
        </is>
      </c>
      <c r="D573" s="7" t="inlineStr">
        <is>
          <t>VisionPad Lite 8.5"</t>
        </is>
      </c>
      <c r="E573" s="7" t="inlineStr">
        <is>
          <t>Technology</t>
        </is>
      </c>
      <c r="F573" s="7" t="inlineStr">
        <is>
          <t>Phones &amp; Tablets</t>
        </is>
      </c>
      <c r="G573" s="7" t="inlineStr">
        <is>
          <t>East</t>
        </is>
      </c>
      <c r="H573" s="7" t="inlineStr">
        <is>
          <t>New York</t>
        </is>
      </c>
      <c r="I573" s="7" t="inlineStr">
        <is>
          <t>Online</t>
        </is>
      </c>
      <c r="J573" s="7" t="inlineStr">
        <is>
          <t>Corporate</t>
        </is>
      </c>
      <c r="K573" s="12" t="n">
        <v>2</v>
      </c>
      <c r="L573" s="9" t="n">
        <v>299.99</v>
      </c>
      <c r="M573" s="10" t="n">
        <v>0</v>
      </c>
      <c r="N573" s="9" t="n">
        <v>245.99</v>
      </c>
      <c r="O573" s="9">
        <f>K573*L573</f>
        <v/>
      </c>
      <c r="P573" s="9">
        <f>O573*M573</f>
        <v/>
      </c>
      <c r="Q573" s="9">
        <f>O573-P573</f>
        <v/>
      </c>
      <c r="R573" s="9">
        <f>K573*N573</f>
        <v/>
      </c>
      <c r="S573" s="9">
        <f>Q573-R573</f>
        <v/>
      </c>
      <c r="T573" s="10">
        <f>IFERROR(S573/Q573, 0)</f>
        <v/>
      </c>
    </row>
    <row r="574">
      <c r="A574" s="11" t="inlineStr">
        <is>
          <t>ORD-2024-1235</t>
        </is>
      </c>
      <c r="B574" s="11" t="inlineStr">
        <is>
          <t>2024-08-22</t>
        </is>
      </c>
      <c r="C574" s="11" t="inlineStr">
        <is>
          <t>TEC-ACC-008</t>
        </is>
      </c>
      <c r="D574" s="7" t="inlineStr">
        <is>
          <t>Precision Laser Bluetooth Mouse</t>
        </is>
      </c>
      <c r="E574" s="7" t="inlineStr">
        <is>
          <t>Technology</t>
        </is>
      </c>
      <c r="F574" s="7" t="inlineStr">
        <is>
          <t>Audio &amp; Accessories</t>
        </is>
      </c>
      <c r="G574" s="7" t="inlineStr">
        <is>
          <t>East</t>
        </is>
      </c>
      <c r="H574" s="7" t="inlineStr">
        <is>
          <t>Massachusetts</t>
        </is>
      </c>
      <c r="I574" s="7" t="inlineStr">
        <is>
          <t>Retail Partner</t>
        </is>
      </c>
      <c r="J574" s="7" t="inlineStr">
        <is>
          <t>Corporate</t>
        </is>
      </c>
      <c r="K574" s="12" t="n">
        <v>7</v>
      </c>
      <c r="L574" s="9" t="n">
        <v>49.99</v>
      </c>
      <c r="M574" s="10" t="n">
        <v>0</v>
      </c>
      <c r="N574" s="9" t="n">
        <v>27.49</v>
      </c>
      <c r="O574" s="9">
        <f>K574*L574</f>
        <v/>
      </c>
      <c r="P574" s="9">
        <f>O574*M574</f>
        <v/>
      </c>
      <c r="Q574" s="9">
        <f>O574-P574</f>
        <v/>
      </c>
      <c r="R574" s="9">
        <f>K574*N574</f>
        <v/>
      </c>
      <c r="S574" s="9">
        <f>Q574-R574</f>
        <v/>
      </c>
      <c r="T574" s="10">
        <f>IFERROR(S574/Q574, 0)</f>
        <v/>
      </c>
    </row>
    <row r="575">
      <c r="A575" s="11" t="inlineStr">
        <is>
          <t>ORD-2024-1407</t>
        </is>
      </c>
      <c r="B575" s="11" t="inlineStr">
        <is>
          <t>2024-08-22</t>
        </is>
      </c>
      <c r="C575" s="11" t="inlineStr">
        <is>
          <t>FUR-CHA-002</t>
        </is>
      </c>
      <c r="D575" s="7" t="inlineStr">
        <is>
          <t>AeroTask Operator Task Chair</t>
        </is>
      </c>
      <c r="E575" s="7" t="inlineStr">
        <is>
          <t>Furniture</t>
        </is>
      </c>
      <c r="F575" s="7" t="inlineStr">
        <is>
          <t>Chairs</t>
        </is>
      </c>
      <c r="G575" s="7" t="inlineStr">
        <is>
          <t>West</t>
        </is>
      </c>
      <c r="H575" s="7" t="inlineStr">
        <is>
          <t>Oregon</t>
        </is>
      </c>
      <c r="I575" s="7" t="inlineStr">
        <is>
          <t>Retail Partner</t>
        </is>
      </c>
      <c r="J575" s="7" t="inlineStr">
        <is>
          <t>Consumer</t>
        </is>
      </c>
      <c r="K575" s="12" t="n">
        <v>4</v>
      </c>
      <c r="L575" s="9" t="n">
        <v>219.99</v>
      </c>
      <c r="M575" s="10" t="n">
        <v>0</v>
      </c>
      <c r="N575" s="9" t="n">
        <v>171.59</v>
      </c>
      <c r="O575" s="9">
        <f>K575*L575</f>
        <v/>
      </c>
      <c r="P575" s="9">
        <f>O575*M575</f>
        <v/>
      </c>
      <c r="Q575" s="9">
        <f>O575-P575</f>
        <v/>
      </c>
      <c r="R575" s="9">
        <f>K575*N575</f>
        <v/>
      </c>
      <c r="S575" s="9">
        <f>Q575-R575</f>
        <v/>
      </c>
      <c r="T575" s="10">
        <f>IFERROR(S575/Q575, 0)</f>
        <v/>
      </c>
    </row>
    <row r="576">
      <c r="A576" s="11" t="inlineStr">
        <is>
          <t>ORD-2024-1688</t>
        </is>
      </c>
      <c r="B576" s="11" t="inlineStr">
        <is>
          <t>2024-08-23</t>
        </is>
      </c>
      <c r="C576" s="11" t="inlineStr">
        <is>
          <t>TEC-ACC-008</t>
        </is>
      </c>
      <c r="D576" s="7" t="inlineStr">
        <is>
          <t>Precision Laser Bluetooth Mouse</t>
        </is>
      </c>
      <c r="E576" s="7" t="inlineStr">
        <is>
          <t>Technology</t>
        </is>
      </c>
      <c r="F576" s="7" t="inlineStr">
        <is>
          <t>Audio &amp; Accessories</t>
        </is>
      </c>
      <c r="G576" s="7" t="inlineStr">
        <is>
          <t>East</t>
        </is>
      </c>
      <c r="H576" s="7" t="inlineStr">
        <is>
          <t>Massachusetts</t>
        </is>
      </c>
      <c r="I576" s="7" t="inlineStr">
        <is>
          <t>Retail Partner</t>
        </is>
      </c>
      <c r="J576" s="7" t="inlineStr">
        <is>
          <t>Consumer</t>
        </is>
      </c>
      <c r="K576" s="12" t="n">
        <v>4</v>
      </c>
      <c r="L576" s="9" t="n">
        <v>49.99</v>
      </c>
      <c r="M576" s="10" t="n">
        <v>0</v>
      </c>
      <c r="N576" s="9" t="n">
        <v>27.49</v>
      </c>
      <c r="O576" s="9">
        <f>K576*L576</f>
        <v/>
      </c>
      <c r="P576" s="9">
        <f>O576*M576</f>
        <v/>
      </c>
      <c r="Q576" s="9">
        <f>O576-P576</f>
        <v/>
      </c>
      <c r="R576" s="9">
        <f>K576*N576</f>
        <v/>
      </c>
      <c r="S576" s="9">
        <f>Q576-R576</f>
        <v/>
      </c>
      <c r="T576" s="10">
        <f>IFERROR(S576/Q576, 0)</f>
        <v/>
      </c>
    </row>
    <row r="577">
      <c r="A577" s="11" t="inlineStr">
        <is>
          <t>ORD-2024-1130</t>
        </is>
      </c>
      <c r="B577" s="11" t="inlineStr">
        <is>
          <t>2024-08-24</t>
        </is>
      </c>
      <c r="C577" s="11" t="inlineStr">
        <is>
          <t>OFF-STR-002</t>
        </is>
      </c>
      <c r="D577" s="7" t="inlineStr">
        <is>
          <t>Stackable Heavy-Duty Storage Bins (4-Pk)</t>
        </is>
      </c>
      <c r="E577" s="7" t="inlineStr">
        <is>
          <t>Office Supplies</t>
        </is>
      </c>
      <c r="F577" s="7" t="inlineStr">
        <is>
          <t>Storage &amp; Organizers</t>
        </is>
      </c>
      <c r="G577" s="7" t="inlineStr">
        <is>
          <t>East</t>
        </is>
      </c>
      <c r="H577" s="7" t="inlineStr">
        <is>
          <t>Pennsylvania</t>
        </is>
      </c>
      <c r="I577" s="7" t="inlineStr">
        <is>
          <t>Wholesale</t>
        </is>
      </c>
      <c r="J577" s="7" t="inlineStr">
        <is>
          <t>Consumer</t>
        </is>
      </c>
      <c r="K577" s="12" t="n">
        <v>8</v>
      </c>
      <c r="L577" s="9" t="n">
        <v>44.99</v>
      </c>
      <c r="M577" s="10" t="n">
        <v>0.15</v>
      </c>
      <c r="N577" s="9" t="n">
        <v>24.74</v>
      </c>
      <c r="O577" s="9">
        <f>K577*L577</f>
        <v/>
      </c>
      <c r="P577" s="9">
        <f>O577*M577</f>
        <v/>
      </c>
      <c r="Q577" s="9">
        <f>O577-P577</f>
        <v/>
      </c>
      <c r="R577" s="9">
        <f>K577*N577</f>
        <v/>
      </c>
      <c r="S577" s="9">
        <f>Q577-R577</f>
        <v/>
      </c>
      <c r="T577" s="10">
        <f>IFERROR(S577/Q577, 0)</f>
        <v/>
      </c>
    </row>
    <row r="578">
      <c r="A578" s="11" t="inlineStr">
        <is>
          <t>ORD-2024-1429</t>
        </is>
      </c>
      <c r="B578" s="11" t="inlineStr">
        <is>
          <t>2024-08-25</t>
        </is>
      </c>
      <c r="C578" s="11" t="inlineStr">
        <is>
          <t>OFF-BIN-005</t>
        </is>
      </c>
      <c r="D578" s="7" t="inlineStr">
        <is>
          <t>Heavy-Duty D-Ring Presentation Binder (6-Pk)</t>
        </is>
      </c>
      <c r="E578" s="7" t="inlineStr">
        <is>
          <t>Office Supplies</t>
        </is>
      </c>
      <c r="F578" s="7" t="inlineStr">
        <is>
          <t>Binders &amp; Fasteners</t>
        </is>
      </c>
      <c r="G578" s="7" t="inlineStr">
        <is>
          <t>South</t>
        </is>
      </c>
      <c r="H578" s="7" t="inlineStr">
        <is>
          <t>Virginia</t>
        </is>
      </c>
      <c r="I578" s="7" t="inlineStr">
        <is>
          <t>Online</t>
        </is>
      </c>
      <c r="J578" s="7" t="inlineStr">
        <is>
          <t>Consumer</t>
        </is>
      </c>
      <c r="K578" s="12" t="n">
        <v>1</v>
      </c>
      <c r="L578" s="9" t="n">
        <v>27.99</v>
      </c>
      <c r="M578" s="10" t="n">
        <v>0</v>
      </c>
      <c r="N578" s="9" t="n">
        <v>13.99</v>
      </c>
      <c r="O578" s="9">
        <f>K578*L578</f>
        <v/>
      </c>
      <c r="P578" s="9">
        <f>O578*M578</f>
        <v/>
      </c>
      <c r="Q578" s="9">
        <f>O578-P578</f>
        <v/>
      </c>
      <c r="R578" s="9">
        <f>K578*N578</f>
        <v/>
      </c>
      <c r="S578" s="9">
        <f>Q578-R578</f>
        <v/>
      </c>
      <c r="T578" s="10">
        <f>IFERROR(S578/Q578, 0)</f>
        <v/>
      </c>
    </row>
    <row r="579">
      <c r="A579" s="11" t="inlineStr">
        <is>
          <t>ORD-2024-1329</t>
        </is>
      </c>
      <c r="B579" s="11" t="inlineStr">
        <is>
          <t>2024-08-27</t>
        </is>
      </c>
      <c r="C579" s="11" t="inlineStr">
        <is>
          <t>TEC-TAB-003</t>
        </is>
      </c>
      <c r="D579" s="7" t="inlineStr">
        <is>
          <t>VisionPad Pro 11"</t>
        </is>
      </c>
      <c r="E579" s="7" t="inlineStr">
        <is>
          <t>Technology</t>
        </is>
      </c>
      <c r="F579" s="7" t="inlineStr">
        <is>
          <t>Phones &amp; Tablets</t>
        </is>
      </c>
      <c r="G579" s="7" t="inlineStr">
        <is>
          <t>West</t>
        </is>
      </c>
      <c r="H579" s="7" t="inlineStr">
        <is>
          <t>Oregon</t>
        </is>
      </c>
      <c r="I579" s="7" t="inlineStr">
        <is>
          <t>Retail Partner</t>
        </is>
      </c>
      <c r="J579" s="7" t="inlineStr">
        <is>
          <t>Corporate</t>
        </is>
      </c>
      <c r="K579" s="12" t="n">
        <v>5</v>
      </c>
      <c r="L579" s="9" t="n">
        <v>649.99</v>
      </c>
      <c r="M579" s="10" t="n">
        <v>0.1</v>
      </c>
      <c r="N579" s="9" t="n">
        <v>487.49</v>
      </c>
      <c r="O579" s="9">
        <f>K579*L579</f>
        <v/>
      </c>
      <c r="P579" s="9">
        <f>O579*M579</f>
        <v/>
      </c>
      <c r="Q579" s="9">
        <f>O579-P579</f>
        <v/>
      </c>
      <c r="R579" s="9">
        <f>K579*N579</f>
        <v/>
      </c>
      <c r="S579" s="9">
        <f>Q579-R579</f>
        <v/>
      </c>
      <c r="T579" s="10">
        <f>IFERROR(S579/Q579, 0)</f>
        <v/>
      </c>
    </row>
    <row r="580">
      <c r="A580" s="11" t="inlineStr">
        <is>
          <t>ORD-2024-1462</t>
        </is>
      </c>
      <c r="B580" s="11" t="inlineStr">
        <is>
          <t>2024-08-27</t>
        </is>
      </c>
      <c r="C580" s="11" t="inlineStr">
        <is>
          <t>TEC-ACC-005</t>
        </is>
      </c>
      <c r="D580" s="7" t="inlineStr">
        <is>
          <t>UltraWireless Noise-Canceling Headset</t>
        </is>
      </c>
      <c r="E580" s="7" t="inlineStr">
        <is>
          <t>Technology</t>
        </is>
      </c>
      <c r="F580" s="7" t="inlineStr">
        <is>
          <t>Audio &amp; Accessories</t>
        </is>
      </c>
      <c r="G580" s="7" t="inlineStr">
        <is>
          <t>East</t>
        </is>
      </c>
      <c r="H580" s="7" t="inlineStr">
        <is>
          <t>New York</t>
        </is>
      </c>
      <c r="I580" s="7" t="inlineStr">
        <is>
          <t>Wholesale</t>
        </is>
      </c>
      <c r="J580" s="7" t="inlineStr">
        <is>
          <t>Home Office</t>
        </is>
      </c>
      <c r="K580" s="12" t="n">
        <v>6</v>
      </c>
      <c r="L580" s="9" t="n">
        <v>179.99</v>
      </c>
      <c r="M580" s="10" t="n">
        <v>0.15</v>
      </c>
      <c r="N580" s="9" t="n">
        <v>111.59</v>
      </c>
      <c r="O580" s="9">
        <f>K580*L580</f>
        <v/>
      </c>
      <c r="P580" s="9">
        <f>O580*M580</f>
        <v/>
      </c>
      <c r="Q580" s="9">
        <f>O580-P580</f>
        <v/>
      </c>
      <c r="R580" s="9">
        <f>K580*N580</f>
        <v/>
      </c>
      <c r="S580" s="9">
        <f>Q580-R580</f>
        <v/>
      </c>
      <c r="T580" s="10">
        <f>IFERROR(S580/Q580, 0)</f>
        <v/>
      </c>
    </row>
    <row r="581">
      <c r="A581" s="11" t="inlineStr">
        <is>
          <t>ORD-2024-1575</t>
        </is>
      </c>
      <c r="B581" s="11" t="inlineStr">
        <is>
          <t>2024-08-27</t>
        </is>
      </c>
      <c r="C581" s="11" t="inlineStr">
        <is>
          <t>OFF-DSK-008</t>
        </is>
      </c>
      <c r="D581" s="7" t="inlineStr">
        <is>
          <t>Steel Desktop Mesh Organizer Caddy</t>
        </is>
      </c>
      <c r="E581" s="7" t="inlineStr">
        <is>
          <t>Office Supplies</t>
        </is>
      </c>
      <c r="F581" s="7" t="inlineStr">
        <is>
          <t>Desk Supplies</t>
        </is>
      </c>
      <c r="G581" s="7" t="inlineStr">
        <is>
          <t>East</t>
        </is>
      </c>
      <c r="H581" s="7" t="inlineStr">
        <is>
          <t>New York</t>
        </is>
      </c>
      <c r="I581" s="7" t="inlineStr">
        <is>
          <t>Online</t>
        </is>
      </c>
      <c r="J581" s="7" t="inlineStr">
        <is>
          <t>Consumer</t>
        </is>
      </c>
      <c r="K581" s="12" t="n">
        <v>1</v>
      </c>
      <c r="L581" s="9" t="n">
        <v>18.99</v>
      </c>
      <c r="M581" s="10" t="n">
        <v>0</v>
      </c>
      <c r="N581" s="9" t="n">
        <v>8.550000000000001</v>
      </c>
      <c r="O581" s="9">
        <f>K581*L581</f>
        <v/>
      </c>
      <c r="P581" s="9">
        <f>O581*M581</f>
        <v/>
      </c>
      <c r="Q581" s="9">
        <f>O581-P581</f>
        <v/>
      </c>
      <c r="R581" s="9">
        <f>K581*N581</f>
        <v/>
      </c>
      <c r="S581" s="9">
        <f>Q581-R581</f>
        <v/>
      </c>
      <c r="T581" s="10">
        <f>IFERROR(S581/Q581, 0)</f>
        <v/>
      </c>
    </row>
    <row r="582">
      <c r="A582" s="11" t="inlineStr">
        <is>
          <t>ORD-2024-1054</t>
        </is>
      </c>
      <c r="B582" s="11" t="inlineStr">
        <is>
          <t>2024-08-28</t>
        </is>
      </c>
      <c r="C582" s="11" t="inlineStr">
        <is>
          <t>TEC-ACC-008</t>
        </is>
      </c>
      <c r="D582" s="7" t="inlineStr">
        <is>
          <t>Precision Laser Bluetooth Mouse</t>
        </is>
      </c>
      <c r="E582" s="7" t="inlineStr">
        <is>
          <t>Technology</t>
        </is>
      </c>
      <c r="F582" s="7" t="inlineStr">
        <is>
          <t>Audio &amp; Accessories</t>
        </is>
      </c>
      <c r="G582" s="7" t="inlineStr">
        <is>
          <t>West</t>
        </is>
      </c>
      <c r="H582" s="7" t="inlineStr">
        <is>
          <t>California</t>
        </is>
      </c>
      <c r="I582" s="7" t="inlineStr">
        <is>
          <t>Direct Sales</t>
        </is>
      </c>
      <c r="J582" s="7" t="inlineStr">
        <is>
          <t>Consumer</t>
        </is>
      </c>
      <c r="K582" s="12" t="n">
        <v>2</v>
      </c>
      <c r="L582" s="9" t="n">
        <v>49.99</v>
      </c>
      <c r="M582" s="10" t="n">
        <v>0.05</v>
      </c>
      <c r="N582" s="9" t="n">
        <v>27.49</v>
      </c>
      <c r="O582" s="9">
        <f>K582*L582</f>
        <v/>
      </c>
      <c r="P582" s="9">
        <f>O582*M582</f>
        <v/>
      </c>
      <c r="Q582" s="9">
        <f>O582-P582</f>
        <v/>
      </c>
      <c r="R582" s="9">
        <f>K582*N582</f>
        <v/>
      </c>
      <c r="S582" s="9">
        <f>Q582-R582</f>
        <v/>
      </c>
      <c r="T582" s="10">
        <f>IFERROR(S582/Q582, 0)</f>
        <v/>
      </c>
    </row>
    <row r="583">
      <c r="A583" s="11" t="inlineStr">
        <is>
          <t>ORD-2024-1037</t>
        </is>
      </c>
      <c r="B583" s="11" t="inlineStr">
        <is>
          <t>2024-08-29</t>
        </is>
      </c>
      <c r="C583" s="11" t="inlineStr">
        <is>
          <t>TEC-ACC-008</t>
        </is>
      </c>
      <c r="D583" s="7" t="inlineStr">
        <is>
          <t>Precision Laser Bluetooth Mouse</t>
        </is>
      </c>
      <c r="E583" s="7" t="inlineStr">
        <is>
          <t>Technology</t>
        </is>
      </c>
      <c r="F583" s="7" t="inlineStr">
        <is>
          <t>Audio &amp; Accessories</t>
        </is>
      </c>
      <c r="G583" s="7" t="inlineStr">
        <is>
          <t>West</t>
        </is>
      </c>
      <c r="H583" s="7" t="inlineStr">
        <is>
          <t>Oregon</t>
        </is>
      </c>
      <c r="I583" s="7" t="inlineStr">
        <is>
          <t>Retail Partner</t>
        </is>
      </c>
      <c r="J583" s="7" t="inlineStr">
        <is>
          <t>Consumer</t>
        </is>
      </c>
      <c r="K583" s="12" t="n">
        <v>1</v>
      </c>
      <c r="L583" s="9" t="n">
        <v>49.99</v>
      </c>
      <c r="M583" s="10" t="n">
        <v>0.05</v>
      </c>
      <c r="N583" s="9" t="n">
        <v>27.49</v>
      </c>
      <c r="O583" s="9">
        <f>K583*L583</f>
        <v/>
      </c>
      <c r="P583" s="9">
        <f>O583*M583</f>
        <v/>
      </c>
      <c r="Q583" s="9">
        <f>O583-P583</f>
        <v/>
      </c>
      <c r="R583" s="9">
        <f>K583*N583</f>
        <v/>
      </c>
      <c r="S583" s="9">
        <f>Q583-R583</f>
        <v/>
      </c>
      <c r="T583" s="10">
        <f>IFERROR(S583/Q583, 0)</f>
        <v/>
      </c>
    </row>
    <row r="584">
      <c r="A584" s="11" t="inlineStr">
        <is>
          <t>ORD-2024-1254</t>
        </is>
      </c>
      <c r="B584" s="11" t="inlineStr">
        <is>
          <t>2024-08-29</t>
        </is>
      </c>
      <c r="C584" s="11" t="inlineStr">
        <is>
          <t>FUR-CHA-002</t>
        </is>
      </c>
      <c r="D584" s="7" t="inlineStr">
        <is>
          <t>AeroTask Operator Task Chair</t>
        </is>
      </c>
      <c r="E584" s="7" t="inlineStr">
        <is>
          <t>Furniture</t>
        </is>
      </c>
      <c r="F584" s="7" t="inlineStr">
        <is>
          <t>Chairs</t>
        </is>
      </c>
      <c r="G584" s="7" t="inlineStr">
        <is>
          <t>West</t>
        </is>
      </c>
      <c r="H584" s="7" t="inlineStr">
        <is>
          <t>California</t>
        </is>
      </c>
      <c r="I584" s="7" t="inlineStr">
        <is>
          <t>Direct Sales</t>
        </is>
      </c>
      <c r="J584" s="7" t="inlineStr">
        <is>
          <t>Home Office</t>
        </is>
      </c>
      <c r="K584" s="12" t="n">
        <v>4</v>
      </c>
      <c r="L584" s="9" t="n">
        <v>219.99</v>
      </c>
      <c r="M584" s="10" t="n">
        <v>0.05</v>
      </c>
      <c r="N584" s="9" t="n">
        <v>171.59</v>
      </c>
      <c r="O584" s="9">
        <f>K584*L584</f>
        <v/>
      </c>
      <c r="P584" s="9">
        <f>O584*M584</f>
        <v/>
      </c>
      <c r="Q584" s="9">
        <f>O584-P584</f>
        <v/>
      </c>
      <c r="R584" s="9">
        <f>K584*N584</f>
        <v/>
      </c>
      <c r="S584" s="9">
        <f>Q584-R584</f>
        <v/>
      </c>
      <c r="T584" s="10">
        <f>IFERROR(S584/Q584, 0)</f>
        <v/>
      </c>
    </row>
    <row r="585">
      <c r="A585" s="11" t="inlineStr">
        <is>
          <t>ORD-2024-1686</t>
        </is>
      </c>
      <c r="B585" s="11" t="inlineStr">
        <is>
          <t>2024-08-30</t>
        </is>
      </c>
      <c r="C585" s="11" t="inlineStr">
        <is>
          <t>FUR-CHA-001</t>
        </is>
      </c>
      <c r="D585" s="7" t="inlineStr">
        <is>
          <t>ErgoFlex Executive Mesh Chair</t>
        </is>
      </c>
      <c r="E585" s="7" t="inlineStr">
        <is>
          <t>Furniture</t>
        </is>
      </c>
      <c r="F585" s="7" t="inlineStr">
        <is>
          <t>Chairs</t>
        </is>
      </c>
      <c r="G585" s="7" t="inlineStr">
        <is>
          <t>West</t>
        </is>
      </c>
      <c r="H585" s="7" t="inlineStr">
        <is>
          <t>California</t>
        </is>
      </c>
      <c r="I585" s="7" t="inlineStr">
        <is>
          <t>Direct Sales</t>
        </is>
      </c>
      <c r="J585" s="7" t="inlineStr">
        <is>
          <t>Consumer</t>
        </is>
      </c>
      <c r="K585" s="12" t="n">
        <v>2</v>
      </c>
      <c r="L585" s="9" t="n">
        <v>389.99</v>
      </c>
      <c r="M585" s="10" t="n">
        <v>0.05</v>
      </c>
      <c r="N585" s="9" t="n">
        <v>331.49</v>
      </c>
      <c r="O585" s="9">
        <f>K585*L585</f>
        <v/>
      </c>
      <c r="P585" s="9">
        <f>O585*M585</f>
        <v/>
      </c>
      <c r="Q585" s="9">
        <f>O585-P585</f>
        <v/>
      </c>
      <c r="R585" s="9">
        <f>K585*N585</f>
        <v/>
      </c>
      <c r="S585" s="9">
        <f>Q585-R585</f>
        <v/>
      </c>
      <c r="T585" s="10">
        <f>IFERROR(S585/Q585, 0)</f>
        <v/>
      </c>
    </row>
    <row r="586">
      <c r="A586" s="11" t="inlineStr">
        <is>
          <t>ORD-2024-1153</t>
        </is>
      </c>
      <c r="B586" s="11" t="inlineStr">
        <is>
          <t>2024-09-01</t>
        </is>
      </c>
      <c r="C586" s="11" t="inlineStr">
        <is>
          <t>OFF-STR-002</t>
        </is>
      </c>
      <c r="D586" s="7" t="inlineStr">
        <is>
          <t>Stackable Heavy-Duty Storage Bins (4-Pk)</t>
        </is>
      </c>
      <c r="E586" s="7" t="inlineStr">
        <is>
          <t>Office Supplies</t>
        </is>
      </c>
      <c r="F586" s="7" t="inlineStr">
        <is>
          <t>Storage &amp; Organizers</t>
        </is>
      </c>
      <c r="G586" s="7" t="inlineStr">
        <is>
          <t>West</t>
        </is>
      </c>
      <c r="H586" s="7" t="inlineStr">
        <is>
          <t>Colorado</t>
        </is>
      </c>
      <c r="I586" s="7" t="inlineStr">
        <is>
          <t>Direct Sales</t>
        </is>
      </c>
      <c r="J586" s="7" t="inlineStr">
        <is>
          <t>Corporate</t>
        </is>
      </c>
      <c r="K586" s="12" t="n">
        <v>2</v>
      </c>
      <c r="L586" s="9" t="n">
        <v>44.99</v>
      </c>
      <c r="M586" s="10" t="n">
        <v>0.05</v>
      </c>
      <c r="N586" s="9" t="n">
        <v>24.74</v>
      </c>
      <c r="O586" s="9">
        <f>K586*L586</f>
        <v/>
      </c>
      <c r="P586" s="9">
        <f>O586*M586</f>
        <v/>
      </c>
      <c r="Q586" s="9">
        <f>O586-P586</f>
        <v/>
      </c>
      <c r="R586" s="9">
        <f>K586*N586</f>
        <v/>
      </c>
      <c r="S586" s="9">
        <f>Q586-R586</f>
        <v/>
      </c>
      <c r="T586" s="10">
        <f>IFERROR(S586/Q586, 0)</f>
        <v/>
      </c>
    </row>
    <row r="587">
      <c r="A587" s="11" t="inlineStr">
        <is>
          <t>ORD-2024-1286</t>
        </is>
      </c>
      <c r="B587" s="11" t="inlineStr">
        <is>
          <t>2024-09-01</t>
        </is>
      </c>
      <c r="C587" s="11" t="inlineStr">
        <is>
          <t>FUR-CHA-001</t>
        </is>
      </c>
      <c r="D587" s="7" t="inlineStr">
        <is>
          <t>ErgoFlex Executive Mesh Chair</t>
        </is>
      </c>
      <c r="E587" s="7" t="inlineStr">
        <is>
          <t>Furniture</t>
        </is>
      </c>
      <c r="F587" s="7" t="inlineStr">
        <is>
          <t>Chairs</t>
        </is>
      </c>
      <c r="G587" s="7" t="inlineStr">
        <is>
          <t>Central</t>
        </is>
      </c>
      <c r="H587" s="7" t="inlineStr">
        <is>
          <t>Texas</t>
        </is>
      </c>
      <c r="I587" s="7" t="inlineStr">
        <is>
          <t>Direct Sales</t>
        </is>
      </c>
      <c r="J587" s="7" t="inlineStr">
        <is>
          <t>Corporate</t>
        </is>
      </c>
      <c r="K587" s="12" t="n">
        <v>2</v>
      </c>
      <c r="L587" s="9" t="n">
        <v>389.99</v>
      </c>
      <c r="M587" s="10" t="n">
        <v>0.2</v>
      </c>
      <c r="N587" s="9" t="n">
        <v>331.49</v>
      </c>
      <c r="O587" s="9">
        <f>K587*L587</f>
        <v/>
      </c>
      <c r="P587" s="9">
        <f>O587*M587</f>
        <v/>
      </c>
      <c r="Q587" s="9">
        <f>O587-P587</f>
        <v/>
      </c>
      <c r="R587" s="9">
        <f>K587*N587</f>
        <v/>
      </c>
      <c r="S587" s="9">
        <f>Q587-R587</f>
        <v/>
      </c>
      <c r="T587" s="10">
        <f>IFERROR(S587/Q587, 0)</f>
        <v/>
      </c>
    </row>
    <row r="588">
      <c r="A588" s="11" t="inlineStr">
        <is>
          <t>ORD-2024-1596</t>
        </is>
      </c>
      <c r="B588" s="11" t="inlineStr">
        <is>
          <t>2024-09-01</t>
        </is>
      </c>
      <c r="C588" s="11" t="inlineStr">
        <is>
          <t>OFF-BIN-005</t>
        </is>
      </c>
      <c r="D588" s="7" t="inlineStr">
        <is>
          <t>Heavy-Duty D-Ring Presentation Binder (6-Pk)</t>
        </is>
      </c>
      <c r="E588" s="7" t="inlineStr">
        <is>
          <t>Office Supplies</t>
        </is>
      </c>
      <c r="F588" s="7" t="inlineStr">
        <is>
          <t>Binders &amp; Fasteners</t>
        </is>
      </c>
      <c r="G588" s="7" t="inlineStr">
        <is>
          <t>Central</t>
        </is>
      </c>
      <c r="H588" s="7" t="inlineStr">
        <is>
          <t>Texas</t>
        </is>
      </c>
      <c r="I588" s="7" t="inlineStr">
        <is>
          <t>Online</t>
        </is>
      </c>
      <c r="J588" s="7" t="inlineStr">
        <is>
          <t>Corporate</t>
        </is>
      </c>
      <c r="K588" s="12" t="n">
        <v>3</v>
      </c>
      <c r="L588" s="9" t="n">
        <v>27.99</v>
      </c>
      <c r="M588" s="10" t="n">
        <v>0</v>
      </c>
      <c r="N588" s="9" t="n">
        <v>13.99</v>
      </c>
      <c r="O588" s="9">
        <f>K588*L588</f>
        <v/>
      </c>
      <c r="P588" s="9">
        <f>O588*M588</f>
        <v/>
      </c>
      <c r="Q588" s="9">
        <f>O588-P588</f>
        <v/>
      </c>
      <c r="R588" s="9">
        <f>K588*N588</f>
        <v/>
      </c>
      <c r="S588" s="9">
        <f>Q588-R588</f>
        <v/>
      </c>
      <c r="T588" s="10">
        <f>IFERROR(S588/Q588, 0)</f>
        <v/>
      </c>
    </row>
    <row r="589">
      <c r="A589" s="11" t="inlineStr">
        <is>
          <t>ORD-2024-1623</t>
        </is>
      </c>
      <c r="B589" s="11" t="inlineStr">
        <is>
          <t>2024-09-01</t>
        </is>
      </c>
      <c r="C589" s="11" t="inlineStr">
        <is>
          <t>FUR-DSK-003</t>
        </is>
      </c>
      <c r="D589" s="7" t="inlineStr">
        <is>
          <t>ApexMotor Dual-Motor Standing Desk</t>
        </is>
      </c>
      <c r="E589" s="7" t="inlineStr">
        <is>
          <t>Furniture</t>
        </is>
      </c>
      <c r="F589" s="7" t="inlineStr">
        <is>
          <t>Desks &amp; Workstations</t>
        </is>
      </c>
      <c r="G589" s="7" t="inlineStr">
        <is>
          <t>East</t>
        </is>
      </c>
      <c r="H589" s="7" t="inlineStr">
        <is>
          <t>New Jersey</t>
        </is>
      </c>
      <c r="I589" s="7" t="inlineStr">
        <is>
          <t>Online</t>
        </is>
      </c>
      <c r="J589" s="7" t="inlineStr">
        <is>
          <t>Corporate</t>
        </is>
      </c>
      <c r="K589" s="12" t="n">
        <v>8</v>
      </c>
      <c r="L589" s="9" t="n">
        <v>549.99</v>
      </c>
      <c r="M589" s="10" t="n">
        <v>0.05</v>
      </c>
      <c r="N589" s="9" t="n">
        <v>439.99</v>
      </c>
      <c r="O589" s="9">
        <f>K589*L589</f>
        <v/>
      </c>
      <c r="P589" s="9">
        <f>O589*M589</f>
        <v/>
      </c>
      <c r="Q589" s="9">
        <f>O589-P589</f>
        <v/>
      </c>
      <c r="R589" s="9">
        <f>K589*N589</f>
        <v/>
      </c>
      <c r="S589" s="9">
        <f>Q589-R589</f>
        <v/>
      </c>
      <c r="T589" s="10">
        <f>IFERROR(S589/Q589, 0)</f>
        <v/>
      </c>
    </row>
    <row r="590">
      <c r="A590" s="11" t="inlineStr">
        <is>
          <t>ORD-2024-1465</t>
        </is>
      </c>
      <c r="B590" s="11" t="inlineStr">
        <is>
          <t>2024-09-02</t>
        </is>
      </c>
      <c r="C590" s="11" t="inlineStr">
        <is>
          <t>TEC-ACC-005</t>
        </is>
      </c>
      <c r="D590" s="7" t="inlineStr">
        <is>
          <t>UltraWireless Noise-Canceling Headset</t>
        </is>
      </c>
      <c r="E590" s="7" t="inlineStr">
        <is>
          <t>Technology</t>
        </is>
      </c>
      <c r="F590" s="7" t="inlineStr">
        <is>
          <t>Audio &amp; Accessories</t>
        </is>
      </c>
      <c r="G590" s="7" t="inlineStr">
        <is>
          <t>South</t>
        </is>
      </c>
      <c r="H590" s="7" t="inlineStr">
        <is>
          <t>Florida</t>
        </is>
      </c>
      <c r="I590" s="7" t="inlineStr">
        <is>
          <t>Direct Sales</t>
        </is>
      </c>
      <c r="J590" s="7" t="inlineStr">
        <is>
          <t>Consumer</t>
        </is>
      </c>
      <c r="K590" s="12" t="n">
        <v>3</v>
      </c>
      <c r="L590" s="9" t="n">
        <v>179.99</v>
      </c>
      <c r="M590" s="10" t="n">
        <v>0.05</v>
      </c>
      <c r="N590" s="9" t="n">
        <v>111.59</v>
      </c>
      <c r="O590" s="9">
        <f>K590*L590</f>
        <v/>
      </c>
      <c r="P590" s="9">
        <f>O590*M590</f>
        <v/>
      </c>
      <c r="Q590" s="9">
        <f>O590-P590</f>
        <v/>
      </c>
      <c r="R590" s="9">
        <f>K590*N590</f>
        <v/>
      </c>
      <c r="S590" s="9">
        <f>Q590-R590</f>
        <v/>
      </c>
      <c r="T590" s="10">
        <f>IFERROR(S590/Q590, 0)</f>
        <v/>
      </c>
    </row>
    <row r="591">
      <c r="A591" s="11" t="inlineStr">
        <is>
          <t>ORD-2024-1530</t>
        </is>
      </c>
      <c r="B591" s="11" t="inlineStr">
        <is>
          <t>2024-09-02</t>
        </is>
      </c>
      <c r="C591" s="11" t="inlineStr">
        <is>
          <t>FUR-DSK-004</t>
        </is>
      </c>
      <c r="D591" s="7" t="inlineStr">
        <is>
          <t>Metro Compact Corner Workstation</t>
        </is>
      </c>
      <c r="E591" s="7" t="inlineStr">
        <is>
          <t>Furniture</t>
        </is>
      </c>
      <c r="F591" s="7" t="inlineStr">
        <is>
          <t>Desks &amp; Workstations</t>
        </is>
      </c>
      <c r="G591" s="7" t="inlineStr">
        <is>
          <t>West</t>
        </is>
      </c>
      <c r="H591" s="7" t="inlineStr">
        <is>
          <t>Colorado</t>
        </is>
      </c>
      <c r="I591" s="7" t="inlineStr">
        <is>
          <t>Direct Sales</t>
        </is>
      </c>
      <c r="J591" s="7" t="inlineStr">
        <is>
          <t>Home Office</t>
        </is>
      </c>
      <c r="K591" s="12" t="n">
        <v>1</v>
      </c>
      <c r="L591" s="9" t="n">
        <v>329.99</v>
      </c>
      <c r="M591" s="10" t="n">
        <v>0.05</v>
      </c>
      <c r="N591" s="9" t="n">
        <v>250.79</v>
      </c>
      <c r="O591" s="9">
        <f>K591*L591</f>
        <v/>
      </c>
      <c r="P591" s="9">
        <f>O591*M591</f>
        <v/>
      </c>
      <c r="Q591" s="9">
        <f>O591-P591</f>
        <v/>
      </c>
      <c r="R591" s="9">
        <f>K591*N591</f>
        <v/>
      </c>
      <c r="S591" s="9">
        <f>Q591-R591</f>
        <v/>
      </c>
      <c r="T591" s="10">
        <f>IFERROR(S591/Q591, 0)</f>
        <v/>
      </c>
    </row>
    <row r="592">
      <c r="A592" s="11" t="inlineStr">
        <is>
          <t>ORD-2024-1530</t>
        </is>
      </c>
      <c r="B592" s="11" t="inlineStr">
        <is>
          <t>2024-09-02</t>
        </is>
      </c>
      <c r="C592" s="11" t="inlineStr">
        <is>
          <t>OFF-PAP-004</t>
        </is>
      </c>
      <c r="D592" s="7" t="inlineStr">
        <is>
          <t>EcoRecycled Copy Paper (5 Reams)</t>
        </is>
      </c>
      <c r="E592" s="7" t="inlineStr">
        <is>
          <t>Office Supplies</t>
        </is>
      </c>
      <c r="F592" s="7" t="inlineStr">
        <is>
          <t>Paper Products</t>
        </is>
      </c>
      <c r="G592" s="7" t="inlineStr">
        <is>
          <t>West</t>
        </is>
      </c>
      <c r="H592" s="7" t="inlineStr">
        <is>
          <t>Colorado</t>
        </is>
      </c>
      <c r="I592" s="7" t="inlineStr">
        <is>
          <t>Direct Sales</t>
        </is>
      </c>
      <c r="J592" s="7" t="inlineStr">
        <is>
          <t>Home Office</t>
        </is>
      </c>
      <c r="K592" s="12" t="n">
        <v>1</v>
      </c>
      <c r="L592" s="9" t="n">
        <v>32.99</v>
      </c>
      <c r="M592" s="10" t="n">
        <v>0</v>
      </c>
      <c r="N592" s="9" t="n">
        <v>19.79</v>
      </c>
      <c r="O592" s="9">
        <f>K592*L592</f>
        <v/>
      </c>
      <c r="P592" s="9">
        <f>O592*M592</f>
        <v/>
      </c>
      <c r="Q592" s="9">
        <f>O592-P592</f>
        <v/>
      </c>
      <c r="R592" s="9">
        <f>K592*N592</f>
        <v/>
      </c>
      <c r="S592" s="9">
        <f>Q592-R592</f>
        <v/>
      </c>
      <c r="T592" s="10">
        <f>IFERROR(S592/Q592, 0)</f>
        <v/>
      </c>
    </row>
    <row r="593">
      <c r="A593" s="11" t="inlineStr">
        <is>
          <t>ORD-2024-1551</t>
        </is>
      </c>
      <c r="B593" s="11" t="inlineStr">
        <is>
          <t>2024-09-02</t>
        </is>
      </c>
      <c r="C593" s="11" t="inlineStr">
        <is>
          <t>OFF-DSK-007</t>
        </is>
      </c>
      <c r="D593" s="7" t="inlineStr">
        <is>
          <t>Gel Ergo Mouse Pad &amp; Wrist Rest Combo</t>
        </is>
      </c>
      <c r="E593" s="7" t="inlineStr">
        <is>
          <t>Office Supplies</t>
        </is>
      </c>
      <c r="F593" s="7" t="inlineStr">
        <is>
          <t>Desk Supplies</t>
        </is>
      </c>
      <c r="G593" s="7" t="inlineStr">
        <is>
          <t>South</t>
        </is>
      </c>
      <c r="H593" s="7" t="inlineStr">
        <is>
          <t>North Carolina</t>
        </is>
      </c>
      <c r="I593" s="7" t="inlineStr">
        <is>
          <t>Direct Sales</t>
        </is>
      </c>
      <c r="J593" s="7" t="inlineStr">
        <is>
          <t>Home Office</t>
        </is>
      </c>
      <c r="K593" s="12" t="n">
        <v>4</v>
      </c>
      <c r="L593" s="9" t="n">
        <v>21.99</v>
      </c>
      <c r="M593" s="10" t="n">
        <v>0</v>
      </c>
      <c r="N593" s="9" t="n">
        <v>10.56</v>
      </c>
      <c r="O593" s="9">
        <f>K593*L593</f>
        <v/>
      </c>
      <c r="P593" s="9">
        <f>O593*M593</f>
        <v/>
      </c>
      <c r="Q593" s="9">
        <f>O593-P593</f>
        <v/>
      </c>
      <c r="R593" s="9">
        <f>K593*N593</f>
        <v/>
      </c>
      <c r="S593" s="9">
        <f>Q593-R593</f>
        <v/>
      </c>
      <c r="T593" s="10">
        <f>IFERROR(S593/Q593, 0)</f>
        <v/>
      </c>
    </row>
    <row r="594">
      <c r="A594" s="11" t="inlineStr">
        <is>
          <t>ORD-2024-1391</t>
        </is>
      </c>
      <c r="B594" s="11" t="inlineStr">
        <is>
          <t>2024-09-03</t>
        </is>
      </c>
      <c r="C594" s="11" t="inlineStr">
        <is>
          <t>FUR-BOK-005</t>
        </is>
      </c>
      <c r="D594" s="7" t="inlineStr">
        <is>
          <t>Modular 5-Tier Steel Bookcase</t>
        </is>
      </c>
      <c r="E594" s="7" t="inlineStr">
        <is>
          <t>Furniture</t>
        </is>
      </c>
      <c r="F594" s="7" t="inlineStr">
        <is>
          <t>Bookcases</t>
        </is>
      </c>
      <c r="G594" s="7" t="inlineStr">
        <is>
          <t>East</t>
        </is>
      </c>
      <c r="H594" s="7" t="inlineStr">
        <is>
          <t>New York</t>
        </is>
      </c>
      <c r="I594" s="7" t="inlineStr">
        <is>
          <t>Online</t>
        </is>
      </c>
      <c r="J594" s="7" t="inlineStr">
        <is>
          <t>Consumer</t>
        </is>
      </c>
      <c r="K594" s="12" t="n">
        <v>4</v>
      </c>
      <c r="L594" s="9" t="n">
        <v>189.99</v>
      </c>
      <c r="M594" s="10" t="n">
        <v>0</v>
      </c>
      <c r="N594" s="9" t="n">
        <v>142.49</v>
      </c>
      <c r="O594" s="9">
        <f>K594*L594</f>
        <v/>
      </c>
      <c r="P594" s="9">
        <f>O594*M594</f>
        <v/>
      </c>
      <c r="Q594" s="9">
        <f>O594-P594</f>
        <v/>
      </c>
      <c r="R594" s="9">
        <f>K594*N594</f>
        <v/>
      </c>
      <c r="S594" s="9">
        <f>Q594-R594</f>
        <v/>
      </c>
      <c r="T594" s="10">
        <f>IFERROR(S594/Q594, 0)</f>
        <v/>
      </c>
    </row>
    <row r="595">
      <c r="A595" s="11" t="inlineStr">
        <is>
          <t>ORD-2024-1391</t>
        </is>
      </c>
      <c r="B595" s="11" t="inlineStr">
        <is>
          <t>2024-09-03</t>
        </is>
      </c>
      <c r="C595" s="11" t="inlineStr">
        <is>
          <t>TEC-LAP-002</t>
        </is>
      </c>
      <c r="D595" s="7" t="inlineStr">
        <is>
          <t>Apex Gaming Laptop 17"</t>
        </is>
      </c>
      <c r="E595" s="7" t="inlineStr">
        <is>
          <t>Technology</t>
        </is>
      </c>
      <c r="F595" s="7" t="inlineStr">
        <is>
          <t>Laptops</t>
        </is>
      </c>
      <c r="G595" s="7" t="inlineStr">
        <is>
          <t>East</t>
        </is>
      </c>
      <c r="H595" s="7" t="inlineStr">
        <is>
          <t>New York</t>
        </is>
      </c>
      <c r="I595" s="7" t="inlineStr">
        <is>
          <t>Online</t>
        </is>
      </c>
      <c r="J595" s="7" t="inlineStr">
        <is>
          <t>Consumer</t>
        </is>
      </c>
      <c r="K595" s="12" t="n">
        <v>4</v>
      </c>
      <c r="L595" s="9" t="n">
        <v>1499.99</v>
      </c>
      <c r="M595" s="10" t="n">
        <v>0.2</v>
      </c>
      <c r="N595" s="9" t="n">
        <v>1259.99</v>
      </c>
      <c r="O595" s="9">
        <f>K595*L595</f>
        <v/>
      </c>
      <c r="P595" s="9">
        <f>O595*M595</f>
        <v/>
      </c>
      <c r="Q595" s="9">
        <f>O595-P595</f>
        <v/>
      </c>
      <c r="R595" s="9">
        <f>K595*N595</f>
        <v/>
      </c>
      <c r="S595" s="9">
        <f>Q595-R595</f>
        <v/>
      </c>
      <c r="T595" s="10">
        <f>IFERROR(S595/Q595, 0)</f>
        <v/>
      </c>
    </row>
    <row r="596">
      <c r="A596" s="11" t="inlineStr">
        <is>
          <t>ORD-2024-1070</t>
        </is>
      </c>
      <c r="B596" s="11" t="inlineStr">
        <is>
          <t>2024-09-05</t>
        </is>
      </c>
      <c r="C596" s="11" t="inlineStr">
        <is>
          <t>TEC-TAB-003</t>
        </is>
      </c>
      <c r="D596" s="7" t="inlineStr">
        <is>
          <t>VisionPad Pro 11"</t>
        </is>
      </c>
      <c r="E596" s="7" t="inlineStr">
        <is>
          <t>Technology</t>
        </is>
      </c>
      <c r="F596" s="7" t="inlineStr">
        <is>
          <t>Phones &amp; Tablets</t>
        </is>
      </c>
      <c r="G596" s="7" t="inlineStr">
        <is>
          <t>East</t>
        </is>
      </c>
      <c r="H596" s="7" t="inlineStr">
        <is>
          <t>Massachusetts</t>
        </is>
      </c>
      <c r="I596" s="7" t="inlineStr">
        <is>
          <t>Wholesale</t>
        </is>
      </c>
      <c r="J596" s="7" t="inlineStr">
        <is>
          <t>Consumer</t>
        </is>
      </c>
      <c r="K596" s="12" t="n">
        <v>8</v>
      </c>
      <c r="L596" s="9" t="n">
        <v>649.99</v>
      </c>
      <c r="M596" s="10" t="n">
        <v>0.1</v>
      </c>
      <c r="N596" s="9" t="n">
        <v>487.49</v>
      </c>
      <c r="O596" s="9">
        <f>K596*L596</f>
        <v/>
      </c>
      <c r="P596" s="9">
        <f>O596*M596</f>
        <v/>
      </c>
      <c r="Q596" s="9">
        <f>O596-P596</f>
        <v/>
      </c>
      <c r="R596" s="9">
        <f>K596*N596</f>
        <v/>
      </c>
      <c r="S596" s="9">
        <f>Q596-R596</f>
        <v/>
      </c>
      <c r="T596" s="10">
        <f>IFERROR(S596/Q596, 0)</f>
        <v/>
      </c>
    </row>
    <row r="597">
      <c r="A597" s="11" t="inlineStr">
        <is>
          <t>ORD-2024-1674</t>
        </is>
      </c>
      <c r="B597" s="11" t="inlineStr">
        <is>
          <t>2024-09-06</t>
        </is>
      </c>
      <c r="C597" s="11" t="inlineStr">
        <is>
          <t>OFF-BIN-005</t>
        </is>
      </c>
      <c r="D597" s="7" t="inlineStr">
        <is>
          <t>Heavy-Duty D-Ring Presentation Binder (6-Pk)</t>
        </is>
      </c>
      <c r="E597" s="7" t="inlineStr">
        <is>
          <t>Office Supplies</t>
        </is>
      </c>
      <c r="F597" s="7" t="inlineStr">
        <is>
          <t>Binders &amp; Fasteners</t>
        </is>
      </c>
      <c r="G597" s="7" t="inlineStr">
        <is>
          <t>East</t>
        </is>
      </c>
      <c r="H597" s="7" t="inlineStr">
        <is>
          <t>New Jersey</t>
        </is>
      </c>
      <c r="I597" s="7" t="inlineStr">
        <is>
          <t>Retail Partner</t>
        </is>
      </c>
      <c r="J597" s="7" t="inlineStr">
        <is>
          <t>Corporate</t>
        </is>
      </c>
      <c r="K597" s="12" t="n">
        <v>7</v>
      </c>
      <c r="L597" s="9" t="n">
        <v>27.99</v>
      </c>
      <c r="M597" s="10" t="n">
        <v>0.05</v>
      </c>
      <c r="N597" s="9" t="n">
        <v>13.99</v>
      </c>
      <c r="O597" s="9">
        <f>K597*L597</f>
        <v/>
      </c>
      <c r="P597" s="9">
        <f>O597*M597</f>
        <v/>
      </c>
      <c r="Q597" s="9">
        <f>O597-P597</f>
        <v/>
      </c>
      <c r="R597" s="9">
        <f>K597*N597</f>
        <v/>
      </c>
      <c r="S597" s="9">
        <f>Q597-R597</f>
        <v/>
      </c>
      <c r="T597" s="10">
        <f>IFERROR(S597/Q597, 0)</f>
        <v/>
      </c>
    </row>
    <row r="598">
      <c r="A598" s="11" t="inlineStr">
        <is>
          <t>ORD-2024-1143</t>
        </is>
      </c>
      <c r="B598" s="11" t="inlineStr">
        <is>
          <t>2024-09-07</t>
        </is>
      </c>
      <c r="C598" s="11" t="inlineStr">
        <is>
          <t>OFF-ART-006</t>
        </is>
      </c>
      <c r="D598" s="7" t="inlineStr">
        <is>
          <t>Professional Presentation Dry Erase Board</t>
        </is>
      </c>
      <c r="E598" s="7" t="inlineStr">
        <is>
          <t>Office Supplies</t>
        </is>
      </c>
      <c r="F598" s="7" t="inlineStr">
        <is>
          <t>Presentation &amp; Art</t>
        </is>
      </c>
      <c r="G598" s="7" t="inlineStr">
        <is>
          <t>East</t>
        </is>
      </c>
      <c r="H598" s="7" t="inlineStr">
        <is>
          <t>New York</t>
        </is>
      </c>
      <c r="I598" s="7" t="inlineStr">
        <is>
          <t>Online</t>
        </is>
      </c>
      <c r="J598" s="7" t="inlineStr">
        <is>
          <t>Home Office</t>
        </is>
      </c>
      <c r="K598" s="12" t="n">
        <v>2</v>
      </c>
      <c r="L598" s="9" t="n">
        <v>89.98999999999999</v>
      </c>
      <c r="M598" s="10" t="n">
        <v>0</v>
      </c>
      <c r="N598" s="9" t="n">
        <v>53.99</v>
      </c>
      <c r="O598" s="9">
        <f>K598*L598</f>
        <v/>
      </c>
      <c r="P598" s="9">
        <f>O598*M598</f>
        <v/>
      </c>
      <c r="Q598" s="9">
        <f>O598-P598</f>
        <v/>
      </c>
      <c r="R598" s="9">
        <f>K598*N598</f>
        <v/>
      </c>
      <c r="S598" s="9">
        <f>Q598-R598</f>
        <v/>
      </c>
      <c r="T598" s="10">
        <f>IFERROR(S598/Q598, 0)</f>
        <v/>
      </c>
    </row>
    <row r="599">
      <c r="A599" s="11" t="inlineStr">
        <is>
          <t>ORD-2024-1143</t>
        </is>
      </c>
      <c r="B599" s="11" t="inlineStr">
        <is>
          <t>2024-09-07</t>
        </is>
      </c>
      <c r="C599" s="11" t="inlineStr">
        <is>
          <t>TEC-ACC-008</t>
        </is>
      </c>
      <c r="D599" s="7" t="inlineStr">
        <is>
          <t>Precision Laser Bluetooth Mouse</t>
        </is>
      </c>
      <c r="E599" s="7" t="inlineStr">
        <is>
          <t>Technology</t>
        </is>
      </c>
      <c r="F599" s="7" t="inlineStr">
        <is>
          <t>Audio &amp; Accessories</t>
        </is>
      </c>
      <c r="G599" s="7" t="inlineStr">
        <is>
          <t>East</t>
        </is>
      </c>
      <c r="H599" s="7" t="inlineStr">
        <is>
          <t>New York</t>
        </is>
      </c>
      <c r="I599" s="7" t="inlineStr">
        <is>
          <t>Online</t>
        </is>
      </c>
      <c r="J599" s="7" t="inlineStr">
        <is>
          <t>Home Office</t>
        </is>
      </c>
      <c r="K599" s="12" t="n">
        <v>2</v>
      </c>
      <c r="L599" s="9" t="n">
        <v>49.99</v>
      </c>
      <c r="M599" s="10" t="n">
        <v>0.1</v>
      </c>
      <c r="N599" s="9" t="n">
        <v>27.49</v>
      </c>
      <c r="O599" s="9">
        <f>K599*L599</f>
        <v/>
      </c>
      <c r="P599" s="9">
        <f>O599*M599</f>
        <v/>
      </c>
      <c r="Q599" s="9">
        <f>O599-P599</f>
        <v/>
      </c>
      <c r="R599" s="9">
        <f>K599*N599</f>
        <v/>
      </c>
      <c r="S599" s="9">
        <f>Q599-R599</f>
        <v/>
      </c>
      <c r="T599" s="10">
        <f>IFERROR(S599/Q599, 0)</f>
        <v/>
      </c>
    </row>
    <row r="600">
      <c r="A600" s="11" t="inlineStr">
        <is>
          <t>ORD-2024-1166</t>
        </is>
      </c>
      <c r="B600" s="11" t="inlineStr">
        <is>
          <t>2024-09-08</t>
        </is>
      </c>
      <c r="C600" s="11" t="inlineStr">
        <is>
          <t>TEC-ACC-008</t>
        </is>
      </c>
      <c r="D600" s="7" t="inlineStr">
        <is>
          <t>Precision Laser Bluetooth Mouse</t>
        </is>
      </c>
      <c r="E600" s="7" t="inlineStr">
        <is>
          <t>Technology</t>
        </is>
      </c>
      <c r="F600" s="7" t="inlineStr">
        <is>
          <t>Audio &amp; Accessories</t>
        </is>
      </c>
      <c r="G600" s="7" t="inlineStr">
        <is>
          <t>South</t>
        </is>
      </c>
      <c r="H600" s="7" t="inlineStr">
        <is>
          <t>Virginia</t>
        </is>
      </c>
      <c r="I600" s="7" t="inlineStr">
        <is>
          <t>Wholesale</t>
        </is>
      </c>
      <c r="J600" s="7" t="inlineStr">
        <is>
          <t>Corporate</t>
        </is>
      </c>
      <c r="K600" s="12" t="n">
        <v>9</v>
      </c>
      <c r="L600" s="9" t="n">
        <v>49.99</v>
      </c>
      <c r="M600" s="10" t="n">
        <v>0.15</v>
      </c>
      <c r="N600" s="9" t="n">
        <v>27.49</v>
      </c>
      <c r="O600" s="9">
        <f>K600*L600</f>
        <v/>
      </c>
      <c r="P600" s="9">
        <f>O600*M600</f>
        <v/>
      </c>
      <c r="Q600" s="9">
        <f>O600-P600</f>
        <v/>
      </c>
      <c r="R600" s="9">
        <f>K600*N600</f>
        <v/>
      </c>
      <c r="S600" s="9">
        <f>Q600-R600</f>
        <v/>
      </c>
      <c r="T600" s="10">
        <f>IFERROR(S600/Q600, 0)</f>
        <v/>
      </c>
    </row>
    <row r="601">
      <c r="A601" s="11" t="inlineStr">
        <is>
          <t>ORD-2024-1418</t>
        </is>
      </c>
      <c r="B601" s="11" t="inlineStr">
        <is>
          <t>2024-09-08</t>
        </is>
      </c>
      <c r="C601" s="11" t="inlineStr">
        <is>
          <t>TEC-LAP-001</t>
        </is>
      </c>
      <c r="D601" s="7" t="inlineStr">
        <is>
          <t>ProBook Elite 15.6"</t>
        </is>
      </c>
      <c r="E601" s="7" t="inlineStr">
        <is>
          <t>Technology</t>
        </is>
      </c>
      <c r="F601" s="7" t="inlineStr">
        <is>
          <t>Laptops</t>
        </is>
      </c>
      <c r="G601" s="7" t="inlineStr">
        <is>
          <t>West</t>
        </is>
      </c>
      <c r="H601" s="7" t="inlineStr">
        <is>
          <t>California</t>
        </is>
      </c>
      <c r="I601" s="7" t="inlineStr">
        <is>
          <t>Online</t>
        </is>
      </c>
      <c r="J601" s="7" t="inlineStr">
        <is>
          <t>Corporate</t>
        </is>
      </c>
      <c r="K601" s="12" t="n">
        <v>7</v>
      </c>
      <c r="L601" s="9" t="n">
        <v>1199.99</v>
      </c>
      <c r="M601" s="10" t="n">
        <v>0</v>
      </c>
      <c r="N601" s="9" t="n">
        <v>863.99</v>
      </c>
      <c r="O601" s="9">
        <f>K601*L601</f>
        <v/>
      </c>
      <c r="P601" s="9">
        <f>O601*M601</f>
        <v/>
      </c>
      <c r="Q601" s="9">
        <f>O601-P601</f>
        <v/>
      </c>
      <c r="R601" s="9">
        <f>K601*N601</f>
        <v/>
      </c>
      <c r="S601" s="9">
        <f>Q601-R601</f>
        <v/>
      </c>
      <c r="T601" s="10">
        <f>IFERROR(S601/Q601, 0)</f>
        <v/>
      </c>
    </row>
    <row r="602">
      <c r="A602" s="11" t="inlineStr">
        <is>
          <t>ORD-2024-1664</t>
        </is>
      </c>
      <c r="B602" s="11" t="inlineStr">
        <is>
          <t>2024-09-08</t>
        </is>
      </c>
      <c r="C602" s="11" t="inlineStr">
        <is>
          <t>TEC-TAB-004</t>
        </is>
      </c>
      <c r="D602" s="7" t="inlineStr">
        <is>
          <t>VisionPad Lite 8.5"</t>
        </is>
      </c>
      <c r="E602" s="7" t="inlineStr">
        <is>
          <t>Technology</t>
        </is>
      </c>
      <c r="F602" s="7" t="inlineStr">
        <is>
          <t>Phones &amp; Tablets</t>
        </is>
      </c>
      <c r="G602" s="7" t="inlineStr">
        <is>
          <t>South</t>
        </is>
      </c>
      <c r="H602" s="7" t="inlineStr">
        <is>
          <t>North Carolina</t>
        </is>
      </c>
      <c r="I602" s="7" t="inlineStr">
        <is>
          <t>Retail Partner</t>
        </is>
      </c>
      <c r="J602" s="7" t="inlineStr">
        <is>
          <t>Corporate</t>
        </is>
      </c>
      <c r="K602" s="12" t="n">
        <v>3</v>
      </c>
      <c r="L602" s="9" t="n">
        <v>299.99</v>
      </c>
      <c r="M602" s="10" t="n">
        <v>0</v>
      </c>
      <c r="N602" s="9" t="n">
        <v>245.99</v>
      </c>
      <c r="O602" s="9">
        <f>K602*L602</f>
        <v/>
      </c>
      <c r="P602" s="9">
        <f>O602*M602</f>
        <v/>
      </c>
      <c r="Q602" s="9">
        <f>O602-P602</f>
        <v/>
      </c>
      <c r="R602" s="9">
        <f>K602*N602</f>
        <v/>
      </c>
      <c r="S602" s="9">
        <f>Q602-R602</f>
        <v/>
      </c>
      <c r="T602" s="10">
        <f>IFERROR(S602/Q602, 0)</f>
        <v/>
      </c>
    </row>
    <row r="603">
      <c r="A603" s="11" t="inlineStr">
        <is>
          <t>ORD-2024-1123</t>
        </is>
      </c>
      <c r="B603" s="11" t="inlineStr">
        <is>
          <t>2024-09-09</t>
        </is>
      </c>
      <c r="C603" s="11" t="inlineStr">
        <is>
          <t>TEC-TAB-003</t>
        </is>
      </c>
      <c r="D603" s="7" t="inlineStr">
        <is>
          <t>VisionPad Pro 11"</t>
        </is>
      </c>
      <c r="E603" s="7" t="inlineStr">
        <is>
          <t>Technology</t>
        </is>
      </c>
      <c r="F603" s="7" t="inlineStr">
        <is>
          <t>Phones &amp; Tablets</t>
        </is>
      </c>
      <c r="G603" s="7" t="inlineStr">
        <is>
          <t>East</t>
        </is>
      </c>
      <c r="H603" s="7" t="inlineStr">
        <is>
          <t>New Jersey</t>
        </is>
      </c>
      <c r="I603" s="7" t="inlineStr">
        <is>
          <t>Direct Sales</t>
        </is>
      </c>
      <c r="J603" s="7" t="inlineStr">
        <is>
          <t>Home Office</t>
        </is>
      </c>
      <c r="K603" s="12" t="n">
        <v>3</v>
      </c>
      <c r="L603" s="9" t="n">
        <v>649.99</v>
      </c>
      <c r="M603" s="10" t="n">
        <v>0.05</v>
      </c>
      <c r="N603" s="9" t="n">
        <v>487.49</v>
      </c>
      <c r="O603" s="9">
        <f>K603*L603</f>
        <v/>
      </c>
      <c r="P603" s="9">
        <f>O603*M603</f>
        <v/>
      </c>
      <c r="Q603" s="9">
        <f>O603-P603</f>
        <v/>
      </c>
      <c r="R603" s="9">
        <f>K603*N603</f>
        <v/>
      </c>
      <c r="S603" s="9">
        <f>Q603-R603</f>
        <v/>
      </c>
      <c r="T603" s="10">
        <f>IFERROR(S603/Q603, 0)</f>
        <v/>
      </c>
    </row>
    <row r="604">
      <c r="A604" s="11" t="inlineStr">
        <is>
          <t>ORD-2024-1179</t>
        </is>
      </c>
      <c r="B604" s="11" t="inlineStr">
        <is>
          <t>2024-09-09</t>
        </is>
      </c>
      <c r="C604" s="11" t="inlineStr">
        <is>
          <t>TEC-TAB-004</t>
        </is>
      </c>
      <c r="D604" s="7" t="inlineStr">
        <is>
          <t>VisionPad Lite 8.5"</t>
        </is>
      </c>
      <c r="E604" s="7" t="inlineStr">
        <is>
          <t>Technology</t>
        </is>
      </c>
      <c r="F604" s="7" t="inlineStr">
        <is>
          <t>Phones &amp; Tablets</t>
        </is>
      </c>
      <c r="G604" s="7" t="inlineStr">
        <is>
          <t>Central</t>
        </is>
      </c>
      <c r="H604" s="7" t="inlineStr">
        <is>
          <t>Michigan</t>
        </is>
      </c>
      <c r="I604" s="7" t="inlineStr">
        <is>
          <t>Online</t>
        </is>
      </c>
      <c r="J604" s="7" t="inlineStr">
        <is>
          <t>Corporate</t>
        </is>
      </c>
      <c r="K604" s="12" t="n">
        <v>8</v>
      </c>
      <c r="L604" s="9" t="n">
        <v>299.99</v>
      </c>
      <c r="M604" s="10" t="n">
        <v>0</v>
      </c>
      <c r="N604" s="9" t="n">
        <v>245.99</v>
      </c>
      <c r="O604" s="9">
        <f>K604*L604</f>
        <v/>
      </c>
      <c r="P604" s="9">
        <f>O604*M604</f>
        <v/>
      </c>
      <c r="Q604" s="9">
        <f>O604-P604</f>
        <v/>
      </c>
      <c r="R604" s="9">
        <f>K604*N604</f>
        <v/>
      </c>
      <c r="S604" s="9">
        <f>Q604-R604</f>
        <v/>
      </c>
      <c r="T604" s="10">
        <f>IFERROR(S604/Q604, 0)</f>
        <v/>
      </c>
    </row>
    <row r="605">
      <c r="A605" s="11" t="inlineStr">
        <is>
          <t>ORD-2024-1449</t>
        </is>
      </c>
      <c r="B605" s="11" t="inlineStr">
        <is>
          <t>2024-09-09</t>
        </is>
      </c>
      <c r="C605" s="11" t="inlineStr">
        <is>
          <t>TEC-ACC-008</t>
        </is>
      </c>
      <c r="D605" s="7" t="inlineStr">
        <is>
          <t>Precision Laser Bluetooth Mouse</t>
        </is>
      </c>
      <c r="E605" s="7" t="inlineStr">
        <is>
          <t>Technology</t>
        </is>
      </c>
      <c r="F605" s="7" t="inlineStr">
        <is>
          <t>Audio &amp; Accessories</t>
        </is>
      </c>
      <c r="G605" s="7" t="inlineStr">
        <is>
          <t>East</t>
        </is>
      </c>
      <c r="H605" s="7" t="inlineStr">
        <is>
          <t>New Jersey</t>
        </is>
      </c>
      <c r="I605" s="7" t="inlineStr">
        <is>
          <t>Retail Partner</t>
        </is>
      </c>
      <c r="J605" s="7" t="inlineStr">
        <is>
          <t>Consumer</t>
        </is>
      </c>
      <c r="K605" s="12" t="n">
        <v>2</v>
      </c>
      <c r="L605" s="9" t="n">
        <v>49.99</v>
      </c>
      <c r="M605" s="10" t="n">
        <v>0.1</v>
      </c>
      <c r="N605" s="9" t="n">
        <v>27.49</v>
      </c>
      <c r="O605" s="9">
        <f>K605*L605</f>
        <v/>
      </c>
      <c r="P605" s="9">
        <f>O605*M605</f>
        <v/>
      </c>
      <c r="Q605" s="9">
        <f>O605-P605</f>
        <v/>
      </c>
      <c r="R605" s="9">
        <f>K605*N605</f>
        <v/>
      </c>
      <c r="S605" s="9">
        <f>Q605-R605</f>
        <v/>
      </c>
      <c r="T605" s="10">
        <f>IFERROR(S605/Q605, 0)</f>
        <v/>
      </c>
    </row>
    <row r="606">
      <c r="A606" s="11" t="inlineStr">
        <is>
          <t>ORD-2024-1621</t>
        </is>
      </c>
      <c r="B606" s="11" t="inlineStr">
        <is>
          <t>2024-09-09</t>
        </is>
      </c>
      <c r="C606" s="11" t="inlineStr">
        <is>
          <t>OFF-DSK-007</t>
        </is>
      </c>
      <c r="D606" s="7" t="inlineStr">
        <is>
          <t>Gel Ergo Mouse Pad &amp; Wrist Rest Combo</t>
        </is>
      </c>
      <c r="E606" s="7" t="inlineStr">
        <is>
          <t>Office Supplies</t>
        </is>
      </c>
      <c r="F606" s="7" t="inlineStr">
        <is>
          <t>Desk Supplies</t>
        </is>
      </c>
      <c r="G606" s="7" t="inlineStr">
        <is>
          <t>West</t>
        </is>
      </c>
      <c r="H606" s="7" t="inlineStr">
        <is>
          <t>Washington</t>
        </is>
      </c>
      <c r="I606" s="7" t="inlineStr">
        <is>
          <t>Online</t>
        </is>
      </c>
      <c r="J606" s="7" t="inlineStr">
        <is>
          <t>Consumer</t>
        </is>
      </c>
      <c r="K606" s="12" t="n">
        <v>4</v>
      </c>
      <c r="L606" s="9" t="n">
        <v>21.99</v>
      </c>
      <c r="M606" s="10" t="n">
        <v>0.15</v>
      </c>
      <c r="N606" s="9" t="n">
        <v>10.56</v>
      </c>
      <c r="O606" s="9">
        <f>K606*L606</f>
        <v/>
      </c>
      <c r="P606" s="9">
        <f>O606*M606</f>
        <v/>
      </c>
      <c r="Q606" s="9">
        <f>O606-P606</f>
        <v/>
      </c>
      <c r="R606" s="9">
        <f>K606*N606</f>
        <v/>
      </c>
      <c r="S606" s="9">
        <f>Q606-R606</f>
        <v/>
      </c>
      <c r="T606" s="10">
        <f>IFERROR(S606/Q606, 0)</f>
        <v/>
      </c>
    </row>
    <row r="607">
      <c r="A607" s="11" t="inlineStr">
        <is>
          <t>ORD-2024-1621</t>
        </is>
      </c>
      <c r="B607" s="11" t="inlineStr">
        <is>
          <t>2024-09-09</t>
        </is>
      </c>
      <c r="C607" s="11" t="inlineStr">
        <is>
          <t>OFF-ART-006</t>
        </is>
      </c>
      <c r="D607" s="7" t="inlineStr">
        <is>
          <t>Professional Presentation Dry Erase Board</t>
        </is>
      </c>
      <c r="E607" s="7" t="inlineStr">
        <is>
          <t>Office Supplies</t>
        </is>
      </c>
      <c r="F607" s="7" t="inlineStr">
        <is>
          <t>Presentation &amp; Art</t>
        </is>
      </c>
      <c r="G607" s="7" t="inlineStr">
        <is>
          <t>West</t>
        </is>
      </c>
      <c r="H607" s="7" t="inlineStr">
        <is>
          <t>Washington</t>
        </is>
      </c>
      <c r="I607" s="7" t="inlineStr">
        <is>
          <t>Online</t>
        </is>
      </c>
      <c r="J607" s="7" t="inlineStr">
        <is>
          <t>Consumer</t>
        </is>
      </c>
      <c r="K607" s="12" t="n">
        <v>2</v>
      </c>
      <c r="L607" s="9" t="n">
        <v>89.98999999999999</v>
      </c>
      <c r="M607" s="10" t="n">
        <v>0</v>
      </c>
      <c r="N607" s="9" t="n">
        <v>53.99</v>
      </c>
      <c r="O607" s="9">
        <f>K607*L607</f>
        <v/>
      </c>
      <c r="P607" s="9">
        <f>O607*M607</f>
        <v/>
      </c>
      <c r="Q607" s="9">
        <f>O607-P607</f>
        <v/>
      </c>
      <c r="R607" s="9">
        <f>K607*N607</f>
        <v/>
      </c>
      <c r="S607" s="9">
        <f>Q607-R607</f>
        <v/>
      </c>
      <c r="T607" s="10">
        <f>IFERROR(S607/Q607, 0)</f>
        <v/>
      </c>
    </row>
    <row r="608">
      <c r="A608" s="11" t="inlineStr">
        <is>
          <t>ORD-2024-1472</t>
        </is>
      </c>
      <c r="B608" s="11" t="inlineStr">
        <is>
          <t>2024-09-10</t>
        </is>
      </c>
      <c r="C608" s="11" t="inlineStr">
        <is>
          <t>OFF-ART-006</t>
        </is>
      </c>
      <c r="D608" s="7" t="inlineStr">
        <is>
          <t>Professional Presentation Dry Erase Board</t>
        </is>
      </c>
      <c r="E608" s="7" t="inlineStr">
        <is>
          <t>Office Supplies</t>
        </is>
      </c>
      <c r="F608" s="7" t="inlineStr">
        <is>
          <t>Presentation &amp; Art</t>
        </is>
      </c>
      <c r="G608" s="7" t="inlineStr">
        <is>
          <t>West</t>
        </is>
      </c>
      <c r="H608" s="7" t="inlineStr">
        <is>
          <t>California</t>
        </is>
      </c>
      <c r="I608" s="7" t="inlineStr">
        <is>
          <t>Online</t>
        </is>
      </c>
      <c r="J608" s="7" t="inlineStr">
        <is>
          <t>Consumer</t>
        </is>
      </c>
      <c r="K608" s="12" t="n">
        <v>4</v>
      </c>
      <c r="L608" s="9" t="n">
        <v>89.98999999999999</v>
      </c>
      <c r="M608" s="10" t="n">
        <v>0</v>
      </c>
      <c r="N608" s="9" t="n">
        <v>53.99</v>
      </c>
      <c r="O608" s="9">
        <f>K608*L608</f>
        <v/>
      </c>
      <c r="P608" s="9">
        <f>O608*M608</f>
        <v/>
      </c>
      <c r="Q608" s="9">
        <f>O608-P608</f>
        <v/>
      </c>
      <c r="R608" s="9">
        <f>K608*N608</f>
        <v/>
      </c>
      <c r="S608" s="9">
        <f>Q608-R608</f>
        <v/>
      </c>
      <c r="T608" s="10">
        <f>IFERROR(S608/Q608, 0)</f>
        <v/>
      </c>
    </row>
    <row r="609">
      <c r="A609" s="11" t="inlineStr">
        <is>
          <t>ORD-2024-1395</t>
        </is>
      </c>
      <c r="B609" s="11" t="inlineStr">
        <is>
          <t>2024-09-12</t>
        </is>
      </c>
      <c r="C609" s="11" t="inlineStr">
        <is>
          <t>OFF-DSK-007</t>
        </is>
      </c>
      <c r="D609" s="7" t="inlineStr">
        <is>
          <t>Gel Ergo Mouse Pad &amp; Wrist Rest Combo</t>
        </is>
      </c>
      <c r="E609" s="7" t="inlineStr">
        <is>
          <t>Office Supplies</t>
        </is>
      </c>
      <c r="F609" s="7" t="inlineStr">
        <is>
          <t>Desk Supplies</t>
        </is>
      </c>
      <c r="G609" s="7" t="inlineStr">
        <is>
          <t>South</t>
        </is>
      </c>
      <c r="H609" s="7" t="inlineStr">
        <is>
          <t>North Carolina</t>
        </is>
      </c>
      <c r="I609" s="7" t="inlineStr">
        <is>
          <t>Online</t>
        </is>
      </c>
      <c r="J609" s="7" t="inlineStr">
        <is>
          <t>Corporate</t>
        </is>
      </c>
      <c r="K609" s="12" t="n">
        <v>3</v>
      </c>
      <c r="L609" s="9" t="n">
        <v>21.99</v>
      </c>
      <c r="M609" s="10" t="n">
        <v>0.05</v>
      </c>
      <c r="N609" s="9" t="n">
        <v>10.56</v>
      </c>
      <c r="O609" s="9">
        <f>K609*L609</f>
        <v/>
      </c>
      <c r="P609" s="9">
        <f>O609*M609</f>
        <v/>
      </c>
      <c r="Q609" s="9">
        <f>O609-P609</f>
        <v/>
      </c>
      <c r="R609" s="9">
        <f>K609*N609</f>
        <v/>
      </c>
      <c r="S609" s="9">
        <f>Q609-R609</f>
        <v/>
      </c>
      <c r="T609" s="10">
        <f>IFERROR(S609/Q609, 0)</f>
        <v/>
      </c>
    </row>
    <row r="610">
      <c r="A610" s="11" t="inlineStr">
        <is>
          <t>ORD-2024-1645</t>
        </is>
      </c>
      <c r="B610" s="11" t="inlineStr">
        <is>
          <t>2024-09-12</t>
        </is>
      </c>
      <c r="C610" s="11" t="inlineStr">
        <is>
          <t>FUR-DSK-003</t>
        </is>
      </c>
      <c r="D610" s="7" t="inlineStr">
        <is>
          <t>ApexMotor Dual-Motor Standing Desk</t>
        </is>
      </c>
      <c r="E610" s="7" t="inlineStr">
        <is>
          <t>Furniture</t>
        </is>
      </c>
      <c r="F610" s="7" t="inlineStr">
        <is>
          <t>Desks &amp; Workstations</t>
        </is>
      </c>
      <c r="G610" s="7" t="inlineStr">
        <is>
          <t>West</t>
        </is>
      </c>
      <c r="H610" s="7" t="inlineStr">
        <is>
          <t>Oregon</t>
        </is>
      </c>
      <c r="I610" s="7" t="inlineStr">
        <is>
          <t>Online</t>
        </is>
      </c>
      <c r="J610" s="7" t="inlineStr">
        <is>
          <t>Corporate</t>
        </is>
      </c>
      <c r="K610" s="12" t="n">
        <v>5</v>
      </c>
      <c r="L610" s="9" t="n">
        <v>549.99</v>
      </c>
      <c r="M610" s="10" t="n">
        <v>0</v>
      </c>
      <c r="N610" s="9" t="n">
        <v>439.99</v>
      </c>
      <c r="O610" s="9">
        <f>K610*L610</f>
        <v/>
      </c>
      <c r="P610" s="9">
        <f>O610*M610</f>
        <v/>
      </c>
      <c r="Q610" s="9">
        <f>O610-P610</f>
        <v/>
      </c>
      <c r="R610" s="9">
        <f>K610*N610</f>
        <v/>
      </c>
      <c r="S610" s="9">
        <f>Q610-R610</f>
        <v/>
      </c>
      <c r="T610" s="10">
        <f>IFERROR(S610/Q610, 0)</f>
        <v/>
      </c>
    </row>
    <row r="611">
      <c r="A611" s="11" t="inlineStr">
        <is>
          <t>ORD-2024-1645</t>
        </is>
      </c>
      <c r="B611" s="11" t="inlineStr">
        <is>
          <t>2024-09-12</t>
        </is>
      </c>
      <c r="C611" s="11" t="inlineStr">
        <is>
          <t>TEC-ACC-007</t>
        </is>
      </c>
      <c r="D611" s="7" t="inlineStr">
        <is>
          <t>ErgoMechanical Wireless Keyboard</t>
        </is>
      </c>
      <c r="E611" s="7" t="inlineStr">
        <is>
          <t>Technology</t>
        </is>
      </c>
      <c r="F611" s="7" t="inlineStr">
        <is>
          <t>Audio &amp; Accessories</t>
        </is>
      </c>
      <c r="G611" s="7" t="inlineStr">
        <is>
          <t>West</t>
        </is>
      </c>
      <c r="H611" s="7" t="inlineStr">
        <is>
          <t>Oregon</t>
        </is>
      </c>
      <c r="I611" s="7" t="inlineStr">
        <is>
          <t>Online</t>
        </is>
      </c>
      <c r="J611" s="7" t="inlineStr">
        <is>
          <t>Corporate</t>
        </is>
      </c>
      <c r="K611" s="12" t="n">
        <v>6</v>
      </c>
      <c r="L611" s="9" t="n">
        <v>109.99</v>
      </c>
      <c r="M611" s="10" t="n">
        <v>0.1</v>
      </c>
      <c r="N611" s="9" t="n">
        <v>65.98999999999999</v>
      </c>
      <c r="O611" s="9">
        <f>K611*L611</f>
        <v/>
      </c>
      <c r="P611" s="9">
        <f>O611*M611</f>
        <v/>
      </c>
      <c r="Q611" s="9">
        <f>O611-P611</f>
        <v/>
      </c>
      <c r="R611" s="9">
        <f>K611*N611</f>
        <v/>
      </c>
      <c r="S611" s="9">
        <f>Q611-R611</f>
        <v/>
      </c>
      <c r="T611" s="10">
        <f>IFERROR(S611/Q611, 0)</f>
        <v/>
      </c>
    </row>
    <row r="612">
      <c r="A612" s="11" t="inlineStr">
        <is>
          <t>ORD-2024-1645</t>
        </is>
      </c>
      <c r="B612" s="11" t="inlineStr">
        <is>
          <t>2024-09-12</t>
        </is>
      </c>
      <c r="C612" s="11" t="inlineStr">
        <is>
          <t>OFF-STR-002</t>
        </is>
      </c>
      <c r="D612" s="7" t="inlineStr">
        <is>
          <t>Stackable Heavy-Duty Storage Bins (4-Pk)</t>
        </is>
      </c>
      <c r="E612" s="7" t="inlineStr">
        <is>
          <t>Office Supplies</t>
        </is>
      </c>
      <c r="F612" s="7" t="inlineStr">
        <is>
          <t>Storage &amp; Organizers</t>
        </is>
      </c>
      <c r="G612" s="7" t="inlineStr">
        <is>
          <t>West</t>
        </is>
      </c>
      <c r="H612" s="7" t="inlineStr">
        <is>
          <t>Oregon</t>
        </is>
      </c>
      <c r="I612" s="7" t="inlineStr">
        <is>
          <t>Online</t>
        </is>
      </c>
      <c r="J612" s="7" t="inlineStr">
        <is>
          <t>Corporate</t>
        </is>
      </c>
      <c r="K612" s="12" t="n">
        <v>4</v>
      </c>
      <c r="L612" s="9" t="n">
        <v>44.99</v>
      </c>
      <c r="M612" s="10" t="n">
        <v>0.05</v>
      </c>
      <c r="N612" s="9" t="n">
        <v>24.74</v>
      </c>
      <c r="O612" s="9">
        <f>K612*L612</f>
        <v/>
      </c>
      <c r="P612" s="9">
        <f>O612*M612</f>
        <v/>
      </c>
      <c r="Q612" s="9">
        <f>O612-P612</f>
        <v/>
      </c>
      <c r="R612" s="9">
        <f>K612*N612</f>
        <v/>
      </c>
      <c r="S612" s="9">
        <f>Q612-R612</f>
        <v/>
      </c>
      <c r="T612" s="10">
        <f>IFERROR(S612/Q612, 0)</f>
        <v/>
      </c>
    </row>
    <row r="613">
      <c r="A613" s="11" t="inlineStr">
        <is>
          <t>ORD-2024-1605</t>
        </is>
      </c>
      <c r="B613" s="11" t="inlineStr">
        <is>
          <t>2024-09-14</t>
        </is>
      </c>
      <c r="C613" s="11" t="inlineStr">
        <is>
          <t>OFF-DSK-008</t>
        </is>
      </c>
      <c r="D613" s="7" t="inlineStr">
        <is>
          <t>Steel Desktop Mesh Organizer Caddy</t>
        </is>
      </c>
      <c r="E613" s="7" t="inlineStr">
        <is>
          <t>Office Supplies</t>
        </is>
      </c>
      <c r="F613" s="7" t="inlineStr">
        <is>
          <t>Desk Supplies</t>
        </is>
      </c>
      <c r="G613" s="7" t="inlineStr">
        <is>
          <t>Central</t>
        </is>
      </c>
      <c r="H613" s="7" t="inlineStr">
        <is>
          <t>Texas</t>
        </is>
      </c>
      <c r="I613" s="7" t="inlineStr">
        <is>
          <t>Online</t>
        </is>
      </c>
      <c r="J613" s="7" t="inlineStr">
        <is>
          <t>Consumer</t>
        </is>
      </c>
      <c r="K613" s="12" t="n">
        <v>4</v>
      </c>
      <c r="L613" s="9" t="n">
        <v>18.99</v>
      </c>
      <c r="M613" s="10" t="n">
        <v>0.05</v>
      </c>
      <c r="N613" s="9" t="n">
        <v>8.550000000000001</v>
      </c>
      <c r="O613" s="9">
        <f>K613*L613</f>
        <v/>
      </c>
      <c r="P613" s="9">
        <f>O613*M613</f>
        <v/>
      </c>
      <c r="Q613" s="9">
        <f>O613-P613</f>
        <v/>
      </c>
      <c r="R613" s="9">
        <f>K613*N613</f>
        <v/>
      </c>
      <c r="S613" s="9">
        <f>Q613-R613</f>
        <v/>
      </c>
      <c r="T613" s="10">
        <f>IFERROR(S613/Q613, 0)</f>
        <v/>
      </c>
    </row>
    <row r="614">
      <c r="A614" s="11" t="inlineStr">
        <is>
          <t>ORD-2024-1184</t>
        </is>
      </c>
      <c r="B614" s="11" t="inlineStr">
        <is>
          <t>2024-09-15</t>
        </is>
      </c>
      <c r="C614" s="11" t="inlineStr">
        <is>
          <t>FUR-CHA-002</t>
        </is>
      </c>
      <c r="D614" s="7" t="inlineStr">
        <is>
          <t>AeroTask Operator Task Chair</t>
        </is>
      </c>
      <c r="E614" s="7" t="inlineStr">
        <is>
          <t>Furniture</t>
        </is>
      </c>
      <c r="F614" s="7" t="inlineStr">
        <is>
          <t>Chairs</t>
        </is>
      </c>
      <c r="G614" s="7" t="inlineStr">
        <is>
          <t>South</t>
        </is>
      </c>
      <c r="H614" s="7" t="inlineStr">
        <is>
          <t>Virginia</t>
        </is>
      </c>
      <c r="I614" s="7" t="inlineStr">
        <is>
          <t>Direct Sales</t>
        </is>
      </c>
      <c r="J614" s="7" t="inlineStr">
        <is>
          <t>Consumer</t>
        </is>
      </c>
      <c r="K614" s="12" t="n">
        <v>4</v>
      </c>
      <c r="L614" s="9" t="n">
        <v>219.99</v>
      </c>
      <c r="M614" s="10" t="n">
        <v>0</v>
      </c>
      <c r="N614" s="9" t="n">
        <v>171.59</v>
      </c>
      <c r="O614" s="9">
        <f>K614*L614</f>
        <v/>
      </c>
      <c r="P614" s="9">
        <f>O614*M614</f>
        <v/>
      </c>
      <c r="Q614" s="9">
        <f>O614-P614</f>
        <v/>
      </c>
      <c r="R614" s="9">
        <f>K614*N614</f>
        <v/>
      </c>
      <c r="S614" s="9">
        <f>Q614-R614</f>
        <v/>
      </c>
      <c r="T614" s="10">
        <f>IFERROR(S614/Q614, 0)</f>
        <v/>
      </c>
    </row>
    <row r="615">
      <c r="A615" s="11" t="inlineStr">
        <is>
          <t>ORD-2024-1294</t>
        </is>
      </c>
      <c r="B615" s="11" t="inlineStr">
        <is>
          <t>2024-09-15</t>
        </is>
      </c>
      <c r="C615" s="11" t="inlineStr">
        <is>
          <t>TEC-TAB-004</t>
        </is>
      </c>
      <c r="D615" s="7" t="inlineStr">
        <is>
          <t>VisionPad Lite 8.5"</t>
        </is>
      </c>
      <c r="E615" s="7" t="inlineStr">
        <is>
          <t>Technology</t>
        </is>
      </c>
      <c r="F615" s="7" t="inlineStr">
        <is>
          <t>Phones &amp; Tablets</t>
        </is>
      </c>
      <c r="G615" s="7" t="inlineStr">
        <is>
          <t>East</t>
        </is>
      </c>
      <c r="H615" s="7" t="inlineStr">
        <is>
          <t>New Jersey</t>
        </is>
      </c>
      <c r="I615" s="7" t="inlineStr">
        <is>
          <t>Online</t>
        </is>
      </c>
      <c r="J615" s="7" t="inlineStr">
        <is>
          <t>Corporate</t>
        </is>
      </c>
      <c r="K615" s="12" t="n">
        <v>8</v>
      </c>
      <c r="L615" s="9" t="n">
        <v>299.99</v>
      </c>
      <c r="M615" s="10" t="n">
        <v>0.1</v>
      </c>
      <c r="N615" s="9" t="n">
        <v>245.99</v>
      </c>
      <c r="O615" s="9">
        <f>K615*L615</f>
        <v/>
      </c>
      <c r="P615" s="9">
        <f>O615*M615</f>
        <v/>
      </c>
      <c r="Q615" s="9">
        <f>O615-P615</f>
        <v/>
      </c>
      <c r="R615" s="9">
        <f>K615*N615</f>
        <v/>
      </c>
      <c r="S615" s="9">
        <f>Q615-R615</f>
        <v/>
      </c>
      <c r="T615" s="10">
        <f>IFERROR(S615/Q615, 0)</f>
        <v/>
      </c>
    </row>
    <row r="616">
      <c r="A616" s="11" t="inlineStr">
        <is>
          <t>ORD-2024-1525</t>
        </is>
      </c>
      <c r="B616" s="11" t="inlineStr">
        <is>
          <t>2024-09-15</t>
        </is>
      </c>
      <c r="C616" s="11" t="inlineStr">
        <is>
          <t>OFF-STR-001</t>
        </is>
      </c>
      <c r="D616" s="7" t="inlineStr">
        <is>
          <t>SteelLock 3-Drawer File Cabinet</t>
        </is>
      </c>
      <c r="E616" s="7" t="inlineStr">
        <is>
          <t>Office Supplies</t>
        </is>
      </c>
      <c r="F616" s="7" t="inlineStr">
        <is>
          <t>Storage &amp; Organizers</t>
        </is>
      </c>
      <c r="G616" s="7" t="inlineStr">
        <is>
          <t>Central</t>
        </is>
      </c>
      <c r="H616" s="7" t="inlineStr">
        <is>
          <t>Illinois</t>
        </is>
      </c>
      <c r="I616" s="7" t="inlineStr">
        <is>
          <t>Online</t>
        </is>
      </c>
      <c r="J616" s="7" t="inlineStr">
        <is>
          <t>Corporate</t>
        </is>
      </c>
      <c r="K616" s="12" t="n">
        <v>3</v>
      </c>
      <c r="L616" s="9" t="n">
        <v>169.99</v>
      </c>
      <c r="M616" s="10" t="n">
        <v>0</v>
      </c>
      <c r="N616" s="9" t="n">
        <v>115.59</v>
      </c>
      <c r="O616" s="9">
        <f>K616*L616</f>
        <v/>
      </c>
      <c r="P616" s="9">
        <f>O616*M616</f>
        <v/>
      </c>
      <c r="Q616" s="9">
        <f>O616-P616</f>
        <v/>
      </c>
      <c r="R616" s="9">
        <f>K616*N616</f>
        <v/>
      </c>
      <c r="S616" s="9">
        <f>Q616-R616</f>
        <v/>
      </c>
      <c r="T616" s="10">
        <f>IFERROR(S616/Q616, 0)</f>
        <v/>
      </c>
    </row>
    <row r="617">
      <c r="A617" s="11" t="inlineStr">
        <is>
          <t>ORD-2024-1538</t>
        </is>
      </c>
      <c r="B617" s="11" t="inlineStr">
        <is>
          <t>2024-09-15</t>
        </is>
      </c>
      <c r="C617" s="11" t="inlineStr">
        <is>
          <t>TEC-ACC-005</t>
        </is>
      </c>
      <c r="D617" s="7" t="inlineStr">
        <is>
          <t>UltraWireless Noise-Canceling Headset</t>
        </is>
      </c>
      <c r="E617" s="7" t="inlineStr">
        <is>
          <t>Technology</t>
        </is>
      </c>
      <c r="F617" s="7" t="inlineStr">
        <is>
          <t>Audio &amp; Accessories</t>
        </is>
      </c>
      <c r="G617" s="7" t="inlineStr">
        <is>
          <t>East</t>
        </is>
      </c>
      <c r="H617" s="7" t="inlineStr">
        <is>
          <t>Massachusetts</t>
        </is>
      </c>
      <c r="I617" s="7" t="inlineStr">
        <is>
          <t>Direct Sales</t>
        </is>
      </c>
      <c r="J617" s="7" t="inlineStr">
        <is>
          <t>Home Office</t>
        </is>
      </c>
      <c r="K617" s="12" t="n">
        <v>3</v>
      </c>
      <c r="L617" s="9" t="n">
        <v>179.99</v>
      </c>
      <c r="M617" s="10" t="n">
        <v>0.05</v>
      </c>
      <c r="N617" s="9" t="n">
        <v>111.59</v>
      </c>
      <c r="O617" s="9">
        <f>K617*L617</f>
        <v/>
      </c>
      <c r="P617" s="9">
        <f>O617*M617</f>
        <v/>
      </c>
      <c r="Q617" s="9">
        <f>O617-P617</f>
        <v/>
      </c>
      <c r="R617" s="9">
        <f>K617*N617</f>
        <v/>
      </c>
      <c r="S617" s="9">
        <f>Q617-R617</f>
        <v/>
      </c>
      <c r="T617" s="10">
        <f>IFERROR(S617/Q617, 0)</f>
        <v/>
      </c>
    </row>
    <row r="618">
      <c r="A618" s="11" t="inlineStr">
        <is>
          <t>ORD-2024-1565</t>
        </is>
      </c>
      <c r="B618" s="11" t="inlineStr">
        <is>
          <t>2024-09-15</t>
        </is>
      </c>
      <c r="C618" s="11" t="inlineStr">
        <is>
          <t>FUR-CHA-002</t>
        </is>
      </c>
      <c r="D618" s="7" t="inlineStr">
        <is>
          <t>AeroTask Operator Task Chair</t>
        </is>
      </c>
      <c r="E618" s="7" t="inlineStr">
        <is>
          <t>Furniture</t>
        </is>
      </c>
      <c r="F618" s="7" t="inlineStr">
        <is>
          <t>Chairs</t>
        </is>
      </c>
      <c r="G618" s="7" t="inlineStr">
        <is>
          <t>East</t>
        </is>
      </c>
      <c r="H618" s="7" t="inlineStr">
        <is>
          <t>Massachusetts</t>
        </is>
      </c>
      <c r="I618" s="7" t="inlineStr">
        <is>
          <t>Direct Sales</t>
        </is>
      </c>
      <c r="J618" s="7" t="inlineStr">
        <is>
          <t>Consumer</t>
        </is>
      </c>
      <c r="K618" s="12" t="n">
        <v>3</v>
      </c>
      <c r="L618" s="9" t="n">
        <v>219.99</v>
      </c>
      <c r="M618" s="10" t="n">
        <v>0</v>
      </c>
      <c r="N618" s="9" t="n">
        <v>171.59</v>
      </c>
      <c r="O618" s="9">
        <f>K618*L618</f>
        <v/>
      </c>
      <c r="P618" s="9">
        <f>O618*M618</f>
        <v/>
      </c>
      <c r="Q618" s="9">
        <f>O618-P618</f>
        <v/>
      </c>
      <c r="R618" s="9">
        <f>K618*N618</f>
        <v/>
      </c>
      <c r="S618" s="9">
        <f>Q618-R618</f>
        <v/>
      </c>
      <c r="T618" s="10">
        <f>IFERROR(S618/Q618, 0)</f>
        <v/>
      </c>
    </row>
    <row r="619">
      <c r="A619" s="11" t="inlineStr">
        <is>
          <t>ORD-2024-1646</t>
        </is>
      </c>
      <c r="B619" s="11" t="inlineStr">
        <is>
          <t>2024-09-16</t>
        </is>
      </c>
      <c r="C619" s="11" t="inlineStr">
        <is>
          <t>OFF-STR-001</t>
        </is>
      </c>
      <c r="D619" s="7" t="inlineStr">
        <is>
          <t>SteelLock 3-Drawer File Cabinet</t>
        </is>
      </c>
      <c r="E619" s="7" t="inlineStr">
        <is>
          <t>Office Supplies</t>
        </is>
      </c>
      <c r="F619" s="7" t="inlineStr">
        <is>
          <t>Storage &amp; Organizers</t>
        </is>
      </c>
      <c r="G619" s="7" t="inlineStr">
        <is>
          <t>East</t>
        </is>
      </c>
      <c r="H619" s="7" t="inlineStr">
        <is>
          <t>New York</t>
        </is>
      </c>
      <c r="I619" s="7" t="inlineStr">
        <is>
          <t>Online</t>
        </is>
      </c>
      <c r="J619" s="7" t="inlineStr">
        <is>
          <t>Consumer</t>
        </is>
      </c>
      <c r="K619" s="12" t="n">
        <v>4</v>
      </c>
      <c r="L619" s="9" t="n">
        <v>169.99</v>
      </c>
      <c r="M619" s="10" t="n">
        <v>0</v>
      </c>
      <c r="N619" s="9" t="n">
        <v>115.59</v>
      </c>
      <c r="O619" s="9">
        <f>K619*L619</f>
        <v/>
      </c>
      <c r="P619" s="9">
        <f>O619*M619</f>
        <v/>
      </c>
      <c r="Q619" s="9">
        <f>O619-P619</f>
        <v/>
      </c>
      <c r="R619" s="9">
        <f>K619*N619</f>
        <v/>
      </c>
      <c r="S619" s="9">
        <f>Q619-R619</f>
        <v/>
      </c>
      <c r="T619" s="10">
        <f>IFERROR(S619/Q619, 0)</f>
        <v/>
      </c>
    </row>
    <row r="620">
      <c r="A620" s="11" t="inlineStr">
        <is>
          <t>ORD-2024-1228</t>
        </is>
      </c>
      <c r="B620" s="11" t="inlineStr">
        <is>
          <t>2024-09-17</t>
        </is>
      </c>
      <c r="C620" s="11" t="inlineStr">
        <is>
          <t>TEC-LAP-001</t>
        </is>
      </c>
      <c r="D620" s="7" t="inlineStr">
        <is>
          <t>ProBook Elite 15.6"</t>
        </is>
      </c>
      <c r="E620" s="7" t="inlineStr">
        <is>
          <t>Technology</t>
        </is>
      </c>
      <c r="F620" s="7" t="inlineStr">
        <is>
          <t>Laptops</t>
        </is>
      </c>
      <c r="G620" s="7" t="inlineStr">
        <is>
          <t>West</t>
        </is>
      </c>
      <c r="H620" s="7" t="inlineStr">
        <is>
          <t>Colorado</t>
        </is>
      </c>
      <c r="I620" s="7" t="inlineStr">
        <is>
          <t>Wholesale</t>
        </is>
      </c>
      <c r="J620" s="7" t="inlineStr">
        <is>
          <t>Corporate</t>
        </is>
      </c>
      <c r="K620" s="12" t="n">
        <v>7</v>
      </c>
      <c r="L620" s="9" t="n">
        <v>1199.99</v>
      </c>
      <c r="M620" s="10" t="n">
        <v>0.1</v>
      </c>
      <c r="N620" s="9" t="n">
        <v>863.99</v>
      </c>
      <c r="O620" s="9">
        <f>K620*L620</f>
        <v/>
      </c>
      <c r="P620" s="9">
        <f>O620*M620</f>
        <v/>
      </c>
      <c r="Q620" s="9">
        <f>O620-P620</f>
        <v/>
      </c>
      <c r="R620" s="9">
        <f>K620*N620</f>
        <v/>
      </c>
      <c r="S620" s="9">
        <f>Q620-R620</f>
        <v/>
      </c>
      <c r="T620" s="10">
        <f>IFERROR(S620/Q620, 0)</f>
        <v/>
      </c>
    </row>
    <row r="621">
      <c r="A621" s="11" t="inlineStr">
        <is>
          <t>ORD-2024-1351</t>
        </is>
      </c>
      <c r="B621" s="11" t="inlineStr">
        <is>
          <t>2024-09-17</t>
        </is>
      </c>
      <c r="C621" s="11" t="inlineStr">
        <is>
          <t>FUR-DSK-004</t>
        </is>
      </c>
      <c r="D621" s="7" t="inlineStr">
        <is>
          <t>Metro Compact Corner Workstation</t>
        </is>
      </c>
      <c r="E621" s="7" t="inlineStr">
        <is>
          <t>Furniture</t>
        </is>
      </c>
      <c r="F621" s="7" t="inlineStr">
        <is>
          <t>Desks &amp; Workstations</t>
        </is>
      </c>
      <c r="G621" s="7" t="inlineStr">
        <is>
          <t>South</t>
        </is>
      </c>
      <c r="H621" s="7" t="inlineStr">
        <is>
          <t>Georgia</t>
        </is>
      </c>
      <c r="I621" s="7" t="inlineStr">
        <is>
          <t>Online</t>
        </is>
      </c>
      <c r="J621" s="7" t="inlineStr">
        <is>
          <t>Consumer</t>
        </is>
      </c>
      <c r="K621" s="12" t="n">
        <v>3</v>
      </c>
      <c r="L621" s="9" t="n">
        <v>329.99</v>
      </c>
      <c r="M621" s="10" t="n">
        <v>0.05</v>
      </c>
      <c r="N621" s="9" t="n">
        <v>250.79</v>
      </c>
      <c r="O621" s="9">
        <f>K621*L621</f>
        <v/>
      </c>
      <c r="P621" s="9">
        <f>O621*M621</f>
        <v/>
      </c>
      <c r="Q621" s="9">
        <f>O621-P621</f>
        <v/>
      </c>
      <c r="R621" s="9">
        <f>K621*N621</f>
        <v/>
      </c>
      <c r="S621" s="9">
        <f>Q621-R621</f>
        <v/>
      </c>
      <c r="T621" s="10">
        <f>IFERROR(S621/Q621, 0)</f>
        <v/>
      </c>
    </row>
    <row r="622">
      <c r="A622" s="11" t="inlineStr">
        <is>
          <t>ORD-2024-1461</t>
        </is>
      </c>
      <c r="B622" s="11" t="inlineStr">
        <is>
          <t>2024-09-17</t>
        </is>
      </c>
      <c r="C622" s="11" t="inlineStr">
        <is>
          <t>OFF-PAP-004</t>
        </is>
      </c>
      <c r="D622" s="7" t="inlineStr">
        <is>
          <t>EcoRecycled Copy Paper (5 Reams)</t>
        </is>
      </c>
      <c r="E622" s="7" t="inlineStr">
        <is>
          <t>Office Supplies</t>
        </is>
      </c>
      <c r="F622" s="7" t="inlineStr">
        <is>
          <t>Paper Products</t>
        </is>
      </c>
      <c r="G622" s="7" t="inlineStr">
        <is>
          <t>West</t>
        </is>
      </c>
      <c r="H622" s="7" t="inlineStr">
        <is>
          <t>Colorado</t>
        </is>
      </c>
      <c r="I622" s="7" t="inlineStr">
        <is>
          <t>Retail Partner</t>
        </is>
      </c>
      <c r="J622" s="7" t="inlineStr">
        <is>
          <t>Corporate</t>
        </is>
      </c>
      <c r="K622" s="12" t="n">
        <v>4</v>
      </c>
      <c r="L622" s="9" t="n">
        <v>32.99</v>
      </c>
      <c r="M622" s="10" t="n">
        <v>0</v>
      </c>
      <c r="N622" s="9" t="n">
        <v>19.79</v>
      </c>
      <c r="O622" s="9">
        <f>K622*L622</f>
        <v/>
      </c>
      <c r="P622" s="9">
        <f>O622*M622</f>
        <v/>
      </c>
      <c r="Q622" s="9">
        <f>O622-P622</f>
        <v/>
      </c>
      <c r="R622" s="9">
        <f>K622*N622</f>
        <v/>
      </c>
      <c r="S622" s="9">
        <f>Q622-R622</f>
        <v/>
      </c>
      <c r="T622" s="10">
        <f>IFERROR(S622/Q622, 0)</f>
        <v/>
      </c>
    </row>
    <row r="623">
      <c r="A623" s="11" t="inlineStr">
        <is>
          <t>ORD-2024-1469</t>
        </is>
      </c>
      <c r="B623" s="11" t="inlineStr">
        <is>
          <t>2024-09-17</t>
        </is>
      </c>
      <c r="C623" s="11" t="inlineStr">
        <is>
          <t>OFF-BIN-005</t>
        </is>
      </c>
      <c r="D623" s="7" t="inlineStr">
        <is>
          <t>Heavy-Duty D-Ring Presentation Binder (6-Pk)</t>
        </is>
      </c>
      <c r="E623" s="7" t="inlineStr">
        <is>
          <t>Office Supplies</t>
        </is>
      </c>
      <c r="F623" s="7" t="inlineStr">
        <is>
          <t>Binders &amp; Fasteners</t>
        </is>
      </c>
      <c r="G623" s="7" t="inlineStr">
        <is>
          <t>East</t>
        </is>
      </c>
      <c r="H623" s="7" t="inlineStr">
        <is>
          <t>New Jersey</t>
        </is>
      </c>
      <c r="I623" s="7" t="inlineStr">
        <is>
          <t>Online</t>
        </is>
      </c>
      <c r="J623" s="7" t="inlineStr">
        <is>
          <t>Home Office</t>
        </is>
      </c>
      <c r="K623" s="12" t="n">
        <v>3</v>
      </c>
      <c r="L623" s="9" t="n">
        <v>27.99</v>
      </c>
      <c r="M623" s="10" t="n">
        <v>0</v>
      </c>
      <c r="N623" s="9" t="n">
        <v>13.99</v>
      </c>
      <c r="O623" s="9">
        <f>K623*L623</f>
        <v/>
      </c>
      <c r="P623" s="9">
        <f>O623*M623</f>
        <v/>
      </c>
      <c r="Q623" s="9">
        <f>O623-P623</f>
        <v/>
      </c>
      <c r="R623" s="9">
        <f>K623*N623</f>
        <v/>
      </c>
      <c r="S623" s="9">
        <f>Q623-R623</f>
        <v/>
      </c>
      <c r="T623" s="10">
        <f>IFERROR(S623/Q623, 0)</f>
        <v/>
      </c>
    </row>
    <row r="624">
      <c r="A624" s="11" t="inlineStr">
        <is>
          <t>ORD-2024-1005</t>
        </is>
      </c>
      <c r="B624" s="11" t="inlineStr">
        <is>
          <t>2024-09-18</t>
        </is>
      </c>
      <c r="C624" s="11" t="inlineStr">
        <is>
          <t>TEC-ACC-008</t>
        </is>
      </c>
      <c r="D624" s="7" t="inlineStr">
        <is>
          <t>Precision Laser Bluetooth Mouse</t>
        </is>
      </c>
      <c r="E624" s="7" t="inlineStr">
        <is>
          <t>Technology</t>
        </is>
      </c>
      <c r="F624" s="7" t="inlineStr">
        <is>
          <t>Audio &amp; Accessories</t>
        </is>
      </c>
      <c r="G624" s="7" t="inlineStr">
        <is>
          <t>West</t>
        </is>
      </c>
      <c r="H624" s="7" t="inlineStr">
        <is>
          <t>Colorado</t>
        </is>
      </c>
      <c r="I624" s="7" t="inlineStr">
        <is>
          <t>Direct Sales</t>
        </is>
      </c>
      <c r="J624" s="7" t="inlineStr">
        <is>
          <t>Consumer</t>
        </is>
      </c>
      <c r="K624" s="12" t="n">
        <v>4</v>
      </c>
      <c r="L624" s="9" t="n">
        <v>49.99</v>
      </c>
      <c r="M624" s="10" t="n">
        <v>0.1</v>
      </c>
      <c r="N624" s="9" t="n">
        <v>27.49</v>
      </c>
      <c r="O624" s="9">
        <f>K624*L624</f>
        <v/>
      </c>
      <c r="P624" s="9">
        <f>O624*M624</f>
        <v/>
      </c>
      <c r="Q624" s="9">
        <f>O624-P624</f>
        <v/>
      </c>
      <c r="R624" s="9">
        <f>K624*N624</f>
        <v/>
      </c>
      <c r="S624" s="9">
        <f>Q624-R624</f>
        <v/>
      </c>
      <c r="T624" s="10">
        <f>IFERROR(S624/Q624, 0)</f>
        <v/>
      </c>
    </row>
    <row r="625">
      <c r="A625" s="11" t="inlineStr">
        <is>
          <t>ORD-2024-1213</t>
        </is>
      </c>
      <c r="B625" s="11" t="inlineStr">
        <is>
          <t>2024-09-18</t>
        </is>
      </c>
      <c r="C625" s="11" t="inlineStr">
        <is>
          <t>OFF-PAP-004</t>
        </is>
      </c>
      <c r="D625" s="7" t="inlineStr">
        <is>
          <t>EcoRecycled Copy Paper (5 Reams)</t>
        </is>
      </c>
      <c r="E625" s="7" t="inlineStr">
        <is>
          <t>Office Supplies</t>
        </is>
      </c>
      <c r="F625" s="7" t="inlineStr">
        <is>
          <t>Paper Products</t>
        </is>
      </c>
      <c r="G625" s="7" t="inlineStr">
        <is>
          <t>South</t>
        </is>
      </c>
      <c r="H625" s="7" t="inlineStr">
        <is>
          <t>Florida</t>
        </is>
      </c>
      <c r="I625" s="7" t="inlineStr">
        <is>
          <t>Online</t>
        </is>
      </c>
      <c r="J625" s="7" t="inlineStr">
        <is>
          <t>Corporate</t>
        </is>
      </c>
      <c r="K625" s="12" t="n">
        <v>5</v>
      </c>
      <c r="L625" s="9" t="n">
        <v>32.99</v>
      </c>
      <c r="M625" s="10" t="n">
        <v>0.05</v>
      </c>
      <c r="N625" s="9" t="n">
        <v>19.79</v>
      </c>
      <c r="O625" s="9">
        <f>K625*L625</f>
        <v/>
      </c>
      <c r="P625" s="9">
        <f>O625*M625</f>
        <v/>
      </c>
      <c r="Q625" s="9">
        <f>O625-P625</f>
        <v/>
      </c>
      <c r="R625" s="9">
        <f>K625*N625</f>
        <v/>
      </c>
      <c r="S625" s="9">
        <f>Q625-R625</f>
        <v/>
      </c>
      <c r="T625" s="10">
        <f>IFERROR(S625/Q625, 0)</f>
        <v/>
      </c>
    </row>
    <row r="626">
      <c r="A626" s="11" t="inlineStr">
        <is>
          <t>ORD-2024-1301</t>
        </is>
      </c>
      <c r="B626" s="11" t="inlineStr">
        <is>
          <t>2024-09-18</t>
        </is>
      </c>
      <c r="C626" s="11" t="inlineStr">
        <is>
          <t>OFF-BIN-005</t>
        </is>
      </c>
      <c r="D626" s="7" t="inlineStr">
        <is>
          <t>Heavy-Duty D-Ring Presentation Binder (6-Pk)</t>
        </is>
      </c>
      <c r="E626" s="7" t="inlineStr">
        <is>
          <t>Office Supplies</t>
        </is>
      </c>
      <c r="F626" s="7" t="inlineStr">
        <is>
          <t>Binders &amp; Fasteners</t>
        </is>
      </c>
      <c r="G626" s="7" t="inlineStr">
        <is>
          <t>East</t>
        </is>
      </c>
      <c r="H626" s="7" t="inlineStr">
        <is>
          <t>New York</t>
        </is>
      </c>
      <c r="I626" s="7" t="inlineStr">
        <is>
          <t>Retail Partner</t>
        </is>
      </c>
      <c r="J626" s="7" t="inlineStr">
        <is>
          <t>Consumer</t>
        </is>
      </c>
      <c r="K626" s="12" t="n">
        <v>3</v>
      </c>
      <c r="L626" s="9" t="n">
        <v>27.99</v>
      </c>
      <c r="M626" s="10" t="n">
        <v>0</v>
      </c>
      <c r="N626" s="9" t="n">
        <v>13.99</v>
      </c>
      <c r="O626" s="9">
        <f>K626*L626</f>
        <v/>
      </c>
      <c r="P626" s="9">
        <f>O626*M626</f>
        <v/>
      </c>
      <c r="Q626" s="9">
        <f>O626-P626</f>
        <v/>
      </c>
      <c r="R626" s="9">
        <f>K626*N626</f>
        <v/>
      </c>
      <c r="S626" s="9">
        <f>Q626-R626</f>
        <v/>
      </c>
      <c r="T626" s="10">
        <f>IFERROR(S626/Q626, 0)</f>
        <v/>
      </c>
    </row>
    <row r="627">
      <c r="A627" s="11" t="inlineStr">
        <is>
          <t>ORD-2024-1684</t>
        </is>
      </c>
      <c r="B627" s="11" t="inlineStr">
        <is>
          <t>2024-09-18</t>
        </is>
      </c>
      <c r="C627" s="11" t="inlineStr">
        <is>
          <t>OFF-ART-006</t>
        </is>
      </c>
      <c r="D627" s="7" t="inlineStr">
        <is>
          <t>Professional Presentation Dry Erase Board</t>
        </is>
      </c>
      <c r="E627" s="7" t="inlineStr">
        <is>
          <t>Office Supplies</t>
        </is>
      </c>
      <c r="F627" s="7" t="inlineStr">
        <is>
          <t>Presentation &amp; Art</t>
        </is>
      </c>
      <c r="G627" s="7" t="inlineStr">
        <is>
          <t>Central</t>
        </is>
      </c>
      <c r="H627" s="7" t="inlineStr">
        <is>
          <t>Ohio</t>
        </is>
      </c>
      <c r="I627" s="7" t="inlineStr">
        <is>
          <t>Direct Sales</t>
        </is>
      </c>
      <c r="J627" s="7" t="inlineStr">
        <is>
          <t>Consumer</t>
        </is>
      </c>
      <c r="K627" s="12" t="n">
        <v>2</v>
      </c>
      <c r="L627" s="9" t="n">
        <v>89.98999999999999</v>
      </c>
      <c r="M627" s="10" t="n">
        <v>0</v>
      </c>
      <c r="N627" s="9" t="n">
        <v>53.99</v>
      </c>
      <c r="O627" s="9">
        <f>K627*L627</f>
        <v/>
      </c>
      <c r="P627" s="9">
        <f>O627*M627</f>
        <v/>
      </c>
      <c r="Q627" s="9">
        <f>O627-P627</f>
        <v/>
      </c>
      <c r="R627" s="9">
        <f>K627*N627</f>
        <v/>
      </c>
      <c r="S627" s="9">
        <f>Q627-R627</f>
        <v/>
      </c>
      <c r="T627" s="10">
        <f>IFERROR(S627/Q627, 0)</f>
        <v/>
      </c>
    </row>
    <row r="628">
      <c r="A628" s="11" t="inlineStr">
        <is>
          <t>ORD-2024-1684</t>
        </is>
      </c>
      <c r="B628" s="11" t="inlineStr">
        <is>
          <t>2024-09-18</t>
        </is>
      </c>
      <c r="C628" s="11" t="inlineStr">
        <is>
          <t>FUR-DSK-003</t>
        </is>
      </c>
      <c r="D628" s="7" t="inlineStr">
        <is>
          <t>ApexMotor Dual-Motor Standing Desk</t>
        </is>
      </c>
      <c r="E628" s="7" t="inlineStr">
        <is>
          <t>Furniture</t>
        </is>
      </c>
      <c r="F628" s="7" t="inlineStr">
        <is>
          <t>Desks &amp; Workstations</t>
        </is>
      </c>
      <c r="G628" s="7" t="inlineStr">
        <is>
          <t>Central</t>
        </is>
      </c>
      <c r="H628" s="7" t="inlineStr">
        <is>
          <t>Ohio</t>
        </is>
      </c>
      <c r="I628" s="7" t="inlineStr">
        <is>
          <t>Direct Sales</t>
        </is>
      </c>
      <c r="J628" s="7" t="inlineStr">
        <is>
          <t>Consumer</t>
        </is>
      </c>
      <c r="K628" s="12" t="n">
        <v>3</v>
      </c>
      <c r="L628" s="9" t="n">
        <v>549.99</v>
      </c>
      <c r="M628" s="10" t="n">
        <v>0.05</v>
      </c>
      <c r="N628" s="9" t="n">
        <v>439.99</v>
      </c>
      <c r="O628" s="9">
        <f>K628*L628</f>
        <v/>
      </c>
      <c r="P628" s="9">
        <f>O628*M628</f>
        <v/>
      </c>
      <c r="Q628" s="9">
        <f>O628-P628</f>
        <v/>
      </c>
      <c r="R628" s="9">
        <f>K628*N628</f>
        <v/>
      </c>
      <c r="S628" s="9">
        <f>Q628-R628</f>
        <v/>
      </c>
      <c r="T628" s="10">
        <f>IFERROR(S628/Q628, 0)</f>
        <v/>
      </c>
    </row>
    <row r="629">
      <c r="A629" s="11" t="inlineStr">
        <is>
          <t>ORD-2024-1684</t>
        </is>
      </c>
      <c r="B629" s="11" t="inlineStr">
        <is>
          <t>2024-09-18</t>
        </is>
      </c>
      <c r="C629" s="11" t="inlineStr">
        <is>
          <t>FUR-CHA-002</t>
        </is>
      </c>
      <c r="D629" s="7" t="inlineStr">
        <is>
          <t>AeroTask Operator Task Chair</t>
        </is>
      </c>
      <c r="E629" s="7" t="inlineStr">
        <is>
          <t>Furniture</t>
        </is>
      </c>
      <c r="F629" s="7" t="inlineStr">
        <is>
          <t>Chairs</t>
        </is>
      </c>
      <c r="G629" s="7" t="inlineStr">
        <is>
          <t>Central</t>
        </is>
      </c>
      <c r="H629" s="7" t="inlineStr">
        <is>
          <t>Ohio</t>
        </is>
      </c>
      <c r="I629" s="7" t="inlineStr">
        <is>
          <t>Direct Sales</t>
        </is>
      </c>
      <c r="J629" s="7" t="inlineStr">
        <is>
          <t>Consumer</t>
        </is>
      </c>
      <c r="K629" s="12" t="n">
        <v>3</v>
      </c>
      <c r="L629" s="9" t="n">
        <v>219.99</v>
      </c>
      <c r="M629" s="10" t="n">
        <v>0</v>
      </c>
      <c r="N629" s="9" t="n">
        <v>171.59</v>
      </c>
      <c r="O629" s="9">
        <f>K629*L629</f>
        <v/>
      </c>
      <c r="P629" s="9">
        <f>O629*M629</f>
        <v/>
      </c>
      <c r="Q629" s="9">
        <f>O629-P629</f>
        <v/>
      </c>
      <c r="R629" s="9">
        <f>K629*N629</f>
        <v/>
      </c>
      <c r="S629" s="9">
        <f>Q629-R629</f>
        <v/>
      </c>
      <c r="T629" s="10">
        <f>IFERROR(S629/Q629, 0)</f>
        <v/>
      </c>
    </row>
    <row r="630">
      <c r="A630" s="11" t="inlineStr">
        <is>
          <t>ORD-2024-1113</t>
        </is>
      </c>
      <c r="B630" s="11" t="inlineStr">
        <is>
          <t>2024-09-19</t>
        </is>
      </c>
      <c r="C630" s="11" t="inlineStr">
        <is>
          <t>FUR-BOK-005</t>
        </is>
      </c>
      <c r="D630" s="7" t="inlineStr">
        <is>
          <t>Modular 5-Tier Steel Bookcase</t>
        </is>
      </c>
      <c r="E630" s="7" t="inlineStr">
        <is>
          <t>Furniture</t>
        </is>
      </c>
      <c r="F630" s="7" t="inlineStr">
        <is>
          <t>Bookcases</t>
        </is>
      </c>
      <c r="G630" s="7" t="inlineStr">
        <is>
          <t>Central</t>
        </is>
      </c>
      <c r="H630" s="7" t="inlineStr">
        <is>
          <t>Texas</t>
        </is>
      </c>
      <c r="I630" s="7" t="inlineStr">
        <is>
          <t>Online</t>
        </is>
      </c>
      <c r="J630" s="7" t="inlineStr">
        <is>
          <t>Corporate</t>
        </is>
      </c>
      <c r="K630" s="12" t="n">
        <v>5</v>
      </c>
      <c r="L630" s="9" t="n">
        <v>189.99</v>
      </c>
      <c r="M630" s="10" t="n">
        <v>0</v>
      </c>
      <c r="N630" s="9" t="n">
        <v>142.49</v>
      </c>
      <c r="O630" s="9">
        <f>K630*L630</f>
        <v/>
      </c>
      <c r="P630" s="9">
        <f>O630*M630</f>
        <v/>
      </c>
      <c r="Q630" s="9">
        <f>O630-P630</f>
        <v/>
      </c>
      <c r="R630" s="9">
        <f>K630*N630</f>
        <v/>
      </c>
      <c r="S630" s="9">
        <f>Q630-R630</f>
        <v/>
      </c>
      <c r="T630" s="10">
        <f>IFERROR(S630/Q630, 0)</f>
        <v/>
      </c>
    </row>
    <row r="631">
      <c r="A631" s="11" t="inlineStr">
        <is>
          <t>ORD-2024-1676</t>
        </is>
      </c>
      <c r="B631" s="11" t="inlineStr">
        <is>
          <t>2024-09-19</t>
        </is>
      </c>
      <c r="C631" s="11" t="inlineStr">
        <is>
          <t>FUR-CHA-001</t>
        </is>
      </c>
      <c r="D631" s="7" t="inlineStr">
        <is>
          <t>ErgoFlex Executive Mesh Chair</t>
        </is>
      </c>
      <c r="E631" s="7" t="inlineStr">
        <is>
          <t>Furniture</t>
        </is>
      </c>
      <c r="F631" s="7" t="inlineStr">
        <is>
          <t>Chairs</t>
        </is>
      </c>
      <c r="G631" s="7" t="inlineStr">
        <is>
          <t>West</t>
        </is>
      </c>
      <c r="H631" s="7" t="inlineStr">
        <is>
          <t>California</t>
        </is>
      </c>
      <c r="I631" s="7" t="inlineStr">
        <is>
          <t>Wholesale</t>
        </is>
      </c>
      <c r="J631" s="7" t="inlineStr">
        <is>
          <t>Corporate</t>
        </is>
      </c>
      <c r="K631" s="12" t="n">
        <v>13</v>
      </c>
      <c r="L631" s="9" t="n">
        <v>389.99</v>
      </c>
      <c r="M631" s="10" t="n">
        <v>0.15</v>
      </c>
      <c r="N631" s="9" t="n">
        <v>331.49</v>
      </c>
      <c r="O631" s="9">
        <f>K631*L631</f>
        <v/>
      </c>
      <c r="P631" s="9">
        <f>O631*M631</f>
        <v/>
      </c>
      <c r="Q631" s="9">
        <f>O631-P631</f>
        <v/>
      </c>
      <c r="R631" s="9">
        <f>K631*N631</f>
        <v/>
      </c>
      <c r="S631" s="9">
        <f>Q631-R631</f>
        <v/>
      </c>
      <c r="T631" s="10">
        <f>IFERROR(S631/Q631, 0)</f>
        <v/>
      </c>
    </row>
    <row r="632">
      <c r="A632" s="11" t="inlineStr">
        <is>
          <t>ORD-2024-1579</t>
        </is>
      </c>
      <c r="B632" s="11" t="inlineStr">
        <is>
          <t>2024-09-20</t>
        </is>
      </c>
      <c r="C632" s="11" t="inlineStr">
        <is>
          <t>OFF-DSK-008</t>
        </is>
      </c>
      <c r="D632" s="7" t="inlineStr">
        <is>
          <t>Steel Desktop Mesh Organizer Caddy</t>
        </is>
      </c>
      <c r="E632" s="7" t="inlineStr">
        <is>
          <t>Office Supplies</t>
        </is>
      </c>
      <c r="F632" s="7" t="inlineStr">
        <is>
          <t>Desk Supplies</t>
        </is>
      </c>
      <c r="G632" s="7" t="inlineStr">
        <is>
          <t>South</t>
        </is>
      </c>
      <c r="H632" s="7" t="inlineStr">
        <is>
          <t>Virginia</t>
        </is>
      </c>
      <c r="I632" s="7" t="inlineStr">
        <is>
          <t>Online</t>
        </is>
      </c>
      <c r="J632" s="7" t="inlineStr">
        <is>
          <t>Consumer</t>
        </is>
      </c>
      <c r="K632" s="12" t="n">
        <v>4</v>
      </c>
      <c r="L632" s="9" t="n">
        <v>18.99</v>
      </c>
      <c r="M632" s="10" t="n">
        <v>0.1</v>
      </c>
      <c r="N632" s="9" t="n">
        <v>8.550000000000001</v>
      </c>
      <c r="O632" s="9">
        <f>K632*L632</f>
        <v/>
      </c>
      <c r="P632" s="9">
        <f>O632*M632</f>
        <v/>
      </c>
      <c r="Q632" s="9">
        <f>O632-P632</f>
        <v/>
      </c>
      <c r="R632" s="9">
        <f>K632*N632</f>
        <v/>
      </c>
      <c r="S632" s="9">
        <f>Q632-R632</f>
        <v/>
      </c>
      <c r="T632" s="10">
        <f>IFERROR(S632/Q632, 0)</f>
        <v/>
      </c>
    </row>
    <row r="633">
      <c r="A633" s="11" t="inlineStr">
        <is>
          <t>ORD-2024-1502</t>
        </is>
      </c>
      <c r="B633" s="11" t="inlineStr">
        <is>
          <t>2024-09-21</t>
        </is>
      </c>
      <c r="C633" s="11" t="inlineStr">
        <is>
          <t>TEC-ACC-005</t>
        </is>
      </c>
      <c r="D633" s="7" t="inlineStr">
        <is>
          <t>UltraWireless Noise-Canceling Headset</t>
        </is>
      </c>
      <c r="E633" s="7" t="inlineStr">
        <is>
          <t>Technology</t>
        </is>
      </c>
      <c r="F633" s="7" t="inlineStr">
        <is>
          <t>Audio &amp; Accessories</t>
        </is>
      </c>
      <c r="G633" s="7" t="inlineStr">
        <is>
          <t>East</t>
        </is>
      </c>
      <c r="H633" s="7" t="inlineStr">
        <is>
          <t>New Jersey</t>
        </is>
      </c>
      <c r="I633" s="7" t="inlineStr">
        <is>
          <t>Online</t>
        </is>
      </c>
      <c r="J633" s="7" t="inlineStr">
        <is>
          <t>Home Office</t>
        </is>
      </c>
      <c r="K633" s="12" t="n">
        <v>4</v>
      </c>
      <c r="L633" s="9" t="n">
        <v>179.99</v>
      </c>
      <c r="M633" s="10" t="n">
        <v>0.1</v>
      </c>
      <c r="N633" s="9" t="n">
        <v>111.59</v>
      </c>
      <c r="O633" s="9">
        <f>K633*L633</f>
        <v/>
      </c>
      <c r="P633" s="9">
        <f>O633*M633</f>
        <v/>
      </c>
      <c r="Q633" s="9">
        <f>O633-P633</f>
        <v/>
      </c>
      <c r="R633" s="9">
        <f>K633*N633</f>
        <v/>
      </c>
      <c r="S633" s="9">
        <f>Q633-R633</f>
        <v/>
      </c>
      <c r="T633" s="10">
        <f>IFERROR(S633/Q633, 0)</f>
        <v/>
      </c>
    </row>
    <row r="634">
      <c r="A634" s="11" t="inlineStr">
        <is>
          <t>ORD-2024-1471</t>
        </is>
      </c>
      <c r="B634" s="11" t="inlineStr">
        <is>
          <t>2024-09-22</t>
        </is>
      </c>
      <c r="C634" s="11" t="inlineStr">
        <is>
          <t>FUR-LGT-006</t>
        </is>
      </c>
      <c r="D634" s="7" t="inlineStr">
        <is>
          <t>Architect LED Desk Task Lamp</t>
        </is>
      </c>
      <c r="E634" s="7" t="inlineStr">
        <is>
          <t>Furniture</t>
        </is>
      </c>
      <c r="F634" s="7" t="inlineStr">
        <is>
          <t>Lighting</t>
        </is>
      </c>
      <c r="G634" s="7" t="inlineStr">
        <is>
          <t>Central</t>
        </is>
      </c>
      <c r="H634" s="7" t="inlineStr">
        <is>
          <t>Illinois</t>
        </is>
      </c>
      <c r="I634" s="7" t="inlineStr">
        <is>
          <t>Wholesale</t>
        </is>
      </c>
      <c r="J634" s="7" t="inlineStr">
        <is>
          <t>Consumer</t>
        </is>
      </c>
      <c r="K634" s="12" t="n">
        <v>14</v>
      </c>
      <c r="L634" s="9" t="n">
        <v>69.98999999999999</v>
      </c>
      <c r="M634" s="10" t="n">
        <v>0.1</v>
      </c>
      <c r="N634" s="9" t="n">
        <v>43.39</v>
      </c>
      <c r="O634" s="9">
        <f>K634*L634</f>
        <v/>
      </c>
      <c r="P634" s="9">
        <f>O634*M634</f>
        <v/>
      </c>
      <c r="Q634" s="9">
        <f>O634-P634</f>
        <v/>
      </c>
      <c r="R634" s="9">
        <f>K634*N634</f>
        <v/>
      </c>
      <c r="S634" s="9">
        <f>Q634-R634</f>
        <v/>
      </c>
      <c r="T634" s="10">
        <f>IFERROR(S634/Q634, 0)</f>
        <v/>
      </c>
    </row>
    <row r="635">
      <c r="A635" s="11" t="inlineStr">
        <is>
          <t>ORD-2024-1540</t>
        </is>
      </c>
      <c r="B635" s="11" t="inlineStr">
        <is>
          <t>2024-09-22</t>
        </is>
      </c>
      <c r="C635" s="11" t="inlineStr">
        <is>
          <t>OFF-ART-006</t>
        </is>
      </c>
      <c r="D635" s="7" t="inlineStr">
        <is>
          <t>Professional Presentation Dry Erase Board</t>
        </is>
      </c>
      <c r="E635" s="7" t="inlineStr">
        <is>
          <t>Office Supplies</t>
        </is>
      </c>
      <c r="F635" s="7" t="inlineStr">
        <is>
          <t>Presentation &amp; Art</t>
        </is>
      </c>
      <c r="G635" s="7" t="inlineStr">
        <is>
          <t>South</t>
        </is>
      </c>
      <c r="H635" s="7" t="inlineStr">
        <is>
          <t>Virginia</t>
        </is>
      </c>
      <c r="I635" s="7" t="inlineStr">
        <is>
          <t>Wholesale</t>
        </is>
      </c>
      <c r="J635" s="7" t="inlineStr">
        <is>
          <t>Consumer</t>
        </is>
      </c>
      <c r="K635" s="12" t="n">
        <v>5</v>
      </c>
      <c r="L635" s="9" t="n">
        <v>89.98999999999999</v>
      </c>
      <c r="M635" s="10" t="n">
        <v>0.1</v>
      </c>
      <c r="N635" s="9" t="n">
        <v>53.99</v>
      </c>
      <c r="O635" s="9">
        <f>K635*L635</f>
        <v/>
      </c>
      <c r="P635" s="9">
        <f>O635*M635</f>
        <v/>
      </c>
      <c r="Q635" s="9">
        <f>O635-P635</f>
        <v/>
      </c>
      <c r="R635" s="9">
        <f>K635*N635</f>
        <v/>
      </c>
      <c r="S635" s="9">
        <f>Q635-R635</f>
        <v/>
      </c>
      <c r="T635" s="10">
        <f>IFERROR(S635/Q635, 0)</f>
        <v/>
      </c>
    </row>
    <row r="636">
      <c r="A636" s="11" t="inlineStr">
        <is>
          <t>ORD-2024-1246</t>
        </is>
      </c>
      <c r="B636" s="11" t="inlineStr">
        <is>
          <t>2024-09-23</t>
        </is>
      </c>
      <c r="C636" s="11" t="inlineStr">
        <is>
          <t>OFF-STR-001</t>
        </is>
      </c>
      <c r="D636" s="7" t="inlineStr">
        <is>
          <t>SteelLock 3-Drawer File Cabinet</t>
        </is>
      </c>
      <c r="E636" s="7" t="inlineStr">
        <is>
          <t>Office Supplies</t>
        </is>
      </c>
      <c r="F636" s="7" t="inlineStr">
        <is>
          <t>Storage &amp; Organizers</t>
        </is>
      </c>
      <c r="G636" s="7" t="inlineStr">
        <is>
          <t>East</t>
        </is>
      </c>
      <c r="H636" s="7" t="inlineStr">
        <is>
          <t>Massachusetts</t>
        </is>
      </c>
      <c r="I636" s="7" t="inlineStr">
        <is>
          <t>Direct Sales</t>
        </is>
      </c>
      <c r="J636" s="7" t="inlineStr">
        <is>
          <t>Consumer</t>
        </is>
      </c>
      <c r="K636" s="12" t="n">
        <v>3</v>
      </c>
      <c r="L636" s="9" t="n">
        <v>169.99</v>
      </c>
      <c r="M636" s="10" t="n">
        <v>0.1</v>
      </c>
      <c r="N636" s="9" t="n">
        <v>115.59</v>
      </c>
      <c r="O636" s="9">
        <f>K636*L636</f>
        <v/>
      </c>
      <c r="P636" s="9">
        <f>O636*M636</f>
        <v/>
      </c>
      <c r="Q636" s="9">
        <f>O636-P636</f>
        <v/>
      </c>
      <c r="R636" s="9">
        <f>K636*N636</f>
        <v/>
      </c>
      <c r="S636" s="9">
        <f>Q636-R636</f>
        <v/>
      </c>
      <c r="T636" s="10">
        <f>IFERROR(S636/Q636, 0)</f>
        <v/>
      </c>
    </row>
    <row r="637">
      <c r="A637" s="11" t="inlineStr">
        <is>
          <t>ORD-2024-1375</t>
        </is>
      </c>
      <c r="B637" s="11" t="inlineStr">
        <is>
          <t>2024-09-23</t>
        </is>
      </c>
      <c r="C637" s="11" t="inlineStr">
        <is>
          <t>FUR-CHA-002</t>
        </is>
      </c>
      <c r="D637" s="7" t="inlineStr">
        <is>
          <t>AeroTask Operator Task Chair</t>
        </is>
      </c>
      <c r="E637" s="7" t="inlineStr">
        <is>
          <t>Furniture</t>
        </is>
      </c>
      <c r="F637" s="7" t="inlineStr">
        <is>
          <t>Chairs</t>
        </is>
      </c>
      <c r="G637" s="7" t="inlineStr">
        <is>
          <t>East</t>
        </is>
      </c>
      <c r="H637" s="7" t="inlineStr">
        <is>
          <t>New York</t>
        </is>
      </c>
      <c r="I637" s="7" t="inlineStr">
        <is>
          <t>Direct Sales</t>
        </is>
      </c>
      <c r="J637" s="7" t="inlineStr">
        <is>
          <t>Corporate</t>
        </is>
      </c>
      <c r="K637" s="12" t="n">
        <v>2</v>
      </c>
      <c r="L637" s="9" t="n">
        <v>219.99</v>
      </c>
      <c r="M637" s="10" t="n">
        <v>0</v>
      </c>
      <c r="N637" s="9" t="n">
        <v>171.59</v>
      </c>
      <c r="O637" s="9">
        <f>K637*L637</f>
        <v/>
      </c>
      <c r="P637" s="9">
        <f>O637*M637</f>
        <v/>
      </c>
      <c r="Q637" s="9">
        <f>O637-P637</f>
        <v/>
      </c>
      <c r="R637" s="9">
        <f>K637*N637</f>
        <v/>
      </c>
      <c r="S637" s="9">
        <f>Q637-R637</f>
        <v/>
      </c>
      <c r="T637" s="10">
        <f>IFERROR(S637/Q637, 0)</f>
        <v/>
      </c>
    </row>
    <row r="638">
      <c r="A638" s="11" t="inlineStr">
        <is>
          <t>ORD-2024-1513</t>
        </is>
      </c>
      <c r="B638" s="11" t="inlineStr">
        <is>
          <t>2024-09-23</t>
        </is>
      </c>
      <c r="C638" s="11" t="inlineStr">
        <is>
          <t>TEC-LAP-002</t>
        </is>
      </c>
      <c r="D638" s="7" t="inlineStr">
        <is>
          <t>Apex Gaming Laptop 17"</t>
        </is>
      </c>
      <c r="E638" s="7" t="inlineStr">
        <is>
          <t>Technology</t>
        </is>
      </c>
      <c r="F638" s="7" t="inlineStr">
        <is>
          <t>Laptops</t>
        </is>
      </c>
      <c r="G638" s="7" t="inlineStr">
        <is>
          <t>East</t>
        </is>
      </c>
      <c r="H638" s="7" t="inlineStr">
        <is>
          <t>Pennsylvania</t>
        </is>
      </c>
      <c r="I638" s="7" t="inlineStr">
        <is>
          <t>Retail Partner</t>
        </is>
      </c>
      <c r="J638" s="7" t="inlineStr">
        <is>
          <t>Consumer</t>
        </is>
      </c>
      <c r="K638" s="12" t="n">
        <v>1</v>
      </c>
      <c r="L638" s="9" t="n">
        <v>1499.99</v>
      </c>
      <c r="M638" s="10" t="n">
        <v>0.2</v>
      </c>
      <c r="N638" s="9" t="n">
        <v>1259.99</v>
      </c>
      <c r="O638" s="9">
        <f>K638*L638</f>
        <v/>
      </c>
      <c r="P638" s="9">
        <f>O638*M638</f>
        <v/>
      </c>
      <c r="Q638" s="9">
        <f>O638-P638</f>
        <v/>
      </c>
      <c r="R638" s="9">
        <f>K638*N638</f>
        <v/>
      </c>
      <c r="S638" s="9">
        <f>Q638-R638</f>
        <v/>
      </c>
      <c r="T638" s="10">
        <f>IFERROR(S638/Q638, 0)</f>
        <v/>
      </c>
    </row>
    <row r="639">
      <c r="A639" s="11" t="inlineStr">
        <is>
          <t>ORD-2024-1682</t>
        </is>
      </c>
      <c r="B639" s="11" t="inlineStr">
        <is>
          <t>2024-09-24</t>
        </is>
      </c>
      <c r="C639" s="11" t="inlineStr">
        <is>
          <t>OFF-ART-006</t>
        </is>
      </c>
      <c r="D639" s="7" t="inlineStr">
        <is>
          <t>Professional Presentation Dry Erase Board</t>
        </is>
      </c>
      <c r="E639" s="7" t="inlineStr">
        <is>
          <t>Office Supplies</t>
        </is>
      </c>
      <c r="F639" s="7" t="inlineStr">
        <is>
          <t>Presentation &amp; Art</t>
        </is>
      </c>
      <c r="G639" s="7" t="inlineStr">
        <is>
          <t>South</t>
        </is>
      </c>
      <c r="H639" s="7" t="inlineStr">
        <is>
          <t>North Carolina</t>
        </is>
      </c>
      <c r="I639" s="7" t="inlineStr">
        <is>
          <t>Online</t>
        </is>
      </c>
      <c r="J639" s="7" t="inlineStr">
        <is>
          <t>Consumer</t>
        </is>
      </c>
      <c r="K639" s="12" t="n">
        <v>4</v>
      </c>
      <c r="L639" s="9" t="n">
        <v>89.98999999999999</v>
      </c>
      <c r="M639" s="10" t="n">
        <v>0</v>
      </c>
      <c r="N639" s="9" t="n">
        <v>53.99</v>
      </c>
      <c r="O639" s="9">
        <f>K639*L639</f>
        <v/>
      </c>
      <c r="P639" s="9">
        <f>O639*M639</f>
        <v/>
      </c>
      <c r="Q639" s="9">
        <f>O639-P639</f>
        <v/>
      </c>
      <c r="R639" s="9">
        <f>K639*N639</f>
        <v/>
      </c>
      <c r="S639" s="9">
        <f>Q639-R639</f>
        <v/>
      </c>
      <c r="T639" s="10">
        <f>IFERROR(S639/Q639, 0)</f>
        <v/>
      </c>
    </row>
    <row r="640">
      <c r="A640" s="11" t="inlineStr">
        <is>
          <t>ORD-2024-1041</t>
        </is>
      </c>
      <c r="B640" s="11" t="inlineStr">
        <is>
          <t>2024-09-25</t>
        </is>
      </c>
      <c r="C640" s="11" t="inlineStr">
        <is>
          <t>FUR-CHA-002</t>
        </is>
      </c>
      <c r="D640" s="7" t="inlineStr">
        <is>
          <t>AeroTask Operator Task Chair</t>
        </is>
      </c>
      <c r="E640" s="7" t="inlineStr">
        <is>
          <t>Furniture</t>
        </is>
      </c>
      <c r="F640" s="7" t="inlineStr">
        <is>
          <t>Chairs</t>
        </is>
      </c>
      <c r="G640" s="7" t="inlineStr">
        <is>
          <t>South</t>
        </is>
      </c>
      <c r="H640" s="7" t="inlineStr">
        <is>
          <t>Georgia</t>
        </is>
      </c>
      <c r="I640" s="7" t="inlineStr">
        <is>
          <t>Online</t>
        </is>
      </c>
      <c r="J640" s="7" t="inlineStr">
        <is>
          <t>Corporate</t>
        </is>
      </c>
      <c r="K640" s="12" t="n">
        <v>5</v>
      </c>
      <c r="L640" s="9" t="n">
        <v>219.99</v>
      </c>
      <c r="M640" s="10" t="n">
        <v>0.05</v>
      </c>
      <c r="N640" s="9" t="n">
        <v>171.59</v>
      </c>
      <c r="O640" s="9">
        <f>K640*L640</f>
        <v/>
      </c>
      <c r="P640" s="9">
        <f>O640*M640</f>
        <v/>
      </c>
      <c r="Q640" s="9">
        <f>O640-P640</f>
        <v/>
      </c>
      <c r="R640" s="9">
        <f>K640*N640</f>
        <v/>
      </c>
      <c r="S640" s="9">
        <f>Q640-R640</f>
        <v/>
      </c>
      <c r="T640" s="10">
        <f>IFERROR(S640/Q640, 0)</f>
        <v/>
      </c>
    </row>
    <row r="641">
      <c r="A641" s="11" t="inlineStr">
        <is>
          <t>ORD-2024-1041</t>
        </is>
      </c>
      <c r="B641" s="11" t="inlineStr">
        <is>
          <t>2024-09-25</t>
        </is>
      </c>
      <c r="C641" s="11" t="inlineStr">
        <is>
          <t>OFF-DSK-008</t>
        </is>
      </c>
      <c r="D641" s="7" t="inlineStr">
        <is>
          <t>Steel Desktop Mesh Organizer Caddy</t>
        </is>
      </c>
      <c r="E641" s="7" t="inlineStr">
        <is>
          <t>Office Supplies</t>
        </is>
      </c>
      <c r="F641" s="7" t="inlineStr">
        <is>
          <t>Desk Supplies</t>
        </is>
      </c>
      <c r="G641" s="7" t="inlineStr">
        <is>
          <t>South</t>
        </is>
      </c>
      <c r="H641" s="7" t="inlineStr">
        <is>
          <t>Georgia</t>
        </is>
      </c>
      <c r="I641" s="7" t="inlineStr">
        <is>
          <t>Online</t>
        </is>
      </c>
      <c r="J641" s="7" t="inlineStr">
        <is>
          <t>Corporate</t>
        </is>
      </c>
      <c r="K641" s="12" t="n">
        <v>7</v>
      </c>
      <c r="L641" s="9" t="n">
        <v>18.99</v>
      </c>
      <c r="M641" s="10" t="n">
        <v>0.05</v>
      </c>
      <c r="N641" s="9" t="n">
        <v>8.550000000000001</v>
      </c>
      <c r="O641" s="9">
        <f>K641*L641</f>
        <v/>
      </c>
      <c r="P641" s="9">
        <f>O641*M641</f>
        <v/>
      </c>
      <c r="Q641" s="9">
        <f>O641-P641</f>
        <v/>
      </c>
      <c r="R641" s="9">
        <f>K641*N641</f>
        <v/>
      </c>
      <c r="S641" s="9">
        <f>Q641-R641</f>
        <v/>
      </c>
      <c r="T641" s="10">
        <f>IFERROR(S641/Q641, 0)</f>
        <v/>
      </c>
    </row>
    <row r="642">
      <c r="A642" s="11" t="inlineStr">
        <is>
          <t>ORD-2024-1197</t>
        </is>
      </c>
      <c r="B642" s="11" t="inlineStr">
        <is>
          <t>2024-09-25</t>
        </is>
      </c>
      <c r="C642" s="11" t="inlineStr">
        <is>
          <t>OFF-BIN-005</t>
        </is>
      </c>
      <c r="D642" s="7" t="inlineStr">
        <is>
          <t>Heavy-Duty D-Ring Presentation Binder (6-Pk)</t>
        </is>
      </c>
      <c r="E642" s="7" t="inlineStr">
        <is>
          <t>Office Supplies</t>
        </is>
      </c>
      <c r="F642" s="7" t="inlineStr">
        <is>
          <t>Binders &amp; Fasteners</t>
        </is>
      </c>
      <c r="G642" s="7" t="inlineStr">
        <is>
          <t>West</t>
        </is>
      </c>
      <c r="H642" s="7" t="inlineStr">
        <is>
          <t>Oregon</t>
        </is>
      </c>
      <c r="I642" s="7" t="inlineStr">
        <is>
          <t>Retail Partner</t>
        </is>
      </c>
      <c r="J642" s="7" t="inlineStr">
        <is>
          <t>Consumer</t>
        </is>
      </c>
      <c r="K642" s="12" t="n">
        <v>1</v>
      </c>
      <c r="L642" s="9" t="n">
        <v>27.99</v>
      </c>
      <c r="M642" s="10" t="n">
        <v>0</v>
      </c>
      <c r="N642" s="9" t="n">
        <v>13.99</v>
      </c>
      <c r="O642" s="9">
        <f>K642*L642</f>
        <v/>
      </c>
      <c r="P642" s="9">
        <f>O642*M642</f>
        <v/>
      </c>
      <c r="Q642" s="9">
        <f>O642-P642</f>
        <v/>
      </c>
      <c r="R642" s="9">
        <f>K642*N642</f>
        <v/>
      </c>
      <c r="S642" s="9">
        <f>Q642-R642</f>
        <v/>
      </c>
      <c r="T642" s="10">
        <f>IFERROR(S642/Q642, 0)</f>
        <v/>
      </c>
    </row>
    <row r="643">
      <c r="A643" s="11" t="inlineStr">
        <is>
          <t>ORD-2024-1250</t>
        </is>
      </c>
      <c r="B643" s="11" t="inlineStr">
        <is>
          <t>2024-09-25</t>
        </is>
      </c>
      <c r="C643" s="11" t="inlineStr">
        <is>
          <t>OFF-ART-006</t>
        </is>
      </c>
      <c r="D643" s="7" t="inlineStr">
        <is>
          <t>Professional Presentation Dry Erase Board</t>
        </is>
      </c>
      <c r="E643" s="7" t="inlineStr">
        <is>
          <t>Office Supplies</t>
        </is>
      </c>
      <c r="F643" s="7" t="inlineStr">
        <is>
          <t>Presentation &amp; Art</t>
        </is>
      </c>
      <c r="G643" s="7" t="inlineStr">
        <is>
          <t>West</t>
        </is>
      </c>
      <c r="H643" s="7" t="inlineStr">
        <is>
          <t>California</t>
        </is>
      </c>
      <c r="I643" s="7" t="inlineStr">
        <is>
          <t>Online</t>
        </is>
      </c>
      <c r="J643" s="7" t="inlineStr">
        <is>
          <t>Consumer</t>
        </is>
      </c>
      <c r="K643" s="12" t="n">
        <v>4</v>
      </c>
      <c r="L643" s="9" t="n">
        <v>89.98999999999999</v>
      </c>
      <c r="M643" s="10" t="n">
        <v>0</v>
      </c>
      <c r="N643" s="9" t="n">
        <v>53.99</v>
      </c>
      <c r="O643" s="9">
        <f>K643*L643</f>
        <v/>
      </c>
      <c r="P643" s="9">
        <f>O643*M643</f>
        <v/>
      </c>
      <c r="Q643" s="9">
        <f>O643-P643</f>
        <v/>
      </c>
      <c r="R643" s="9">
        <f>K643*N643</f>
        <v/>
      </c>
      <c r="S643" s="9">
        <f>Q643-R643</f>
        <v/>
      </c>
      <c r="T643" s="10">
        <f>IFERROR(S643/Q643, 0)</f>
        <v/>
      </c>
    </row>
    <row r="644">
      <c r="A644" s="11" t="inlineStr">
        <is>
          <t>ORD-2024-1250</t>
        </is>
      </c>
      <c r="B644" s="11" t="inlineStr">
        <is>
          <t>2024-09-25</t>
        </is>
      </c>
      <c r="C644" s="11" t="inlineStr">
        <is>
          <t>FUR-CHA-002</t>
        </is>
      </c>
      <c r="D644" s="7" t="inlineStr">
        <is>
          <t>AeroTask Operator Task Chair</t>
        </is>
      </c>
      <c r="E644" s="7" t="inlineStr">
        <is>
          <t>Furniture</t>
        </is>
      </c>
      <c r="F644" s="7" t="inlineStr">
        <is>
          <t>Chairs</t>
        </is>
      </c>
      <c r="G644" s="7" t="inlineStr">
        <is>
          <t>West</t>
        </is>
      </c>
      <c r="H644" s="7" t="inlineStr">
        <is>
          <t>California</t>
        </is>
      </c>
      <c r="I644" s="7" t="inlineStr">
        <is>
          <t>Online</t>
        </is>
      </c>
      <c r="J644" s="7" t="inlineStr">
        <is>
          <t>Consumer</t>
        </is>
      </c>
      <c r="K644" s="12" t="n">
        <v>2</v>
      </c>
      <c r="L644" s="9" t="n">
        <v>219.99</v>
      </c>
      <c r="M644" s="10" t="n">
        <v>0</v>
      </c>
      <c r="N644" s="9" t="n">
        <v>171.59</v>
      </c>
      <c r="O644" s="9">
        <f>K644*L644</f>
        <v/>
      </c>
      <c r="P644" s="9">
        <f>O644*M644</f>
        <v/>
      </c>
      <c r="Q644" s="9">
        <f>O644-P644</f>
        <v/>
      </c>
      <c r="R644" s="9">
        <f>K644*N644</f>
        <v/>
      </c>
      <c r="S644" s="9">
        <f>Q644-R644</f>
        <v/>
      </c>
      <c r="T644" s="10">
        <f>IFERROR(S644/Q644, 0)</f>
        <v/>
      </c>
    </row>
    <row r="645">
      <c r="A645" s="11" t="inlineStr">
        <is>
          <t>ORD-2024-1109</t>
        </is>
      </c>
      <c r="B645" s="11" t="inlineStr">
        <is>
          <t>2024-09-26</t>
        </is>
      </c>
      <c r="C645" s="11" t="inlineStr">
        <is>
          <t>OFF-DSK-008</t>
        </is>
      </c>
      <c r="D645" s="7" t="inlineStr">
        <is>
          <t>Steel Desktop Mesh Organizer Caddy</t>
        </is>
      </c>
      <c r="E645" s="7" t="inlineStr">
        <is>
          <t>Office Supplies</t>
        </is>
      </c>
      <c r="F645" s="7" t="inlineStr">
        <is>
          <t>Desk Supplies</t>
        </is>
      </c>
      <c r="G645" s="7" t="inlineStr">
        <is>
          <t>West</t>
        </is>
      </c>
      <c r="H645" s="7" t="inlineStr">
        <is>
          <t>Washington</t>
        </is>
      </c>
      <c r="I645" s="7" t="inlineStr">
        <is>
          <t>Direct Sales</t>
        </is>
      </c>
      <c r="J645" s="7" t="inlineStr">
        <is>
          <t>Corporate</t>
        </is>
      </c>
      <c r="K645" s="12" t="n">
        <v>2</v>
      </c>
      <c r="L645" s="9" t="n">
        <v>18.99</v>
      </c>
      <c r="M645" s="10" t="n">
        <v>0</v>
      </c>
      <c r="N645" s="9" t="n">
        <v>8.550000000000001</v>
      </c>
      <c r="O645" s="9">
        <f>K645*L645</f>
        <v/>
      </c>
      <c r="P645" s="9">
        <f>O645*M645</f>
        <v/>
      </c>
      <c r="Q645" s="9">
        <f>O645-P645</f>
        <v/>
      </c>
      <c r="R645" s="9">
        <f>K645*N645</f>
        <v/>
      </c>
      <c r="S645" s="9">
        <f>Q645-R645</f>
        <v/>
      </c>
      <c r="T645" s="10">
        <f>IFERROR(S645/Q645, 0)</f>
        <v/>
      </c>
    </row>
    <row r="646">
      <c r="A646" s="11" t="inlineStr">
        <is>
          <t>ORD-2024-1308</t>
        </is>
      </c>
      <c r="B646" s="11" t="inlineStr">
        <is>
          <t>2024-09-26</t>
        </is>
      </c>
      <c r="C646" s="11" t="inlineStr">
        <is>
          <t>OFF-PAP-004</t>
        </is>
      </c>
      <c r="D646" s="7" t="inlineStr">
        <is>
          <t>EcoRecycled Copy Paper (5 Reams)</t>
        </is>
      </c>
      <c r="E646" s="7" t="inlineStr">
        <is>
          <t>Office Supplies</t>
        </is>
      </c>
      <c r="F646" s="7" t="inlineStr">
        <is>
          <t>Paper Products</t>
        </is>
      </c>
      <c r="G646" s="7" t="inlineStr">
        <is>
          <t>West</t>
        </is>
      </c>
      <c r="H646" s="7" t="inlineStr">
        <is>
          <t>Colorado</t>
        </is>
      </c>
      <c r="I646" s="7" t="inlineStr">
        <is>
          <t>Online</t>
        </is>
      </c>
      <c r="J646" s="7" t="inlineStr">
        <is>
          <t>Consumer</t>
        </is>
      </c>
      <c r="K646" s="12" t="n">
        <v>1</v>
      </c>
      <c r="L646" s="9" t="n">
        <v>32.99</v>
      </c>
      <c r="M646" s="10" t="n">
        <v>0</v>
      </c>
      <c r="N646" s="9" t="n">
        <v>19.79</v>
      </c>
      <c r="O646" s="9">
        <f>K646*L646</f>
        <v/>
      </c>
      <c r="P646" s="9">
        <f>O646*M646</f>
        <v/>
      </c>
      <c r="Q646" s="9">
        <f>O646-P646</f>
        <v/>
      </c>
      <c r="R646" s="9">
        <f>K646*N646</f>
        <v/>
      </c>
      <c r="S646" s="9">
        <f>Q646-R646</f>
        <v/>
      </c>
      <c r="T646" s="10">
        <f>IFERROR(S646/Q646, 0)</f>
        <v/>
      </c>
    </row>
    <row r="647">
      <c r="A647" s="11" t="inlineStr">
        <is>
          <t>ORD-2024-1615</t>
        </is>
      </c>
      <c r="B647" s="11" t="inlineStr">
        <is>
          <t>2024-09-26</t>
        </is>
      </c>
      <c r="C647" s="11" t="inlineStr">
        <is>
          <t>FUR-BOK-005</t>
        </is>
      </c>
      <c r="D647" s="7" t="inlineStr">
        <is>
          <t>Modular 5-Tier Steel Bookcase</t>
        </is>
      </c>
      <c r="E647" s="7" t="inlineStr">
        <is>
          <t>Furniture</t>
        </is>
      </c>
      <c r="F647" s="7" t="inlineStr">
        <is>
          <t>Bookcases</t>
        </is>
      </c>
      <c r="G647" s="7" t="inlineStr">
        <is>
          <t>West</t>
        </is>
      </c>
      <c r="H647" s="7" t="inlineStr">
        <is>
          <t>Oregon</t>
        </is>
      </c>
      <c r="I647" s="7" t="inlineStr">
        <is>
          <t>Online</t>
        </is>
      </c>
      <c r="J647" s="7" t="inlineStr">
        <is>
          <t>Consumer</t>
        </is>
      </c>
      <c r="K647" s="12" t="n">
        <v>1</v>
      </c>
      <c r="L647" s="9" t="n">
        <v>189.99</v>
      </c>
      <c r="M647" s="10" t="n">
        <v>0.15</v>
      </c>
      <c r="N647" s="9" t="n">
        <v>142.49</v>
      </c>
      <c r="O647" s="9">
        <f>K647*L647</f>
        <v/>
      </c>
      <c r="P647" s="9">
        <f>O647*M647</f>
        <v/>
      </c>
      <c r="Q647" s="9">
        <f>O647-P647</f>
        <v/>
      </c>
      <c r="R647" s="9">
        <f>K647*N647</f>
        <v/>
      </c>
      <c r="S647" s="9">
        <f>Q647-R647</f>
        <v/>
      </c>
      <c r="T647" s="10">
        <f>IFERROR(S647/Q647, 0)</f>
        <v/>
      </c>
    </row>
    <row r="648">
      <c r="A648" s="11" t="inlineStr">
        <is>
          <t>ORD-2024-1672</t>
        </is>
      </c>
      <c r="B648" s="11" t="inlineStr">
        <is>
          <t>2024-09-26</t>
        </is>
      </c>
      <c r="C648" s="11" t="inlineStr">
        <is>
          <t>FUR-CHA-002</t>
        </is>
      </c>
      <c r="D648" s="7" t="inlineStr">
        <is>
          <t>AeroTask Operator Task Chair</t>
        </is>
      </c>
      <c r="E648" s="7" t="inlineStr">
        <is>
          <t>Furniture</t>
        </is>
      </c>
      <c r="F648" s="7" t="inlineStr">
        <is>
          <t>Chairs</t>
        </is>
      </c>
      <c r="G648" s="7" t="inlineStr">
        <is>
          <t>East</t>
        </is>
      </c>
      <c r="H648" s="7" t="inlineStr">
        <is>
          <t>Pennsylvania</t>
        </is>
      </c>
      <c r="I648" s="7" t="inlineStr">
        <is>
          <t>Online</t>
        </is>
      </c>
      <c r="J648" s="7" t="inlineStr">
        <is>
          <t>Consumer</t>
        </is>
      </c>
      <c r="K648" s="12" t="n">
        <v>1</v>
      </c>
      <c r="L648" s="9" t="n">
        <v>219.99</v>
      </c>
      <c r="M648" s="10" t="n">
        <v>0</v>
      </c>
      <c r="N648" s="9" t="n">
        <v>171.59</v>
      </c>
      <c r="O648" s="9">
        <f>K648*L648</f>
        <v/>
      </c>
      <c r="P648" s="9">
        <f>O648*M648</f>
        <v/>
      </c>
      <c r="Q648" s="9">
        <f>O648-P648</f>
        <v/>
      </c>
      <c r="R648" s="9">
        <f>K648*N648</f>
        <v/>
      </c>
      <c r="S648" s="9">
        <f>Q648-R648</f>
        <v/>
      </c>
      <c r="T648" s="10">
        <f>IFERROR(S648/Q648, 0)</f>
        <v/>
      </c>
    </row>
    <row r="649">
      <c r="A649" s="11" t="inlineStr">
        <is>
          <t>ORD-2024-1072</t>
        </is>
      </c>
      <c r="B649" s="11" t="inlineStr">
        <is>
          <t>2024-09-27</t>
        </is>
      </c>
      <c r="C649" s="11" t="inlineStr">
        <is>
          <t>OFF-ART-006</t>
        </is>
      </c>
      <c r="D649" s="7" t="inlineStr">
        <is>
          <t>Professional Presentation Dry Erase Board</t>
        </is>
      </c>
      <c r="E649" s="7" t="inlineStr">
        <is>
          <t>Office Supplies</t>
        </is>
      </c>
      <c r="F649" s="7" t="inlineStr">
        <is>
          <t>Presentation &amp; Art</t>
        </is>
      </c>
      <c r="G649" s="7" t="inlineStr">
        <is>
          <t>South</t>
        </is>
      </c>
      <c r="H649" s="7" t="inlineStr">
        <is>
          <t>North Carolina</t>
        </is>
      </c>
      <c r="I649" s="7" t="inlineStr">
        <is>
          <t>Online</t>
        </is>
      </c>
      <c r="J649" s="7" t="inlineStr">
        <is>
          <t>Consumer</t>
        </is>
      </c>
      <c r="K649" s="12" t="n">
        <v>1</v>
      </c>
      <c r="L649" s="9" t="n">
        <v>89.98999999999999</v>
      </c>
      <c r="M649" s="10" t="n">
        <v>0</v>
      </c>
      <c r="N649" s="9" t="n">
        <v>53.99</v>
      </c>
      <c r="O649" s="9">
        <f>K649*L649</f>
        <v/>
      </c>
      <c r="P649" s="9">
        <f>O649*M649</f>
        <v/>
      </c>
      <c r="Q649" s="9">
        <f>O649-P649</f>
        <v/>
      </c>
      <c r="R649" s="9">
        <f>K649*N649</f>
        <v/>
      </c>
      <c r="S649" s="9">
        <f>Q649-R649</f>
        <v/>
      </c>
      <c r="T649" s="10">
        <f>IFERROR(S649/Q649, 0)</f>
        <v/>
      </c>
    </row>
    <row r="650">
      <c r="A650" s="11" t="inlineStr">
        <is>
          <t>ORD-2024-1072</t>
        </is>
      </c>
      <c r="B650" s="11" t="inlineStr">
        <is>
          <t>2024-09-27</t>
        </is>
      </c>
      <c r="C650" s="11" t="inlineStr">
        <is>
          <t>OFF-DSK-008</t>
        </is>
      </c>
      <c r="D650" s="7" t="inlineStr">
        <is>
          <t>Steel Desktop Mesh Organizer Caddy</t>
        </is>
      </c>
      <c r="E650" s="7" t="inlineStr">
        <is>
          <t>Office Supplies</t>
        </is>
      </c>
      <c r="F650" s="7" t="inlineStr">
        <is>
          <t>Desk Supplies</t>
        </is>
      </c>
      <c r="G650" s="7" t="inlineStr">
        <is>
          <t>South</t>
        </is>
      </c>
      <c r="H650" s="7" t="inlineStr">
        <is>
          <t>North Carolina</t>
        </is>
      </c>
      <c r="I650" s="7" t="inlineStr">
        <is>
          <t>Online</t>
        </is>
      </c>
      <c r="J650" s="7" t="inlineStr">
        <is>
          <t>Consumer</t>
        </is>
      </c>
      <c r="K650" s="12" t="n">
        <v>3</v>
      </c>
      <c r="L650" s="9" t="n">
        <v>18.99</v>
      </c>
      <c r="M650" s="10" t="n">
        <v>0.15</v>
      </c>
      <c r="N650" s="9" t="n">
        <v>8.550000000000001</v>
      </c>
      <c r="O650" s="9">
        <f>K650*L650</f>
        <v/>
      </c>
      <c r="P650" s="9">
        <f>O650*M650</f>
        <v/>
      </c>
      <c r="Q650" s="9">
        <f>O650-P650</f>
        <v/>
      </c>
      <c r="R650" s="9">
        <f>K650*N650</f>
        <v/>
      </c>
      <c r="S650" s="9">
        <f>Q650-R650</f>
        <v/>
      </c>
      <c r="T650" s="10">
        <f>IFERROR(S650/Q650, 0)</f>
        <v/>
      </c>
    </row>
    <row r="651">
      <c r="A651" s="11" t="inlineStr">
        <is>
          <t>ORD-2024-1219</t>
        </is>
      </c>
      <c r="B651" s="11" t="inlineStr">
        <is>
          <t>2024-09-27</t>
        </is>
      </c>
      <c r="C651" s="11" t="inlineStr">
        <is>
          <t>FUR-CHA-002</t>
        </is>
      </c>
      <c r="D651" s="7" t="inlineStr">
        <is>
          <t>AeroTask Operator Task Chair</t>
        </is>
      </c>
      <c r="E651" s="7" t="inlineStr">
        <is>
          <t>Furniture</t>
        </is>
      </c>
      <c r="F651" s="7" t="inlineStr">
        <is>
          <t>Chairs</t>
        </is>
      </c>
      <c r="G651" s="7" t="inlineStr">
        <is>
          <t>Central</t>
        </is>
      </c>
      <c r="H651" s="7" t="inlineStr">
        <is>
          <t>Illinois</t>
        </is>
      </c>
      <c r="I651" s="7" t="inlineStr">
        <is>
          <t>Online</t>
        </is>
      </c>
      <c r="J651" s="7" t="inlineStr">
        <is>
          <t>Consumer</t>
        </is>
      </c>
      <c r="K651" s="12" t="n">
        <v>3</v>
      </c>
      <c r="L651" s="9" t="n">
        <v>219.99</v>
      </c>
      <c r="M651" s="10" t="n">
        <v>0.05</v>
      </c>
      <c r="N651" s="9" t="n">
        <v>171.59</v>
      </c>
      <c r="O651" s="9">
        <f>K651*L651</f>
        <v/>
      </c>
      <c r="P651" s="9">
        <f>O651*M651</f>
        <v/>
      </c>
      <c r="Q651" s="9">
        <f>O651-P651</f>
        <v/>
      </c>
      <c r="R651" s="9">
        <f>K651*N651</f>
        <v/>
      </c>
      <c r="S651" s="9">
        <f>Q651-R651</f>
        <v/>
      </c>
      <c r="T651" s="10">
        <f>IFERROR(S651/Q651, 0)</f>
        <v/>
      </c>
    </row>
    <row r="652">
      <c r="A652" s="11" t="inlineStr">
        <is>
          <t>ORD-2024-1360</t>
        </is>
      </c>
      <c r="B652" s="11" t="inlineStr">
        <is>
          <t>2024-09-27</t>
        </is>
      </c>
      <c r="C652" s="11" t="inlineStr">
        <is>
          <t>OFF-DSK-008</t>
        </is>
      </c>
      <c r="D652" s="7" t="inlineStr">
        <is>
          <t>Steel Desktop Mesh Organizer Caddy</t>
        </is>
      </c>
      <c r="E652" s="7" t="inlineStr">
        <is>
          <t>Office Supplies</t>
        </is>
      </c>
      <c r="F652" s="7" t="inlineStr">
        <is>
          <t>Desk Supplies</t>
        </is>
      </c>
      <c r="G652" s="7" t="inlineStr">
        <is>
          <t>West</t>
        </is>
      </c>
      <c r="H652" s="7" t="inlineStr">
        <is>
          <t>Washington</t>
        </is>
      </c>
      <c r="I652" s="7" t="inlineStr">
        <is>
          <t>Online</t>
        </is>
      </c>
      <c r="J652" s="7" t="inlineStr">
        <is>
          <t>Corporate</t>
        </is>
      </c>
      <c r="K652" s="12" t="n">
        <v>7</v>
      </c>
      <c r="L652" s="9" t="n">
        <v>18.99</v>
      </c>
      <c r="M652" s="10" t="n">
        <v>0</v>
      </c>
      <c r="N652" s="9" t="n">
        <v>8.550000000000001</v>
      </c>
      <c r="O652" s="9">
        <f>K652*L652</f>
        <v/>
      </c>
      <c r="P652" s="9">
        <f>O652*M652</f>
        <v/>
      </c>
      <c r="Q652" s="9">
        <f>O652-P652</f>
        <v/>
      </c>
      <c r="R652" s="9">
        <f>K652*N652</f>
        <v/>
      </c>
      <c r="S652" s="9">
        <f>Q652-R652</f>
        <v/>
      </c>
      <c r="T652" s="10">
        <f>IFERROR(S652/Q652, 0)</f>
        <v/>
      </c>
    </row>
    <row r="653">
      <c r="A653" s="11" t="inlineStr">
        <is>
          <t>ORD-2024-1009</t>
        </is>
      </c>
      <c r="B653" s="11" t="inlineStr">
        <is>
          <t>2024-09-28</t>
        </is>
      </c>
      <c r="C653" s="11" t="inlineStr">
        <is>
          <t>OFF-ART-006</t>
        </is>
      </c>
      <c r="D653" s="7" t="inlineStr">
        <is>
          <t>Professional Presentation Dry Erase Board</t>
        </is>
      </c>
      <c r="E653" s="7" t="inlineStr">
        <is>
          <t>Office Supplies</t>
        </is>
      </c>
      <c r="F653" s="7" t="inlineStr">
        <is>
          <t>Presentation &amp; Art</t>
        </is>
      </c>
      <c r="G653" s="7" t="inlineStr">
        <is>
          <t>South</t>
        </is>
      </c>
      <c r="H653" s="7" t="inlineStr">
        <is>
          <t>North Carolina</t>
        </is>
      </c>
      <c r="I653" s="7" t="inlineStr">
        <is>
          <t>Online</t>
        </is>
      </c>
      <c r="J653" s="7" t="inlineStr">
        <is>
          <t>Consumer</t>
        </is>
      </c>
      <c r="K653" s="12" t="n">
        <v>3</v>
      </c>
      <c r="L653" s="9" t="n">
        <v>89.98999999999999</v>
      </c>
      <c r="M653" s="10" t="n">
        <v>0</v>
      </c>
      <c r="N653" s="9" t="n">
        <v>53.99</v>
      </c>
      <c r="O653" s="9">
        <f>K653*L653</f>
        <v/>
      </c>
      <c r="P653" s="9">
        <f>O653*M653</f>
        <v/>
      </c>
      <c r="Q653" s="9">
        <f>O653-P653</f>
        <v/>
      </c>
      <c r="R653" s="9">
        <f>K653*N653</f>
        <v/>
      </c>
      <c r="S653" s="9">
        <f>Q653-R653</f>
        <v/>
      </c>
      <c r="T653" s="10">
        <f>IFERROR(S653/Q653, 0)</f>
        <v/>
      </c>
    </row>
    <row r="654">
      <c r="A654" s="11" t="inlineStr">
        <is>
          <t>ORD-2024-1356</t>
        </is>
      </c>
      <c r="B654" s="11" t="inlineStr">
        <is>
          <t>2024-09-28</t>
        </is>
      </c>
      <c r="C654" s="11" t="inlineStr">
        <is>
          <t>FUR-DSK-003</t>
        </is>
      </c>
      <c r="D654" s="7" t="inlineStr">
        <is>
          <t>ApexMotor Dual-Motor Standing Desk</t>
        </is>
      </c>
      <c r="E654" s="7" t="inlineStr">
        <is>
          <t>Furniture</t>
        </is>
      </c>
      <c r="F654" s="7" t="inlineStr">
        <is>
          <t>Desks &amp; Workstations</t>
        </is>
      </c>
      <c r="G654" s="7" t="inlineStr">
        <is>
          <t>Central</t>
        </is>
      </c>
      <c r="H654" s="7" t="inlineStr">
        <is>
          <t>Texas</t>
        </is>
      </c>
      <c r="I654" s="7" t="inlineStr">
        <is>
          <t>Online</t>
        </is>
      </c>
      <c r="J654" s="7" t="inlineStr">
        <is>
          <t>Corporate</t>
        </is>
      </c>
      <c r="K654" s="12" t="n">
        <v>2</v>
      </c>
      <c r="L654" s="9" t="n">
        <v>549.99</v>
      </c>
      <c r="M654" s="10" t="n">
        <v>0</v>
      </c>
      <c r="N654" s="9" t="n">
        <v>439.99</v>
      </c>
      <c r="O654" s="9">
        <f>K654*L654</f>
        <v/>
      </c>
      <c r="P654" s="9">
        <f>O654*M654</f>
        <v/>
      </c>
      <c r="Q654" s="9">
        <f>O654-P654</f>
        <v/>
      </c>
      <c r="R654" s="9">
        <f>K654*N654</f>
        <v/>
      </c>
      <c r="S654" s="9">
        <f>Q654-R654</f>
        <v/>
      </c>
      <c r="T654" s="10">
        <f>IFERROR(S654/Q654, 0)</f>
        <v/>
      </c>
    </row>
    <row r="655">
      <c r="A655" s="11" t="inlineStr">
        <is>
          <t>ORD-2024-1592</t>
        </is>
      </c>
      <c r="B655" s="11" t="inlineStr">
        <is>
          <t>2024-09-28</t>
        </is>
      </c>
      <c r="C655" s="11" t="inlineStr">
        <is>
          <t>OFF-DSK-007</t>
        </is>
      </c>
      <c r="D655" s="7" t="inlineStr">
        <is>
          <t>Gel Ergo Mouse Pad &amp; Wrist Rest Combo</t>
        </is>
      </c>
      <c r="E655" s="7" t="inlineStr">
        <is>
          <t>Office Supplies</t>
        </is>
      </c>
      <c r="F655" s="7" t="inlineStr">
        <is>
          <t>Desk Supplies</t>
        </is>
      </c>
      <c r="G655" s="7" t="inlineStr">
        <is>
          <t>East</t>
        </is>
      </c>
      <c r="H655" s="7" t="inlineStr">
        <is>
          <t>New Jersey</t>
        </is>
      </c>
      <c r="I655" s="7" t="inlineStr">
        <is>
          <t>Online</t>
        </is>
      </c>
      <c r="J655" s="7" t="inlineStr">
        <is>
          <t>Consumer</t>
        </is>
      </c>
      <c r="K655" s="12" t="n">
        <v>3</v>
      </c>
      <c r="L655" s="9" t="n">
        <v>21.99</v>
      </c>
      <c r="M655" s="10" t="n">
        <v>0.1</v>
      </c>
      <c r="N655" s="9" t="n">
        <v>10.56</v>
      </c>
      <c r="O655" s="9">
        <f>K655*L655</f>
        <v/>
      </c>
      <c r="P655" s="9">
        <f>O655*M655</f>
        <v/>
      </c>
      <c r="Q655" s="9">
        <f>O655-P655</f>
        <v/>
      </c>
      <c r="R655" s="9">
        <f>K655*N655</f>
        <v/>
      </c>
      <c r="S655" s="9">
        <f>Q655-R655</f>
        <v/>
      </c>
      <c r="T655" s="10">
        <f>IFERROR(S655/Q655, 0)</f>
        <v/>
      </c>
    </row>
    <row r="656">
      <c r="A656" s="11" t="inlineStr">
        <is>
          <t>ORD-2024-1685</t>
        </is>
      </c>
      <c r="B656" s="11" t="inlineStr">
        <is>
          <t>2024-09-28</t>
        </is>
      </c>
      <c r="C656" s="11" t="inlineStr">
        <is>
          <t>TEC-ACC-005</t>
        </is>
      </c>
      <c r="D656" s="7" t="inlineStr">
        <is>
          <t>UltraWireless Noise-Canceling Headset</t>
        </is>
      </c>
      <c r="E656" s="7" t="inlineStr">
        <is>
          <t>Technology</t>
        </is>
      </c>
      <c r="F656" s="7" t="inlineStr">
        <is>
          <t>Audio &amp; Accessories</t>
        </is>
      </c>
      <c r="G656" s="7" t="inlineStr">
        <is>
          <t>East</t>
        </is>
      </c>
      <c r="H656" s="7" t="inlineStr">
        <is>
          <t>New York</t>
        </is>
      </c>
      <c r="I656" s="7" t="inlineStr">
        <is>
          <t>Online</t>
        </is>
      </c>
      <c r="J656" s="7" t="inlineStr">
        <is>
          <t>Consumer</t>
        </is>
      </c>
      <c r="K656" s="12" t="n">
        <v>4</v>
      </c>
      <c r="L656" s="9" t="n">
        <v>179.99</v>
      </c>
      <c r="M656" s="10" t="n">
        <v>0.05</v>
      </c>
      <c r="N656" s="9" t="n">
        <v>111.59</v>
      </c>
      <c r="O656" s="9">
        <f>K656*L656</f>
        <v/>
      </c>
      <c r="P656" s="9">
        <f>O656*M656</f>
        <v/>
      </c>
      <c r="Q656" s="9">
        <f>O656-P656</f>
        <v/>
      </c>
      <c r="R656" s="9">
        <f>K656*N656</f>
        <v/>
      </c>
      <c r="S656" s="9">
        <f>Q656-R656</f>
        <v/>
      </c>
      <c r="T656" s="10">
        <f>IFERROR(S656/Q656, 0)</f>
        <v/>
      </c>
    </row>
    <row r="657">
      <c r="A657" s="11" t="inlineStr">
        <is>
          <t>ORD-2024-1595</t>
        </is>
      </c>
      <c r="B657" s="11" t="inlineStr">
        <is>
          <t>2024-09-29</t>
        </is>
      </c>
      <c r="C657" s="11" t="inlineStr">
        <is>
          <t>TEC-ACC-006</t>
        </is>
      </c>
      <c r="D657" s="7" t="inlineStr">
        <is>
          <t>MultiPort Thunderbolt 4 Dock</t>
        </is>
      </c>
      <c r="E657" s="7" t="inlineStr">
        <is>
          <t>Technology</t>
        </is>
      </c>
      <c r="F657" s="7" t="inlineStr">
        <is>
          <t>Audio &amp; Accessories</t>
        </is>
      </c>
      <c r="G657" s="7" t="inlineStr">
        <is>
          <t>East</t>
        </is>
      </c>
      <c r="H657" s="7" t="inlineStr">
        <is>
          <t>New York</t>
        </is>
      </c>
      <c r="I657" s="7" t="inlineStr">
        <is>
          <t>Online</t>
        </is>
      </c>
      <c r="J657" s="7" t="inlineStr">
        <is>
          <t>Home Office</t>
        </is>
      </c>
      <c r="K657" s="12" t="n">
        <v>3</v>
      </c>
      <c r="L657" s="9" t="n">
        <v>149.99</v>
      </c>
      <c r="M657" s="10" t="n">
        <v>0</v>
      </c>
      <c r="N657" s="9" t="n">
        <v>98.98999999999999</v>
      </c>
      <c r="O657" s="9">
        <f>K657*L657</f>
        <v/>
      </c>
      <c r="P657" s="9">
        <f>O657*M657</f>
        <v/>
      </c>
      <c r="Q657" s="9">
        <f>O657-P657</f>
        <v/>
      </c>
      <c r="R657" s="9">
        <f>K657*N657</f>
        <v/>
      </c>
      <c r="S657" s="9">
        <f>Q657-R657</f>
        <v/>
      </c>
      <c r="T657" s="10">
        <f>IFERROR(S657/Q657, 0)</f>
        <v/>
      </c>
    </row>
    <row r="658">
      <c r="A658" s="11" t="inlineStr">
        <is>
          <t>ORD-2024-1710</t>
        </is>
      </c>
      <c r="B658" s="11" t="inlineStr">
        <is>
          <t>2024-09-29</t>
        </is>
      </c>
      <c r="C658" s="11" t="inlineStr">
        <is>
          <t>TEC-ACC-005</t>
        </is>
      </c>
      <c r="D658" s="7" t="inlineStr">
        <is>
          <t>UltraWireless Noise-Canceling Headset</t>
        </is>
      </c>
      <c r="E658" s="7" t="inlineStr">
        <is>
          <t>Technology</t>
        </is>
      </c>
      <c r="F658" s="7" t="inlineStr">
        <is>
          <t>Audio &amp; Accessories</t>
        </is>
      </c>
      <c r="G658" s="7" t="inlineStr">
        <is>
          <t>East</t>
        </is>
      </c>
      <c r="H658" s="7" t="inlineStr">
        <is>
          <t>Massachusetts</t>
        </is>
      </c>
      <c r="I658" s="7" t="inlineStr">
        <is>
          <t>Online</t>
        </is>
      </c>
      <c r="J658" s="7" t="inlineStr">
        <is>
          <t>Corporate</t>
        </is>
      </c>
      <c r="K658" s="12" t="n">
        <v>5</v>
      </c>
      <c r="L658" s="9" t="n">
        <v>179.99</v>
      </c>
      <c r="M658" s="10" t="n">
        <v>0</v>
      </c>
      <c r="N658" s="9" t="n">
        <v>111.59</v>
      </c>
      <c r="O658" s="9">
        <f>K658*L658</f>
        <v/>
      </c>
      <c r="P658" s="9">
        <f>O658*M658</f>
        <v/>
      </c>
      <c r="Q658" s="9">
        <f>O658-P658</f>
        <v/>
      </c>
      <c r="R658" s="9">
        <f>K658*N658</f>
        <v/>
      </c>
      <c r="S658" s="9">
        <f>Q658-R658</f>
        <v/>
      </c>
      <c r="T658" s="10">
        <f>IFERROR(S658/Q658, 0)</f>
        <v/>
      </c>
    </row>
    <row r="659">
      <c r="A659" s="11" t="inlineStr">
        <is>
          <t>ORD-2024-1710</t>
        </is>
      </c>
      <c r="B659" s="11" t="inlineStr">
        <is>
          <t>2024-09-29</t>
        </is>
      </c>
      <c r="C659" s="11" t="inlineStr">
        <is>
          <t>TEC-ACC-005</t>
        </is>
      </c>
      <c r="D659" s="7" t="inlineStr">
        <is>
          <t>UltraWireless Noise-Canceling Headset</t>
        </is>
      </c>
      <c r="E659" s="7" t="inlineStr">
        <is>
          <t>Technology</t>
        </is>
      </c>
      <c r="F659" s="7" t="inlineStr">
        <is>
          <t>Audio &amp; Accessories</t>
        </is>
      </c>
      <c r="G659" s="7" t="inlineStr">
        <is>
          <t>East</t>
        </is>
      </c>
      <c r="H659" s="7" t="inlineStr">
        <is>
          <t>Massachusetts</t>
        </is>
      </c>
      <c r="I659" s="7" t="inlineStr">
        <is>
          <t>Online</t>
        </is>
      </c>
      <c r="J659" s="7" t="inlineStr">
        <is>
          <t>Corporate</t>
        </is>
      </c>
      <c r="K659" s="12" t="n">
        <v>7</v>
      </c>
      <c r="L659" s="9" t="n">
        <v>179.99</v>
      </c>
      <c r="M659" s="10" t="n">
        <v>0</v>
      </c>
      <c r="N659" s="9" t="n">
        <v>111.59</v>
      </c>
      <c r="O659" s="9">
        <f>K659*L659</f>
        <v/>
      </c>
      <c r="P659" s="9">
        <f>O659*M659</f>
        <v/>
      </c>
      <c r="Q659" s="9">
        <f>O659-P659</f>
        <v/>
      </c>
      <c r="R659" s="9">
        <f>K659*N659</f>
        <v/>
      </c>
      <c r="S659" s="9">
        <f>Q659-R659</f>
        <v/>
      </c>
      <c r="T659" s="10">
        <f>IFERROR(S659/Q659, 0)</f>
        <v/>
      </c>
    </row>
    <row r="660">
      <c r="A660" s="11" t="inlineStr">
        <is>
          <t>ORD-2024-1060</t>
        </is>
      </c>
      <c r="B660" s="11" t="inlineStr">
        <is>
          <t>2024-09-30</t>
        </is>
      </c>
      <c r="C660" s="11" t="inlineStr">
        <is>
          <t>FUR-CHA-002</t>
        </is>
      </c>
      <c r="D660" s="7" t="inlineStr">
        <is>
          <t>AeroTask Operator Task Chair</t>
        </is>
      </c>
      <c r="E660" s="7" t="inlineStr">
        <is>
          <t>Furniture</t>
        </is>
      </c>
      <c r="F660" s="7" t="inlineStr">
        <is>
          <t>Chairs</t>
        </is>
      </c>
      <c r="G660" s="7" t="inlineStr">
        <is>
          <t>South</t>
        </is>
      </c>
      <c r="H660" s="7" t="inlineStr">
        <is>
          <t>Virginia</t>
        </is>
      </c>
      <c r="I660" s="7" t="inlineStr">
        <is>
          <t>Retail Partner</t>
        </is>
      </c>
      <c r="J660" s="7" t="inlineStr">
        <is>
          <t>Home Office</t>
        </is>
      </c>
      <c r="K660" s="12" t="n">
        <v>4</v>
      </c>
      <c r="L660" s="9" t="n">
        <v>219.99</v>
      </c>
      <c r="M660" s="10" t="n">
        <v>0</v>
      </c>
      <c r="N660" s="9" t="n">
        <v>171.59</v>
      </c>
      <c r="O660" s="9">
        <f>K660*L660</f>
        <v/>
      </c>
      <c r="P660" s="9">
        <f>O660*M660</f>
        <v/>
      </c>
      <c r="Q660" s="9">
        <f>O660-P660</f>
        <v/>
      </c>
      <c r="R660" s="9">
        <f>K660*N660</f>
        <v/>
      </c>
      <c r="S660" s="9">
        <f>Q660-R660</f>
        <v/>
      </c>
      <c r="T660" s="10">
        <f>IFERROR(S660/Q660, 0)</f>
        <v/>
      </c>
    </row>
    <row r="661">
      <c r="A661" s="11" t="inlineStr">
        <is>
          <t>ORD-2024-1134</t>
        </is>
      </c>
      <c r="B661" s="11" t="inlineStr">
        <is>
          <t>2024-09-30</t>
        </is>
      </c>
      <c r="C661" s="11" t="inlineStr">
        <is>
          <t>OFF-ART-006</t>
        </is>
      </c>
      <c r="D661" s="7" t="inlineStr">
        <is>
          <t>Professional Presentation Dry Erase Board</t>
        </is>
      </c>
      <c r="E661" s="7" t="inlineStr">
        <is>
          <t>Office Supplies</t>
        </is>
      </c>
      <c r="F661" s="7" t="inlineStr">
        <is>
          <t>Presentation &amp; Art</t>
        </is>
      </c>
      <c r="G661" s="7" t="inlineStr">
        <is>
          <t>West</t>
        </is>
      </c>
      <c r="H661" s="7" t="inlineStr">
        <is>
          <t>Washington</t>
        </is>
      </c>
      <c r="I661" s="7" t="inlineStr">
        <is>
          <t>Retail Partner</t>
        </is>
      </c>
      <c r="J661" s="7" t="inlineStr">
        <is>
          <t>Corporate</t>
        </is>
      </c>
      <c r="K661" s="12" t="n">
        <v>6</v>
      </c>
      <c r="L661" s="9" t="n">
        <v>89.98999999999999</v>
      </c>
      <c r="M661" s="10" t="n">
        <v>0</v>
      </c>
      <c r="N661" s="9" t="n">
        <v>53.99</v>
      </c>
      <c r="O661" s="9">
        <f>K661*L661</f>
        <v/>
      </c>
      <c r="P661" s="9">
        <f>O661*M661</f>
        <v/>
      </c>
      <c r="Q661" s="9">
        <f>O661-P661</f>
        <v/>
      </c>
      <c r="R661" s="9">
        <f>K661*N661</f>
        <v/>
      </c>
      <c r="S661" s="9">
        <f>Q661-R661</f>
        <v/>
      </c>
      <c r="T661" s="10">
        <f>IFERROR(S661/Q661, 0)</f>
        <v/>
      </c>
    </row>
    <row r="662">
      <c r="A662" s="11" t="inlineStr">
        <is>
          <t>ORD-2024-1650</t>
        </is>
      </c>
      <c r="B662" s="11" t="inlineStr">
        <is>
          <t>2024-09-30</t>
        </is>
      </c>
      <c r="C662" s="11" t="inlineStr">
        <is>
          <t>OFF-PAP-003</t>
        </is>
      </c>
      <c r="D662" s="7" t="inlineStr">
        <is>
          <t>UltraWhite Premium Multipurpose Paper (Case)</t>
        </is>
      </c>
      <c r="E662" s="7" t="inlineStr">
        <is>
          <t>Office Supplies</t>
        </is>
      </c>
      <c r="F662" s="7" t="inlineStr">
        <is>
          <t>Paper Products</t>
        </is>
      </c>
      <c r="G662" s="7" t="inlineStr">
        <is>
          <t>West</t>
        </is>
      </c>
      <c r="H662" s="7" t="inlineStr">
        <is>
          <t>Washington</t>
        </is>
      </c>
      <c r="I662" s="7" t="inlineStr">
        <is>
          <t>Retail Partner</t>
        </is>
      </c>
      <c r="J662" s="7" t="inlineStr">
        <is>
          <t>Consumer</t>
        </is>
      </c>
      <c r="K662" s="12" t="n">
        <v>2</v>
      </c>
      <c r="L662" s="9" t="n">
        <v>54.99</v>
      </c>
      <c r="M662" s="10" t="n">
        <v>0.05</v>
      </c>
      <c r="N662" s="9" t="n">
        <v>31.89</v>
      </c>
      <c r="O662" s="9">
        <f>K662*L662</f>
        <v/>
      </c>
      <c r="P662" s="9">
        <f>O662*M662</f>
        <v/>
      </c>
      <c r="Q662" s="9">
        <f>O662-P662</f>
        <v/>
      </c>
      <c r="R662" s="9">
        <f>K662*N662</f>
        <v/>
      </c>
      <c r="S662" s="9">
        <f>Q662-R662</f>
        <v/>
      </c>
      <c r="T662" s="10">
        <f>IFERROR(S662/Q662, 0)</f>
        <v/>
      </c>
    </row>
    <row r="663">
      <c r="A663" s="11" t="inlineStr">
        <is>
          <t>ORD-2024-1581</t>
        </is>
      </c>
      <c r="B663" s="11" t="inlineStr">
        <is>
          <t>2024-10-01</t>
        </is>
      </c>
      <c r="C663" s="11" t="inlineStr">
        <is>
          <t>OFF-PAP-003</t>
        </is>
      </c>
      <c r="D663" s="7" t="inlineStr">
        <is>
          <t>UltraWhite Premium Multipurpose Paper (Case)</t>
        </is>
      </c>
      <c r="E663" s="7" t="inlineStr">
        <is>
          <t>Office Supplies</t>
        </is>
      </c>
      <c r="F663" s="7" t="inlineStr">
        <is>
          <t>Paper Products</t>
        </is>
      </c>
      <c r="G663" s="7" t="inlineStr">
        <is>
          <t>South</t>
        </is>
      </c>
      <c r="H663" s="7" t="inlineStr">
        <is>
          <t>Florida</t>
        </is>
      </c>
      <c r="I663" s="7" t="inlineStr">
        <is>
          <t>Online</t>
        </is>
      </c>
      <c r="J663" s="7" t="inlineStr">
        <is>
          <t>Corporate</t>
        </is>
      </c>
      <c r="K663" s="12" t="n">
        <v>7</v>
      </c>
      <c r="L663" s="9" t="n">
        <v>54.99</v>
      </c>
      <c r="M663" s="10" t="n">
        <v>0</v>
      </c>
      <c r="N663" s="9" t="n">
        <v>31.89</v>
      </c>
      <c r="O663" s="9">
        <f>K663*L663</f>
        <v/>
      </c>
      <c r="P663" s="9">
        <f>O663*M663</f>
        <v/>
      </c>
      <c r="Q663" s="9">
        <f>O663-P663</f>
        <v/>
      </c>
      <c r="R663" s="9">
        <f>K663*N663</f>
        <v/>
      </c>
      <c r="S663" s="9">
        <f>Q663-R663</f>
        <v/>
      </c>
      <c r="T663" s="10">
        <f>IFERROR(S663/Q663, 0)</f>
        <v/>
      </c>
    </row>
    <row r="664">
      <c r="A664" s="11" t="inlineStr">
        <is>
          <t>ORD-2024-1208</t>
        </is>
      </c>
      <c r="B664" s="11" t="inlineStr">
        <is>
          <t>2024-10-02</t>
        </is>
      </c>
      <c r="C664" s="11" t="inlineStr">
        <is>
          <t>OFF-PAP-003</t>
        </is>
      </c>
      <c r="D664" s="7" t="inlineStr">
        <is>
          <t>UltraWhite Premium Multipurpose Paper (Case)</t>
        </is>
      </c>
      <c r="E664" s="7" t="inlineStr">
        <is>
          <t>Office Supplies</t>
        </is>
      </c>
      <c r="F664" s="7" t="inlineStr">
        <is>
          <t>Paper Products</t>
        </is>
      </c>
      <c r="G664" s="7" t="inlineStr">
        <is>
          <t>East</t>
        </is>
      </c>
      <c r="H664" s="7" t="inlineStr">
        <is>
          <t>Pennsylvania</t>
        </is>
      </c>
      <c r="I664" s="7" t="inlineStr">
        <is>
          <t>Direct Sales</t>
        </is>
      </c>
      <c r="J664" s="7" t="inlineStr">
        <is>
          <t>Corporate</t>
        </is>
      </c>
      <c r="K664" s="12" t="n">
        <v>4</v>
      </c>
      <c r="L664" s="9" t="n">
        <v>54.99</v>
      </c>
      <c r="M664" s="10" t="n">
        <v>0.15</v>
      </c>
      <c r="N664" s="9" t="n">
        <v>31.89</v>
      </c>
      <c r="O664" s="9">
        <f>K664*L664</f>
        <v/>
      </c>
      <c r="P664" s="9">
        <f>O664*M664</f>
        <v/>
      </c>
      <c r="Q664" s="9">
        <f>O664-P664</f>
        <v/>
      </c>
      <c r="R664" s="9">
        <f>K664*N664</f>
        <v/>
      </c>
      <c r="S664" s="9">
        <f>Q664-R664</f>
        <v/>
      </c>
      <c r="T664" s="10">
        <f>IFERROR(S664/Q664, 0)</f>
        <v/>
      </c>
    </row>
    <row r="665">
      <c r="A665" s="11" t="inlineStr">
        <is>
          <t>ORD-2024-1344</t>
        </is>
      </c>
      <c r="B665" s="11" t="inlineStr">
        <is>
          <t>2024-10-02</t>
        </is>
      </c>
      <c r="C665" s="11" t="inlineStr">
        <is>
          <t>FUR-CHA-002</t>
        </is>
      </c>
      <c r="D665" s="7" t="inlineStr">
        <is>
          <t>AeroTask Operator Task Chair</t>
        </is>
      </c>
      <c r="E665" s="7" t="inlineStr">
        <is>
          <t>Furniture</t>
        </is>
      </c>
      <c r="F665" s="7" t="inlineStr">
        <is>
          <t>Chairs</t>
        </is>
      </c>
      <c r="G665" s="7" t="inlineStr">
        <is>
          <t>East</t>
        </is>
      </c>
      <c r="H665" s="7" t="inlineStr">
        <is>
          <t>Massachusetts</t>
        </is>
      </c>
      <c r="I665" s="7" t="inlineStr">
        <is>
          <t>Online</t>
        </is>
      </c>
      <c r="J665" s="7" t="inlineStr">
        <is>
          <t>Consumer</t>
        </is>
      </c>
      <c r="K665" s="12" t="n">
        <v>1</v>
      </c>
      <c r="L665" s="9" t="n">
        <v>219.99</v>
      </c>
      <c r="M665" s="10" t="n">
        <v>0.1</v>
      </c>
      <c r="N665" s="9" t="n">
        <v>171.59</v>
      </c>
      <c r="O665" s="9">
        <f>K665*L665</f>
        <v/>
      </c>
      <c r="P665" s="9">
        <f>O665*M665</f>
        <v/>
      </c>
      <c r="Q665" s="9">
        <f>O665-P665</f>
        <v/>
      </c>
      <c r="R665" s="9">
        <f>K665*N665</f>
        <v/>
      </c>
      <c r="S665" s="9">
        <f>Q665-R665</f>
        <v/>
      </c>
      <c r="T665" s="10">
        <f>IFERROR(S665/Q665, 0)</f>
        <v/>
      </c>
    </row>
    <row r="666">
      <c r="A666" s="11" t="inlineStr">
        <is>
          <t>ORD-2024-1242</t>
        </is>
      </c>
      <c r="B666" s="11" t="inlineStr">
        <is>
          <t>2024-10-03</t>
        </is>
      </c>
      <c r="C666" s="11" t="inlineStr">
        <is>
          <t>OFF-ART-006</t>
        </is>
      </c>
      <c r="D666" s="7" t="inlineStr">
        <is>
          <t>Professional Presentation Dry Erase Board</t>
        </is>
      </c>
      <c r="E666" s="7" t="inlineStr">
        <is>
          <t>Office Supplies</t>
        </is>
      </c>
      <c r="F666" s="7" t="inlineStr">
        <is>
          <t>Presentation &amp; Art</t>
        </is>
      </c>
      <c r="G666" s="7" t="inlineStr">
        <is>
          <t>West</t>
        </is>
      </c>
      <c r="H666" s="7" t="inlineStr">
        <is>
          <t>Colorado</t>
        </is>
      </c>
      <c r="I666" s="7" t="inlineStr">
        <is>
          <t>Direct Sales</t>
        </is>
      </c>
      <c r="J666" s="7" t="inlineStr">
        <is>
          <t>Consumer</t>
        </is>
      </c>
      <c r="K666" s="12" t="n">
        <v>2</v>
      </c>
      <c r="L666" s="9" t="n">
        <v>89.98999999999999</v>
      </c>
      <c r="M666" s="10" t="n">
        <v>0</v>
      </c>
      <c r="N666" s="9" t="n">
        <v>53.99</v>
      </c>
      <c r="O666" s="9">
        <f>K666*L666</f>
        <v/>
      </c>
      <c r="P666" s="9">
        <f>O666*M666</f>
        <v/>
      </c>
      <c r="Q666" s="9">
        <f>O666-P666</f>
        <v/>
      </c>
      <c r="R666" s="9">
        <f>K666*N666</f>
        <v/>
      </c>
      <c r="S666" s="9">
        <f>Q666-R666</f>
        <v/>
      </c>
      <c r="T666" s="10">
        <f>IFERROR(S666/Q666, 0)</f>
        <v/>
      </c>
    </row>
    <row r="667">
      <c r="A667" s="11" t="inlineStr">
        <is>
          <t>ORD-2024-1242</t>
        </is>
      </c>
      <c r="B667" s="11" t="inlineStr">
        <is>
          <t>2024-10-03</t>
        </is>
      </c>
      <c r="C667" s="11" t="inlineStr">
        <is>
          <t>OFF-STR-002</t>
        </is>
      </c>
      <c r="D667" s="7" t="inlineStr">
        <is>
          <t>Stackable Heavy-Duty Storage Bins (4-Pk)</t>
        </is>
      </c>
      <c r="E667" s="7" t="inlineStr">
        <is>
          <t>Office Supplies</t>
        </is>
      </c>
      <c r="F667" s="7" t="inlineStr">
        <is>
          <t>Storage &amp; Organizers</t>
        </is>
      </c>
      <c r="G667" s="7" t="inlineStr">
        <is>
          <t>West</t>
        </is>
      </c>
      <c r="H667" s="7" t="inlineStr">
        <is>
          <t>Colorado</t>
        </is>
      </c>
      <c r="I667" s="7" t="inlineStr">
        <is>
          <t>Direct Sales</t>
        </is>
      </c>
      <c r="J667" s="7" t="inlineStr">
        <is>
          <t>Consumer</t>
        </is>
      </c>
      <c r="K667" s="12" t="n">
        <v>2</v>
      </c>
      <c r="L667" s="9" t="n">
        <v>44.99</v>
      </c>
      <c r="M667" s="10" t="n">
        <v>0.1</v>
      </c>
      <c r="N667" s="9" t="n">
        <v>24.74</v>
      </c>
      <c r="O667" s="9">
        <f>K667*L667</f>
        <v/>
      </c>
      <c r="P667" s="9">
        <f>O667*M667</f>
        <v/>
      </c>
      <c r="Q667" s="9">
        <f>O667-P667</f>
        <v/>
      </c>
      <c r="R667" s="9">
        <f>K667*N667</f>
        <v/>
      </c>
      <c r="S667" s="9">
        <f>Q667-R667</f>
        <v/>
      </c>
      <c r="T667" s="10">
        <f>IFERROR(S667/Q667, 0)</f>
        <v/>
      </c>
    </row>
    <row r="668">
      <c r="A668" s="11" t="inlineStr">
        <is>
          <t>ORD-2024-1242</t>
        </is>
      </c>
      <c r="B668" s="11" t="inlineStr">
        <is>
          <t>2024-10-03</t>
        </is>
      </c>
      <c r="C668" s="11" t="inlineStr">
        <is>
          <t>TEC-ACC-008</t>
        </is>
      </c>
      <c r="D668" s="7" t="inlineStr">
        <is>
          <t>Precision Laser Bluetooth Mouse</t>
        </is>
      </c>
      <c r="E668" s="7" t="inlineStr">
        <is>
          <t>Technology</t>
        </is>
      </c>
      <c r="F668" s="7" t="inlineStr">
        <is>
          <t>Audio &amp; Accessories</t>
        </is>
      </c>
      <c r="G668" s="7" t="inlineStr">
        <is>
          <t>West</t>
        </is>
      </c>
      <c r="H668" s="7" t="inlineStr">
        <is>
          <t>Colorado</t>
        </is>
      </c>
      <c r="I668" s="7" t="inlineStr">
        <is>
          <t>Direct Sales</t>
        </is>
      </c>
      <c r="J668" s="7" t="inlineStr">
        <is>
          <t>Consumer</t>
        </is>
      </c>
      <c r="K668" s="12" t="n">
        <v>4</v>
      </c>
      <c r="L668" s="9" t="n">
        <v>49.99</v>
      </c>
      <c r="M668" s="10" t="n">
        <v>0.05</v>
      </c>
      <c r="N668" s="9" t="n">
        <v>27.49</v>
      </c>
      <c r="O668" s="9">
        <f>K668*L668</f>
        <v/>
      </c>
      <c r="P668" s="9">
        <f>O668*M668</f>
        <v/>
      </c>
      <c r="Q668" s="9">
        <f>O668-P668</f>
        <v/>
      </c>
      <c r="R668" s="9">
        <f>K668*N668</f>
        <v/>
      </c>
      <c r="S668" s="9">
        <f>Q668-R668</f>
        <v/>
      </c>
      <c r="T668" s="10">
        <f>IFERROR(S668/Q668, 0)</f>
        <v/>
      </c>
    </row>
    <row r="669">
      <c r="A669" s="11" t="inlineStr">
        <is>
          <t>ORD-2024-1426</t>
        </is>
      </c>
      <c r="B669" s="11" t="inlineStr">
        <is>
          <t>2024-10-04</t>
        </is>
      </c>
      <c r="C669" s="11" t="inlineStr">
        <is>
          <t>TEC-ACC-005</t>
        </is>
      </c>
      <c r="D669" s="7" t="inlineStr">
        <is>
          <t>UltraWireless Noise-Canceling Headset</t>
        </is>
      </c>
      <c r="E669" s="7" t="inlineStr">
        <is>
          <t>Technology</t>
        </is>
      </c>
      <c r="F669" s="7" t="inlineStr">
        <is>
          <t>Audio &amp; Accessories</t>
        </is>
      </c>
      <c r="G669" s="7" t="inlineStr">
        <is>
          <t>South</t>
        </is>
      </c>
      <c r="H669" s="7" t="inlineStr">
        <is>
          <t>Georgia</t>
        </is>
      </c>
      <c r="I669" s="7" t="inlineStr">
        <is>
          <t>Retail Partner</t>
        </is>
      </c>
      <c r="J669" s="7" t="inlineStr">
        <is>
          <t>Consumer</t>
        </is>
      </c>
      <c r="K669" s="12" t="n">
        <v>2</v>
      </c>
      <c r="L669" s="9" t="n">
        <v>179.99</v>
      </c>
      <c r="M669" s="10" t="n">
        <v>0.05</v>
      </c>
      <c r="N669" s="9" t="n">
        <v>111.59</v>
      </c>
      <c r="O669" s="9">
        <f>K669*L669</f>
        <v/>
      </c>
      <c r="P669" s="9">
        <f>O669*M669</f>
        <v/>
      </c>
      <c r="Q669" s="9">
        <f>O669-P669</f>
        <v/>
      </c>
      <c r="R669" s="9">
        <f>K669*N669</f>
        <v/>
      </c>
      <c r="S669" s="9">
        <f>Q669-R669</f>
        <v/>
      </c>
      <c r="T669" s="10">
        <f>IFERROR(S669/Q669, 0)</f>
        <v/>
      </c>
    </row>
    <row r="670">
      <c r="A670" s="11" t="inlineStr">
        <is>
          <t>ORD-2024-1426</t>
        </is>
      </c>
      <c r="B670" s="11" t="inlineStr">
        <is>
          <t>2024-10-04</t>
        </is>
      </c>
      <c r="C670" s="11" t="inlineStr">
        <is>
          <t>OFF-STR-002</t>
        </is>
      </c>
      <c r="D670" s="7" t="inlineStr">
        <is>
          <t>Stackable Heavy-Duty Storage Bins (4-Pk)</t>
        </is>
      </c>
      <c r="E670" s="7" t="inlineStr">
        <is>
          <t>Office Supplies</t>
        </is>
      </c>
      <c r="F670" s="7" t="inlineStr">
        <is>
          <t>Storage &amp; Organizers</t>
        </is>
      </c>
      <c r="G670" s="7" t="inlineStr">
        <is>
          <t>South</t>
        </is>
      </c>
      <c r="H670" s="7" t="inlineStr">
        <is>
          <t>Georgia</t>
        </is>
      </c>
      <c r="I670" s="7" t="inlineStr">
        <is>
          <t>Retail Partner</t>
        </is>
      </c>
      <c r="J670" s="7" t="inlineStr">
        <is>
          <t>Consumer</t>
        </is>
      </c>
      <c r="K670" s="12" t="n">
        <v>1</v>
      </c>
      <c r="L670" s="9" t="n">
        <v>44.99</v>
      </c>
      <c r="M670" s="10" t="n">
        <v>0.05</v>
      </c>
      <c r="N670" s="9" t="n">
        <v>24.74</v>
      </c>
      <c r="O670" s="9">
        <f>K670*L670</f>
        <v/>
      </c>
      <c r="P670" s="9">
        <f>O670*M670</f>
        <v/>
      </c>
      <c r="Q670" s="9">
        <f>O670-P670</f>
        <v/>
      </c>
      <c r="R670" s="9">
        <f>K670*N670</f>
        <v/>
      </c>
      <c r="S670" s="9">
        <f>Q670-R670</f>
        <v/>
      </c>
      <c r="T670" s="10">
        <f>IFERROR(S670/Q670, 0)</f>
        <v/>
      </c>
    </row>
    <row r="671">
      <c r="A671" s="11" t="inlineStr">
        <is>
          <t>ORD-2024-1640</t>
        </is>
      </c>
      <c r="B671" s="11" t="inlineStr">
        <is>
          <t>2024-10-04</t>
        </is>
      </c>
      <c r="C671" s="11" t="inlineStr">
        <is>
          <t>TEC-ACC-008</t>
        </is>
      </c>
      <c r="D671" s="7" t="inlineStr">
        <is>
          <t>Precision Laser Bluetooth Mouse</t>
        </is>
      </c>
      <c r="E671" s="7" t="inlineStr">
        <is>
          <t>Technology</t>
        </is>
      </c>
      <c r="F671" s="7" t="inlineStr">
        <is>
          <t>Audio &amp; Accessories</t>
        </is>
      </c>
      <c r="G671" s="7" t="inlineStr">
        <is>
          <t>East</t>
        </is>
      </c>
      <c r="H671" s="7" t="inlineStr">
        <is>
          <t>Massachusetts</t>
        </is>
      </c>
      <c r="I671" s="7" t="inlineStr">
        <is>
          <t>Direct Sales</t>
        </is>
      </c>
      <c r="J671" s="7" t="inlineStr">
        <is>
          <t>Corporate</t>
        </is>
      </c>
      <c r="K671" s="12" t="n">
        <v>6</v>
      </c>
      <c r="L671" s="9" t="n">
        <v>49.99</v>
      </c>
      <c r="M671" s="10" t="n">
        <v>0</v>
      </c>
      <c r="N671" s="9" t="n">
        <v>27.49</v>
      </c>
      <c r="O671" s="9">
        <f>K671*L671</f>
        <v/>
      </c>
      <c r="P671" s="9">
        <f>O671*M671</f>
        <v/>
      </c>
      <c r="Q671" s="9">
        <f>O671-P671</f>
        <v/>
      </c>
      <c r="R671" s="9">
        <f>K671*N671</f>
        <v/>
      </c>
      <c r="S671" s="9">
        <f>Q671-R671</f>
        <v/>
      </c>
      <c r="T671" s="10">
        <f>IFERROR(S671/Q671, 0)</f>
        <v/>
      </c>
    </row>
    <row r="672">
      <c r="A672" s="11" t="inlineStr">
        <is>
          <t>ORD-2024-1181</t>
        </is>
      </c>
      <c r="B672" s="11" t="inlineStr">
        <is>
          <t>2024-10-05</t>
        </is>
      </c>
      <c r="C672" s="11" t="inlineStr">
        <is>
          <t>OFF-BIN-005</t>
        </is>
      </c>
      <c r="D672" s="7" t="inlineStr">
        <is>
          <t>Heavy-Duty D-Ring Presentation Binder (6-Pk)</t>
        </is>
      </c>
      <c r="E672" s="7" t="inlineStr">
        <is>
          <t>Office Supplies</t>
        </is>
      </c>
      <c r="F672" s="7" t="inlineStr">
        <is>
          <t>Binders &amp; Fasteners</t>
        </is>
      </c>
      <c r="G672" s="7" t="inlineStr">
        <is>
          <t>Central</t>
        </is>
      </c>
      <c r="H672" s="7" t="inlineStr">
        <is>
          <t>Texas</t>
        </is>
      </c>
      <c r="I672" s="7" t="inlineStr">
        <is>
          <t>Direct Sales</t>
        </is>
      </c>
      <c r="J672" s="7" t="inlineStr">
        <is>
          <t>Corporate</t>
        </is>
      </c>
      <c r="K672" s="12" t="n">
        <v>4</v>
      </c>
      <c r="L672" s="9" t="n">
        <v>27.99</v>
      </c>
      <c r="M672" s="10" t="n">
        <v>0.1</v>
      </c>
      <c r="N672" s="9" t="n">
        <v>13.99</v>
      </c>
      <c r="O672" s="9">
        <f>K672*L672</f>
        <v/>
      </c>
      <c r="P672" s="9">
        <f>O672*M672</f>
        <v/>
      </c>
      <c r="Q672" s="9">
        <f>O672-P672</f>
        <v/>
      </c>
      <c r="R672" s="9">
        <f>K672*N672</f>
        <v/>
      </c>
      <c r="S672" s="9">
        <f>Q672-R672</f>
        <v/>
      </c>
      <c r="T672" s="10">
        <f>IFERROR(S672/Q672, 0)</f>
        <v/>
      </c>
    </row>
    <row r="673">
      <c r="A673" s="11" t="inlineStr">
        <is>
          <t>ORD-2024-1340</t>
        </is>
      </c>
      <c r="B673" s="11" t="inlineStr">
        <is>
          <t>2024-10-05</t>
        </is>
      </c>
      <c r="C673" s="11" t="inlineStr">
        <is>
          <t>TEC-TAB-003</t>
        </is>
      </c>
      <c r="D673" s="7" t="inlineStr">
        <is>
          <t>VisionPad Pro 11"</t>
        </is>
      </c>
      <c r="E673" s="7" t="inlineStr">
        <is>
          <t>Technology</t>
        </is>
      </c>
      <c r="F673" s="7" t="inlineStr">
        <is>
          <t>Phones &amp; Tablets</t>
        </is>
      </c>
      <c r="G673" s="7" t="inlineStr">
        <is>
          <t>West</t>
        </is>
      </c>
      <c r="H673" s="7" t="inlineStr">
        <is>
          <t>Colorado</t>
        </is>
      </c>
      <c r="I673" s="7" t="inlineStr">
        <is>
          <t>Retail Partner</t>
        </is>
      </c>
      <c r="J673" s="7" t="inlineStr">
        <is>
          <t>Consumer</t>
        </is>
      </c>
      <c r="K673" s="12" t="n">
        <v>4</v>
      </c>
      <c r="L673" s="9" t="n">
        <v>649.99</v>
      </c>
      <c r="M673" s="10" t="n">
        <v>0.1</v>
      </c>
      <c r="N673" s="9" t="n">
        <v>487.49</v>
      </c>
      <c r="O673" s="9">
        <f>K673*L673</f>
        <v/>
      </c>
      <c r="P673" s="9">
        <f>O673*M673</f>
        <v/>
      </c>
      <c r="Q673" s="9">
        <f>O673-P673</f>
        <v/>
      </c>
      <c r="R673" s="9">
        <f>K673*N673</f>
        <v/>
      </c>
      <c r="S673" s="9">
        <f>Q673-R673</f>
        <v/>
      </c>
      <c r="T673" s="10">
        <f>IFERROR(S673/Q673, 0)</f>
        <v/>
      </c>
    </row>
    <row r="674">
      <c r="A674" s="11" t="inlineStr">
        <is>
          <t>ORD-2024-1479</t>
        </is>
      </c>
      <c r="B674" s="11" t="inlineStr">
        <is>
          <t>2024-10-05</t>
        </is>
      </c>
      <c r="C674" s="11" t="inlineStr">
        <is>
          <t>OFF-PAP-004</t>
        </is>
      </c>
      <c r="D674" s="7" t="inlineStr">
        <is>
          <t>EcoRecycled Copy Paper (5 Reams)</t>
        </is>
      </c>
      <c r="E674" s="7" t="inlineStr">
        <is>
          <t>Office Supplies</t>
        </is>
      </c>
      <c r="F674" s="7" t="inlineStr">
        <is>
          <t>Paper Products</t>
        </is>
      </c>
      <c r="G674" s="7" t="inlineStr">
        <is>
          <t>South</t>
        </is>
      </c>
      <c r="H674" s="7" t="inlineStr">
        <is>
          <t>Georgia</t>
        </is>
      </c>
      <c r="I674" s="7" t="inlineStr">
        <is>
          <t>Direct Sales</t>
        </is>
      </c>
      <c r="J674" s="7" t="inlineStr">
        <is>
          <t>Consumer</t>
        </is>
      </c>
      <c r="K674" s="12" t="n">
        <v>3</v>
      </c>
      <c r="L674" s="9" t="n">
        <v>32.99</v>
      </c>
      <c r="M674" s="10" t="n">
        <v>0.15</v>
      </c>
      <c r="N674" s="9" t="n">
        <v>19.79</v>
      </c>
      <c r="O674" s="9">
        <f>K674*L674</f>
        <v/>
      </c>
      <c r="P674" s="9">
        <f>O674*M674</f>
        <v/>
      </c>
      <c r="Q674" s="9">
        <f>O674-P674</f>
        <v/>
      </c>
      <c r="R674" s="9">
        <f>K674*N674</f>
        <v/>
      </c>
      <c r="S674" s="9">
        <f>Q674-R674</f>
        <v/>
      </c>
      <c r="T674" s="10">
        <f>IFERROR(S674/Q674, 0)</f>
        <v/>
      </c>
    </row>
    <row r="675">
      <c r="A675" s="11" t="inlineStr">
        <is>
          <t>ORD-2024-1419</t>
        </is>
      </c>
      <c r="B675" s="11" t="inlineStr">
        <is>
          <t>2024-10-06</t>
        </is>
      </c>
      <c r="C675" s="11" t="inlineStr">
        <is>
          <t>OFF-PAP-003</t>
        </is>
      </c>
      <c r="D675" s="7" t="inlineStr">
        <is>
          <t>UltraWhite Premium Multipurpose Paper (Case)</t>
        </is>
      </c>
      <c r="E675" s="7" t="inlineStr">
        <is>
          <t>Office Supplies</t>
        </is>
      </c>
      <c r="F675" s="7" t="inlineStr">
        <is>
          <t>Paper Products</t>
        </is>
      </c>
      <c r="G675" s="7" t="inlineStr">
        <is>
          <t>East</t>
        </is>
      </c>
      <c r="H675" s="7" t="inlineStr">
        <is>
          <t>New Jersey</t>
        </is>
      </c>
      <c r="I675" s="7" t="inlineStr">
        <is>
          <t>Retail Partner</t>
        </is>
      </c>
      <c r="J675" s="7" t="inlineStr">
        <is>
          <t>Consumer</t>
        </is>
      </c>
      <c r="K675" s="12" t="n">
        <v>4</v>
      </c>
      <c r="L675" s="9" t="n">
        <v>54.99</v>
      </c>
      <c r="M675" s="10" t="n">
        <v>0</v>
      </c>
      <c r="N675" s="9" t="n">
        <v>31.89</v>
      </c>
      <c r="O675" s="9">
        <f>K675*L675</f>
        <v/>
      </c>
      <c r="P675" s="9">
        <f>O675*M675</f>
        <v/>
      </c>
      <c r="Q675" s="9">
        <f>O675-P675</f>
        <v/>
      </c>
      <c r="R675" s="9">
        <f>K675*N675</f>
        <v/>
      </c>
      <c r="S675" s="9">
        <f>Q675-R675</f>
        <v/>
      </c>
      <c r="T675" s="10">
        <f>IFERROR(S675/Q675, 0)</f>
        <v/>
      </c>
    </row>
    <row r="676">
      <c r="A676" s="11" t="inlineStr">
        <is>
          <t>ORD-2024-1419</t>
        </is>
      </c>
      <c r="B676" s="11" t="inlineStr">
        <is>
          <t>2024-10-06</t>
        </is>
      </c>
      <c r="C676" s="11" t="inlineStr">
        <is>
          <t>OFF-PAP-004</t>
        </is>
      </c>
      <c r="D676" s="7" t="inlineStr">
        <is>
          <t>EcoRecycled Copy Paper (5 Reams)</t>
        </is>
      </c>
      <c r="E676" s="7" t="inlineStr">
        <is>
          <t>Office Supplies</t>
        </is>
      </c>
      <c r="F676" s="7" t="inlineStr">
        <is>
          <t>Paper Products</t>
        </is>
      </c>
      <c r="G676" s="7" t="inlineStr">
        <is>
          <t>East</t>
        </is>
      </c>
      <c r="H676" s="7" t="inlineStr">
        <is>
          <t>New Jersey</t>
        </is>
      </c>
      <c r="I676" s="7" t="inlineStr">
        <is>
          <t>Retail Partner</t>
        </is>
      </c>
      <c r="J676" s="7" t="inlineStr">
        <is>
          <t>Consumer</t>
        </is>
      </c>
      <c r="K676" s="12" t="n">
        <v>1</v>
      </c>
      <c r="L676" s="9" t="n">
        <v>32.99</v>
      </c>
      <c r="M676" s="10" t="n">
        <v>0</v>
      </c>
      <c r="N676" s="9" t="n">
        <v>19.79</v>
      </c>
      <c r="O676" s="9">
        <f>K676*L676</f>
        <v/>
      </c>
      <c r="P676" s="9">
        <f>O676*M676</f>
        <v/>
      </c>
      <c r="Q676" s="9">
        <f>O676-P676</f>
        <v/>
      </c>
      <c r="R676" s="9">
        <f>K676*N676</f>
        <v/>
      </c>
      <c r="S676" s="9">
        <f>Q676-R676</f>
        <v/>
      </c>
      <c r="T676" s="10">
        <f>IFERROR(S676/Q676, 0)</f>
        <v/>
      </c>
    </row>
    <row r="677">
      <c r="A677" s="11" t="inlineStr">
        <is>
          <t>ORD-2024-1125</t>
        </is>
      </c>
      <c r="B677" s="11" t="inlineStr">
        <is>
          <t>2024-10-08</t>
        </is>
      </c>
      <c r="C677" s="11" t="inlineStr">
        <is>
          <t>TEC-ACC-005</t>
        </is>
      </c>
      <c r="D677" s="7" t="inlineStr">
        <is>
          <t>UltraWireless Noise-Canceling Headset</t>
        </is>
      </c>
      <c r="E677" s="7" t="inlineStr">
        <is>
          <t>Technology</t>
        </is>
      </c>
      <c r="F677" s="7" t="inlineStr">
        <is>
          <t>Audio &amp; Accessories</t>
        </is>
      </c>
      <c r="G677" s="7" t="inlineStr">
        <is>
          <t>West</t>
        </is>
      </c>
      <c r="H677" s="7" t="inlineStr">
        <is>
          <t>Colorado</t>
        </is>
      </c>
      <c r="I677" s="7" t="inlineStr">
        <is>
          <t>Direct Sales</t>
        </is>
      </c>
      <c r="J677" s="7" t="inlineStr">
        <is>
          <t>Corporate</t>
        </is>
      </c>
      <c r="K677" s="12" t="n">
        <v>7</v>
      </c>
      <c r="L677" s="9" t="n">
        <v>179.99</v>
      </c>
      <c r="M677" s="10" t="n">
        <v>0.05</v>
      </c>
      <c r="N677" s="9" t="n">
        <v>111.59</v>
      </c>
      <c r="O677" s="9">
        <f>K677*L677</f>
        <v/>
      </c>
      <c r="P677" s="9">
        <f>O677*M677</f>
        <v/>
      </c>
      <c r="Q677" s="9">
        <f>O677-P677</f>
        <v/>
      </c>
      <c r="R677" s="9">
        <f>K677*N677</f>
        <v/>
      </c>
      <c r="S677" s="9">
        <f>Q677-R677</f>
        <v/>
      </c>
      <c r="T677" s="10">
        <f>IFERROR(S677/Q677, 0)</f>
        <v/>
      </c>
    </row>
    <row r="678">
      <c r="A678" s="11" t="inlineStr">
        <is>
          <t>ORD-2024-1015</t>
        </is>
      </c>
      <c r="B678" s="11" t="inlineStr">
        <is>
          <t>2024-10-09</t>
        </is>
      </c>
      <c r="C678" s="11" t="inlineStr">
        <is>
          <t>OFF-DSK-007</t>
        </is>
      </c>
      <c r="D678" s="7" t="inlineStr">
        <is>
          <t>Gel Ergo Mouse Pad &amp; Wrist Rest Combo</t>
        </is>
      </c>
      <c r="E678" s="7" t="inlineStr">
        <is>
          <t>Office Supplies</t>
        </is>
      </c>
      <c r="F678" s="7" t="inlineStr">
        <is>
          <t>Desk Supplies</t>
        </is>
      </c>
      <c r="G678" s="7" t="inlineStr">
        <is>
          <t>Central</t>
        </is>
      </c>
      <c r="H678" s="7" t="inlineStr">
        <is>
          <t>Michigan</t>
        </is>
      </c>
      <c r="I678" s="7" t="inlineStr">
        <is>
          <t>Direct Sales</t>
        </is>
      </c>
      <c r="J678" s="7" t="inlineStr">
        <is>
          <t>Corporate</t>
        </is>
      </c>
      <c r="K678" s="12" t="n">
        <v>8</v>
      </c>
      <c r="L678" s="9" t="n">
        <v>21.99</v>
      </c>
      <c r="M678" s="10" t="n">
        <v>0</v>
      </c>
      <c r="N678" s="9" t="n">
        <v>10.56</v>
      </c>
      <c r="O678" s="9">
        <f>K678*L678</f>
        <v/>
      </c>
      <c r="P678" s="9">
        <f>O678*M678</f>
        <v/>
      </c>
      <c r="Q678" s="9">
        <f>O678-P678</f>
        <v/>
      </c>
      <c r="R678" s="9">
        <f>K678*N678</f>
        <v/>
      </c>
      <c r="S678" s="9">
        <f>Q678-R678</f>
        <v/>
      </c>
      <c r="T678" s="10">
        <f>IFERROR(S678/Q678, 0)</f>
        <v/>
      </c>
    </row>
    <row r="679">
      <c r="A679" s="11" t="inlineStr">
        <is>
          <t>ORD-2024-1137</t>
        </is>
      </c>
      <c r="B679" s="11" t="inlineStr">
        <is>
          <t>2024-10-09</t>
        </is>
      </c>
      <c r="C679" s="11" t="inlineStr">
        <is>
          <t>FUR-DSK-003</t>
        </is>
      </c>
      <c r="D679" s="7" t="inlineStr">
        <is>
          <t>ApexMotor Dual-Motor Standing Desk</t>
        </is>
      </c>
      <c r="E679" s="7" t="inlineStr">
        <is>
          <t>Furniture</t>
        </is>
      </c>
      <c r="F679" s="7" t="inlineStr">
        <is>
          <t>Desks &amp; Workstations</t>
        </is>
      </c>
      <c r="G679" s="7" t="inlineStr">
        <is>
          <t>West</t>
        </is>
      </c>
      <c r="H679" s="7" t="inlineStr">
        <is>
          <t>Colorado</t>
        </is>
      </c>
      <c r="I679" s="7" t="inlineStr">
        <is>
          <t>Online</t>
        </is>
      </c>
      <c r="J679" s="7" t="inlineStr">
        <is>
          <t>Consumer</t>
        </is>
      </c>
      <c r="K679" s="12" t="n">
        <v>2</v>
      </c>
      <c r="L679" s="9" t="n">
        <v>549.99</v>
      </c>
      <c r="M679" s="10" t="n">
        <v>0</v>
      </c>
      <c r="N679" s="9" t="n">
        <v>439.99</v>
      </c>
      <c r="O679" s="9">
        <f>K679*L679</f>
        <v/>
      </c>
      <c r="P679" s="9">
        <f>O679*M679</f>
        <v/>
      </c>
      <c r="Q679" s="9">
        <f>O679-P679</f>
        <v/>
      </c>
      <c r="R679" s="9">
        <f>K679*N679</f>
        <v/>
      </c>
      <c r="S679" s="9">
        <f>Q679-R679</f>
        <v/>
      </c>
      <c r="T679" s="10">
        <f>IFERROR(S679/Q679, 0)</f>
        <v/>
      </c>
    </row>
    <row r="680">
      <c r="A680" s="11" t="inlineStr">
        <is>
          <t>ORD-2024-1169</t>
        </is>
      </c>
      <c r="B680" s="11" t="inlineStr">
        <is>
          <t>2024-10-09</t>
        </is>
      </c>
      <c r="C680" s="11" t="inlineStr">
        <is>
          <t>FUR-CHA-001</t>
        </is>
      </c>
      <c r="D680" s="7" t="inlineStr">
        <is>
          <t>ErgoFlex Executive Mesh Chair</t>
        </is>
      </c>
      <c r="E680" s="7" t="inlineStr">
        <is>
          <t>Furniture</t>
        </is>
      </c>
      <c r="F680" s="7" t="inlineStr">
        <is>
          <t>Chairs</t>
        </is>
      </c>
      <c r="G680" s="7" t="inlineStr">
        <is>
          <t>West</t>
        </is>
      </c>
      <c r="H680" s="7" t="inlineStr">
        <is>
          <t>Oregon</t>
        </is>
      </c>
      <c r="I680" s="7" t="inlineStr">
        <is>
          <t>Wholesale</t>
        </is>
      </c>
      <c r="J680" s="7" t="inlineStr">
        <is>
          <t>Corporate</t>
        </is>
      </c>
      <c r="K680" s="12" t="n">
        <v>8</v>
      </c>
      <c r="L680" s="9" t="n">
        <v>389.99</v>
      </c>
      <c r="M680" s="10" t="n">
        <v>0.1</v>
      </c>
      <c r="N680" s="9" t="n">
        <v>331.49</v>
      </c>
      <c r="O680" s="9">
        <f>K680*L680</f>
        <v/>
      </c>
      <c r="P680" s="9">
        <f>O680*M680</f>
        <v/>
      </c>
      <c r="Q680" s="9">
        <f>O680-P680</f>
        <v/>
      </c>
      <c r="R680" s="9">
        <f>K680*N680</f>
        <v/>
      </c>
      <c r="S680" s="9">
        <f>Q680-R680</f>
        <v/>
      </c>
      <c r="T680" s="10">
        <f>IFERROR(S680/Q680, 0)</f>
        <v/>
      </c>
    </row>
    <row r="681">
      <c r="A681" s="11" t="inlineStr">
        <is>
          <t>ORD-2024-1249</t>
        </is>
      </c>
      <c r="B681" s="11" t="inlineStr">
        <is>
          <t>2024-10-09</t>
        </is>
      </c>
      <c r="C681" s="11" t="inlineStr">
        <is>
          <t>OFF-BIN-005</t>
        </is>
      </c>
      <c r="D681" s="7" t="inlineStr">
        <is>
          <t>Heavy-Duty D-Ring Presentation Binder (6-Pk)</t>
        </is>
      </c>
      <c r="E681" s="7" t="inlineStr">
        <is>
          <t>Office Supplies</t>
        </is>
      </c>
      <c r="F681" s="7" t="inlineStr">
        <is>
          <t>Binders &amp; Fasteners</t>
        </is>
      </c>
      <c r="G681" s="7" t="inlineStr">
        <is>
          <t>Central</t>
        </is>
      </c>
      <c r="H681" s="7" t="inlineStr">
        <is>
          <t>Illinois</t>
        </is>
      </c>
      <c r="I681" s="7" t="inlineStr">
        <is>
          <t>Wholesale</t>
        </is>
      </c>
      <c r="J681" s="7" t="inlineStr">
        <is>
          <t>Consumer</t>
        </is>
      </c>
      <c r="K681" s="12" t="n">
        <v>15</v>
      </c>
      <c r="L681" s="9" t="n">
        <v>27.99</v>
      </c>
      <c r="M681" s="10" t="n">
        <v>0.15</v>
      </c>
      <c r="N681" s="9" t="n">
        <v>13.99</v>
      </c>
      <c r="O681" s="9">
        <f>K681*L681</f>
        <v/>
      </c>
      <c r="P681" s="9">
        <f>O681*M681</f>
        <v/>
      </c>
      <c r="Q681" s="9">
        <f>O681-P681</f>
        <v/>
      </c>
      <c r="R681" s="9">
        <f>K681*N681</f>
        <v/>
      </c>
      <c r="S681" s="9">
        <f>Q681-R681</f>
        <v/>
      </c>
      <c r="T681" s="10">
        <f>IFERROR(S681/Q681, 0)</f>
        <v/>
      </c>
    </row>
    <row r="682">
      <c r="A682" s="11" t="inlineStr">
        <is>
          <t>ORD-2024-1365</t>
        </is>
      </c>
      <c r="B682" s="11" t="inlineStr">
        <is>
          <t>2024-10-10</t>
        </is>
      </c>
      <c r="C682" s="11" t="inlineStr">
        <is>
          <t>OFF-PAP-003</t>
        </is>
      </c>
      <c r="D682" s="7" t="inlineStr">
        <is>
          <t>UltraWhite Premium Multipurpose Paper (Case)</t>
        </is>
      </c>
      <c r="E682" s="7" t="inlineStr">
        <is>
          <t>Office Supplies</t>
        </is>
      </c>
      <c r="F682" s="7" t="inlineStr">
        <is>
          <t>Paper Products</t>
        </is>
      </c>
      <c r="G682" s="7" t="inlineStr">
        <is>
          <t>East</t>
        </is>
      </c>
      <c r="H682" s="7" t="inlineStr">
        <is>
          <t>New York</t>
        </is>
      </c>
      <c r="I682" s="7" t="inlineStr">
        <is>
          <t>Online</t>
        </is>
      </c>
      <c r="J682" s="7" t="inlineStr">
        <is>
          <t>Home Office</t>
        </is>
      </c>
      <c r="K682" s="12" t="n">
        <v>1</v>
      </c>
      <c r="L682" s="9" t="n">
        <v>54.99</v>
      </c>
      <c r="M682" s="10" t="n">
        <v>0.1</v>
      </c>
      <c r="N682" s="9" t="n">
        <v>31.89</v>
      </c>
      <c r="O682" s="9">
        <f>K682*L682</f>
        <v/>
      </c>
      <c r="P682" s="9">
        <f>O682*M682</f>
        <v/>
      </c>
      <c r="Q682" s="9">
        <f>O682-P682</f>
        <v/>
      </c>
      <c r="R682" s="9">
        <f>K682*N682</f>
        <v/>
      </c>
      <c r="S682" s="9">
        <f>Q682-R682</f>
        <v/>
      </c>
      <c r="T682" s="10">
        <f>IFERROR(S682/Q682, 0)</f>
        <v/>
      </c>
    </row>
    <row r="683">
      <c r="A683" s="11" t="inlineStr">
        <is>
          <t>ORD-2024-1365</t>
        </is>
      </c>
      <c r="B683" s="11" t="inlineStr">
        <is>
          <t>2024-10-10</t>
        </is>
      </c>
      <c r="C683" s="11" t="inlineStr">
        <is>
          <t>OFF-DSK-008</t>
        </is>
      </c>
      <c r="D683" s="7" t="inlineStr">
        <is>
          <t>Steel Desktop Mesh Organizer Caddy</t>
        </is>
      </c>
      <c r="E683" s="7" t="inlineStr">
        <is>
          <t>Office Supplies</t>
        </is>
      </c>
      <c r="F683" s="7" t="inlineStr">
        <is>
          <t>Desk Supplies</t>
        </is>
      </c>
      <c r="G683" s="7" t="inlineStr">
        <is>
          <t>East</t>
        </is>
      </c>
      <c r="H683" s="7" t="inlineStr">
        <is>
          <t>New York</t>
        </is>
      </c>
      <c r="I683" s="7" t="inlineStr">
        <is>
          <t>Online</t>
        </is>
      </c>
      <c r="J683" s="7" t="inlineStr">
        <is>
          <t>Home Office</t>
        </is>
      </c>
      <c r="K683" s="12" t="n">
        <v>3</v>
      </c>
      <c r="L683" s="9" t="n">
        <v>18.99</v>
      </c>
      <c r="M683" s="10" t="n">
        <v>0</v>
      </c>
      <c r="N683" s="9" t="n">
        <v>8.550000000000001</v>
      </c>
      <c r="O683" s="9">
        <f>K683*L683</f>
        <v/>
      </c>
      <c r="P683" s="9">
        <f>O683*M683</f>
        <v/>
      </c>
      <c r="Q683" s="9">
        <f>O683-P683</f>
        <v/>
      </c>
      <c r="R683" s="9">
        <f>K683*N683</f>
        <v/>
      </c>
      <c r="S683" s="9">
        <f>Q683-R683</f>
        <v/>
      </c>
      <c r="T683" s="10">
        <f>IFERROR(S683/Q683, 0)</f>
        <v/>
      </c>
    </row>
    <row r="684">
      <c r="A684" s="11" t="inlineStr">
        <is>
          <t>ORD-2024-1365</t>
        </is>
      </c>
      <c r="B684" s="11" t="inlineStr">
        <is>
          <t>2024-10-10</t>
        </is>
      </c>
      <c r="C684" s="11" t="inlineStr">
        <is>
          <t>OFF-ART-006</t>
        </is>
      </c>
      <c r="D684" s="7" t="inlineStr">
        <is>
          <t>Professional Presentation Dry Erase Board</t>
        </is>
      </c>
      <c r="E684" s="7" t="inlineStr">
        <is>
          <t>Office Supplies</t>
        </is>
      </c>
      <c r="F684" s="7" t="inlineStr">
        <is>
          <t>Presentation &amp; Art</t>
        </is>
      </c>
      <c r="G684" s="7" t="inlineStr">
        <is>
          <t>East</t>
        </is>
      </c>
      <c r="H684" s="7" t="inlineStr">
        <is>
          <t>New York</t>
        </is>
      </c>
      <c r="I684" s="7" t="inlineStr">
        <is>
          <t>Online</t>
        </is>
      </c>
      <c r="J684" s="7" t="inlineStr">
        <is>
          <t>Home Office</t>
        </is>
      </c>
      <c r="K684" s="12" t="n">
        <v>2</v>
      </c>
      <c r="L684" s="9" t="n">
        <v>89.98999999999999</v>
      </c>
      <c r="M684" s="10" t="n">
        <v>0.05</v>
      </c>
      <c r="N684" s="9" t="n">
        <v>53.99</v>
      </c>
      <c r="O684" s="9">
        <f>K684*L684</f>
        <v/>
      </c>
      <c r="P684" s="9">
        <f>O684*M684</f>
        <v/>
      </c>
      <c r="Q684" s="9">
        <f>O684-P684</f>
        <v/>
      </c>
      <c r="R684" s="9">
        <f>K684*N684</f>
        <v/>
      </c>
      <c r="S684" s="9">
        <f>Q684-R684</f>
        <v/>
      </c>
      <c r="T684" s="10">
        <f>IFERROR(S684/Q684, 0)</f>
        <v/>
      </c>
    </row>
    <row r="685">
      <c r="A685" s="11" t="inlineStr">
        <is>
          <t>ORD-2024-1488</t>
        </is>
      </c>
      <c r="B685" s="11" t="inlineStr">
        <is>
          <t>2024-10-10</t>
        </is>
      </c>
      <c r="C685" s="11" t="inlineStr">
        <is>
          <t>FUR-DSK-004</t>
        </is>
      </c>
      <c r="D685" s="7" t="inlineStr">
        <is>
          <t>Metro Compact Corner Workstation</t>
        </is>
      </c>
      <c r="E685" s="7" t="inlineStr">
        <is>
          <t>Furniture</t>
        </is>
      </c>
      <c r="F685" s="7" t="inlineStr">
        <is>
          <t>Desks &amp; Workstations</t>
        </is>
      </c>
      <c r="G685" s="7" t="inlineStr">
        <is>
          <t>West</t>
        </is>
      </c>
      <c r="H685" s="7" t="inlineStr">
        <is>
          <t>California</t>
        </is>
      </c>
      <c r="I685" s="7" t="inlineStr">
        <is>
          <t>Online</t>
        </is>
      </c>
      <c r="J685" s="7" t="inlineStr">
        <is>
          <t>Home Office</t>
        </is>
      </c>
      <c r="K685" s="12" t="n">
        <v>4</v>
      </c>
      <c r="L685" s="9" t="n">
        <v>329.99</v>
      </c>
      <c r="M685" s="10" t="n">
        <v>0</v>
      </c>
      <c r="N685" s="9" t="n">
        <v>250.79</v>
      </c>
      <c r="O685" s="9">
        <f>K685*L685</f>
        <v/>
      </c>
      <c r="P685" s="9">
        <f>O685*M685</f>
        <v/>
      </c>
      <c r="Q685" s="9">
        <f>O685-P685</f>
        <v/>
      </c>
      <c r="R685" s="9">
        <f>K685*N685</f>
        <v/>
      </c>
      <c r="S685" s="9">
        <f>Q685-R685</f>
        <v/>
      </c>
      <c r="T685" s="10">
        <f>IFERROR(S685/Q685, 0)</f>
        <v/>
      </c>
    </row>
    <row r="686">
      <c r="A686" s="11" t="inlineStr">
        <is>
          <t>ORD-2024-1528</t>
        </is>
      </c>
      <c r="B686" s="11" t="inlineStr">
        <is>
          <t>2024-10-10</t>
        </is>
      </c>
      <c r="C686" s="11" t="inlineStr">
        <is>
          <t>FUR-BOK-005</t>
        </is>
      </c>
      <c r="D686" s="7" t="inlineStr">
        <is>
          <t>Modular 5-Tier Steel Bookcase</t>
        </is>
      </c>
      <c r="E686" s="7" t="inlineStr">
        <is>
          <t>Furniture</t>
        </is>
      </c>
      <c r="F686" s="7" t="inlineStr">
        <is>
          <t>Bookcases</t>
        </is>
      </c>
      <c r="G686" s="7" t="inlineStr">
        <is>
          <t>Central</t>
        </is>
      </c>
      <c r="H686" s="7" t="inlineStr">
        <is>
          <t>Illinois</t>
        </is>
      </c>
      <c r="I686" s="7" t="inlineStr">
        <is>
          <t>Online</t>
        </is>
      </c>
      <c r="J686" s="7" t="inlineStr">
        <is>
          <t>Corporate</t>
        </is>
      </c>
      <c r="K686" s="12" t="n">
        <v>4</v>
      </c>
      <c r="L686" s="9" t="n">
        <v>189.99</v>
      </c>
      <c r="M686" s="10" t="n">
        <v>0.1</v>
      </c>
      <c r="N686" s="9" t="n">
        <v>142.49</v>
      </c>
      <c r="O686" s="9">
        <f>K686*L686</f>
        <v/>
      </c>
      <c r="P686" s="9">
        <f>O686*M686</f>
        <v/>
      </c>
      <c r="Q686" s="9">
        <f>O686-P686</f>
        <v/>
      </c>
      <c r="R686" s="9">
        <f>K686*N686</f>
        <v/>
      </c>
      <c r="S686" s="9">
        <f>Q686-R686</f>
        <v/>
      </c>
      <c r="T686" s="10">
        <f>IFERROR(S686/Q686, 0)</f>
        <v/>
      </c>
    </row>
    <row r="687">
      <c r="A687" s="11" t="inlineStr">
        <is>
          <t>ORD-2024-1727</t>
        </is>
      </c>
      <c r="B687" s="11" t="inlineStr">
        <is>
          <t>2024-10-10</t>
        </is>
      </c>
      <c r="C687" s="11" t="inlineStr">
        <is>
          <t>OFF-PAP-003</t>
        </is>
      </c>
      <c r="D687" s="7" t="inlineStr">
        <is>
          <t>UltraWhite Premium Multipurpose Paper (Case)</t>
        </is>
      </c>
      <c r="E687" s="7" t="inlineStr">
        <is>
          <t>Office Supplies</t>
        </is>
      </c>
      <c r="F687" s="7" t="inlineStr">
        <is>
          <t>Paper Products</t>
        </is>
      </c>
      <c r="G687" s="7" t="inlineStr">
        <is>
          <t>East</t>
        </is>
      </c>
      <c r="H687" s="7" t="inlineStr">
        <is>
          <t>New York</t>
        </is>
      </c>
      <c r="I687" s="7" t="inlineStr">
        <is>
          <t>Direct Sales</t>
        </is>
      </c>
      <c r="J687" s="7" t="inlineStr">
        <is>
          <t>Corporate</t>
        </is>
      </c>
      <c r="K687" s="12" t="n">
        <v>3</v>
      </c>
      <c r="L687" s="9" t="n">
        <v>54.99</v>
      </c>
      <c r="M687" s="10" t="n">
        <v>0</v>
      </c>
      <c r="N687" s="9" t="n">
        <v>31.89</v>
      </c>
      <c r="O687" s="9">
        <f>K687*L687</f>
        <v/>
      </c>
      <c r="P687" s="9">
        <f>O687*M687</f>
        <v/>
      </c>
      <c r="Q687" s="9">
        <f>O687-P687</f>
        <v/>
      </c>
      <c r="R687" s="9">
        <f>K687*N687</f>
        <v/>
      </c>
      <c r="S687" s="9">
        <f>Q687-R687</f>
        <v/>
      </c>
      <c r="T687" s="10">
        <f>IFERROR(S687/Q687, 0)</f>
        <v/>
      </c>
    </row>
    <row r="688">
      <c r="A688" s="11" t="inlineStr">
        <is>
          <t>ORD-2024-1333</t>
        </is>
      </c>
      <c r="B688" s="11" t="inlineStr">
        <is>
          <t>2024-10-11</t>
        </is>
      </c>
      <c r="C688" s="11" t="inlineStr">
        <is>
          <t>TEC-TAB-003</t>
        </is>
      </c>
      <c r="D688" s="7" t="inlineStr">
        <is>
          <t>VisionPad Pro 11"</t>
        </is>
      </c>
      <c r="E688" s="7" t="inlineStr">
        <is>
          <t>Technology</t>
        </is>
      </c>
      <c r="F688" s="7" t="inlineStr">
        <is>
          <t>Phones &amp; Tablets</t>
        </is>
      </c>
      <c r="G688" s="7" t="inlineStr">
        <is>
          <t>Central</t>
        </is>
      </c>
      <c r="H688" s="7" t="inlineStr">
        <is>
          <t>Texas</t>
        </is>
      </c>
      <c r="I688" s="7" t="inlineStr">
        <is>
          <t>Online</t>
        </is>
      </c>
      <c r="J688" s="7" t="inlineStr">
        <is>
          <t>Home Office</t>
        </is>
      </c>
      <c r="K688" s="12" t="n">
        <v>1</v>
      </c>
      <c r="L688" s="9" t="n">
        <v>649.99</v>
      </c>
      <c r="M688" s="10" t="n">
        <v>0</v>
      </c>
      <c r="N688" s="9" t="n">
        <v>487.49</v>
      </c>
      <c r="O688" s="9">
        <f>K688*L688</f>
        <v/>
      </c>
      <c r="P688" s="9">
        <f>O688*M688</f>
        <v/>
      </c>
      <c r="Q688" s="9">
        <f>O688-P688</f>
        <v/>
      </c>
      <c r="R688" s="9">
        <f>K688*N688</f>
        <v/>
      </c>
      <c r="S688" s="9">
        <f>Q688-R688</f>
        <v/>
      </c>
      <c r="T688" s="10">
        <f>IFERROR(S688/Q688, 0)</f>
        <v/>
      </c>
    </row>
    <row r="689">
      <c r="A689" s="11" t="inlineStr">
        <is>
          <t>ORD-2024-1523</t>
        </is>
      </c>
      <c r="B689" s="11" t="inlineStr">
        <is>
          <t>2024-10-11</t>
        </is>
      </c>
      <c r="C689" s="11" t="inlineStr">
        <is>
          <t>TEC-TAB-004</t>
        </is>
      </c>
      <c r="D689" s="7" t="inlineStr">
        <is>
          <t>VisionPad Lite 8.5"</t>
        </is>
      </c>
      <c r="E689" s="7" t="inlineStr">
        <is>
          <t>Technology</t>
        </is>
      </c>
      <c r="F689" s="7" t="inlineStr">
        <is>
          <t>Phones &amp; Tablets</t>
        </is>
      </c>
      <c r="G689" s="7" t="inlineStr">
        <is>
          <t>East</t>
        </is>
      </c>
      <c r="H689" s="7" t="inlineStr">
        <is>
          <t>New Jersey</t>
        </is>
      </c>
      <c r="I689" s="7" t="inlineStr">
        <is>
          <t>Retail Partner</t>
        </is>
      </c>
      <c r="J689" s="7" t="inlineStr">
        <is>
          <t>Consumer</t>
        </is>
      </c>
      <c r="K689" s="12" t="n">
        <v>2</v>
      </c>
      <c r="L689" s="9" t="n">
        <v>299.99</v>
      </c>
      <c r="M689" s="10" t="n">
        <v>0.1</v>
      </c>
      <c r="N689" s="9" t="n">
        <v>245.99</v>
      </c>
      <c r="O689" s="9">
        <f>K689*L689</f>
        <v/>
      </c>
      <c r="P689" s="9">
        <f>O689*M689</f>
        <v/>
      </c>
      <c r="Q689" s="9">
        <f>O689-P689</f>
        <v/>
      </c>
      <c r="R689" s="9">
        <f>K689*N689</f>
        <v/>
      </c>
      <c r="S689" s="9">
        <f>Q689-R689</f>
        <v/>
      </c>
      <c r="T689" s="10">
        <f>IFERROR(S689/Q689, 0)</f>
        <v/>
      </c>
    </row>
    <row r="690">
      <c r="A690" s="11" t="inlineStr">
        <is>
          <t>ORD-2024-1693</t>
        </is>
      </c>
      <c r="B690" s="11" t="inlineStr">
        <is>
          <t>2024-10-11</t>
        </is>
      </c>
      <c r="C690" s="11" t="inlineStr">
        <is>
          <t>TEC-TAB-003</t>
        </is>
      </c>
      <c r="D690" s="7" t="inlineStr">
        <is>
          <t>VisionPad Pro 11"</t>
        </is>
      </c>
      <c r="E690" s="7" t="inlineStr">
        <is>
          <t>Technology</t>
        </is>
      </c>
      <c r="F690" s="7" t="inlineStr">
        <is>
          <t>Phones &amp; Tablets</t>
        </is>
      </c>
      <c r="G690" s="7" t="inlineStr">
        <is>
          <t>South</t>
        </is>
      </c>
      <c r="H690" s="7" t="inlineStr">
        <is>
          <t>Florida</t>
        </is>
      </c>
      <c r="I690" s="7" t="inlineStr">
        <is>
          <t>Online</t>
        </is>
      </c>
      <c r="J690" s="7" t="inlineStr">
        <is>
          <t>Consumer</t>
        </is>
      </c>
      <c r="K690" s="12" t="n">
        <v>4</v>
      </c>
      <c r="L690" s="9" t="n">
        <v>649.99</v>
      </c>
      <c r="M690" s="10" t="n">
        <v>0</v>
      </c>
      <c r="N690" s="9" t="n">
        <v>487.49</v>
      </c>
      <c r="O690" s="9">
        <f>K690*L690</f>
        <v/>
      </c>
      <c r="P690" s="9">
        <f>O690*M690</f>
        <v/>
      </c>
      <c r="Q690" s="9">
        <f>O690-P690</f>
        <v/>
      </c>
      <c r="R690" s="9">
        <f>K690*N690</f>
        <v/>
      </c>
      <c r="S690" s="9">
        <f>Q690-R690</f>
        <v/>
      </c>
      <c r="T690" s="10">
        <f>IFERROR(S690/Q690, 0)</f>
        <v/>
      </c>
    </row>
    <row r="691">
      <c r="A691" s="11" t="inlineStr">
        <is>
          <t>ORD-2024-1042</t>
        </is>
      </c>
      <c r="B691" s="11" t="inlineStr">
        <is>
          <t>2024-10-12</t>
        </is>
      </c>
      <c r="C691" s="11" t="inlineStr">
        <is>
          <t>OFF-PAP-003</t>
        </is>
      </c>
      <c r="D691" s="7" t="inlineStr">
        <is>
          <t>UltraWhite Premium Multipurpose Paper (Case)</t>
        </is>
      </c>
      <c r="E691" s="7" t="inlineStr">
        <is>
          <t>Office Supplies</t>
        </is>
      </c>
      <c r="F691" s="7" t="inlineStr">
        <is>
          <t>Paper Products</t>
        </is>
      </c>
      <c r="G691" s="7" t="inlineStr">
        <is>
          <t>East</t>
        </is>
      </c>
      <c r="H691" s="7" t="inlineStr">
        <is>
          <t>New Jersey</t>
        </is>
      </c>
      <c r="I691" s="7" t="inlineStr">
        <is>
          <t>Online</t>
        </is>
      </c>
      <c r="J691" s="7" t="inlineStr">
        <is>
          <t>Home Office</t>
        </is>
      </c>
      <c r="K691" s="12" t="n">
        <v>4</v>
      </c>
      <c r="L691" s="9" t="n">
        <v>54.99</v>
      </c>
      <c r="M691" s="10" t="n">
        <v>0.1</v>
      </c>
      <c r="N691" s="9" t="n">
        <v>31.89</v>
      </c>
      <c r="O691" s="9">
        <f>K691*L691</f>
        <v/>
      </c>
      <c r="P691" s="9">
        <f>O691*M691</f>
        <v/>
      </c>
      <c r="Q691" s="9">
        <f>O691-P691</f>
        <v/>
      </c>
      <c r="R691" s="9">
        <f>K691*N691</f>
        <v/>
      </c>
      <c r="S691" s="9">
        <f>Q691-R691</f>
        <v/>
      </c>
      <c r="T691" s="10">
        <f>IFERROR(S691/Q691, 0)</f>
        <v/>
      </c>
    </row>
    <row r="692">
      <c r="A692" s="11" t="inlineStr">
        <is>
          <t>ORD-2024-1042</t>
        </is>
      </c>
      <c r="B692" s="11" t="inlineStr">
        <is>
          <t>2024-10-12</t>
        </is>
      </c>
      <c r="C692" s="11" t="inlineStr">
        <is>
          <t>TEC-TAB-004</t>
        </is>
      </c>
      <c r="D692" s="7" t="inlineStr">
        <is>
          <t>VisionPad Lite 8.5"</t>
        </is>
      </c>
      <c r="E692" s="7" t="inlineStr">
        <is>
          <t>Technology</t>
        </is>
      </c>
      <c r="F692" s="7" t="inlineStr">
        <is>
          <t>Phones &amp; Tablets</t>
        </is>
      </c>
      <c r="G692" s="7" t="inlineStr">
        <is>
          <t>East</t>
        </is>
      </c>
      <c r="H692" s="7" t="inlineStr">
        <is>
          <t>New Jersey</t>
        </is>
      </c>
      <c r="I692" s="7" t="inlineStr">
        <is>
          <t>Online</t>
        </is>
      </c>
      <c r="J692" s="7" t="inlineStr">
        <is>
          <t>Home Office</t>
        </is>
      </c>
      <c r="K692" s="12" t="n">
        <v>2</v>
      </c>
      <c r="L692" s="9" t="n">
        <v>299.99</v>
      </c>
      <c r="M692" s="10" t="n">
        <v>0.1</v>
      </c>
      <c r="N692" s="9" t="n">
        <v>245.99</v>
      </c>
      <c r="O692" s="9">
        <f>K692*L692</f>
        <v/>
      </c>
      <c r="P692" s="9">
        <f>O692*M692</f>
        <v/>
      </c>
      <c r="Q692" s="9">
        <f>O692-P692</f>
        <v/>
      </c>
      <c r="R692" s="9">
        <f>K692*N692</f>
        <v/>
      </c>
      <c r="S692" s="9">
        <f>Q692-R692</f>
        <v/>
      </c>
      <c r="T692" s="10">
        <f>IFERROR(S692/Q692, 0)</f>
        <v/>
      </c>
    </row>
    <row r="693">
      <c r="A693" s="11" t="inlineStr">
        <is>
          <t>ORD-2024-1566</t>
        </is>
      </c>
      <c r="B693" s="11" t="inlineStr">
        <is>
          <t>2024-10-12</t>
        </is>
      </c>
      <c r="C693" s="11" t="inlineStr">
        <is>
          <t>OFF-STR-001</t>
        </is>
      </c>
      <c r="D693" s="7" t="inlineStr">
        <is>
          <t>SteelLock 3-Drawer File Cabinet</t>
        </is>
      </c>
      <c r="E693" s="7" t="inlineStr">
        <is>
          <t>Office Supplies</t>
        </is>
      </c>
      <c r="F693" s="7" t="inlineStr">
        <is>
          <t>Storage &amp; Organizers</t>
        </is>
      </c>
      <c r="G693" s="7" t="inlineStr">
        <is>
          <t>West</t>
        </is>
      </c>
      <c r="H693" s="7" t="inlineStr">
        <is>
          <t>Colorado</t>
        </is>
      </c>
      <c r="I693" s="7" t="inlineStr">
        <is>
          <t>Direct Sales</t>
        </is>
      </c>
      <c r="J693" s="7" t="inlineStr">
        <is>
          <t>Consumer</t>
        </is>
      </c>
      <c r="K693" s="12" t="n">
        <v>1</v>
      </c>
      <c r="L693" s="9" t="n">
        <v>169.99</v>
      </c>
      <c r="M693" s="10" t="n">
        <v>0</v>
      </c>
      <c r="N693" s="9" t="n">
        <v>115.59</v>
      </c>
      <c r="O693" s="9">
        <f>K693*L693</f>
        <v/>
      </c>
      <c r="P693" s="9">
        <f>O693*M693</f>
        <v/>
      </c>
      <c r="Q693" s="9">
        <f>O693-P693</f>
        <v/>
      </c>
      <c r="R693" s="9">
        <f>K693*N693</f>
        <v/>
      </c>
      <c r="S693" s="9">
        <f>Q693-R693</f>
        <v/>
      </c>
      <c r="T693" s="10">
        <f>IFERROR(S693/Q693, 0)</f>
        <v/>
      </c>
    </row>
    <row r="694">
      <c r="A694" s="11" t="inlineStr">
        <is>
          <t>ORD-2024-1665</t>
        </is>
      </c>
      <c r="B694" s="11" t="inlineStr">
        <is>
          <t>2024-10-12</t>
        </is>
      </c>
      <c r="C694" s="11" t="inlineStr">
        <is>
          <t>OFF-PAP-003</t>
        </is>
      </c>
      <c r="D694" s="7" t="inlineStr">
        <is>
          <t>UltraWhite Premium Multipurpose Paper (Case)</t>
        </is>
      </c>
      <c r="E694" s="7" t="inlineStr">
        <is>
          <t>Office Supplies</t>
        </is>
      </c>
      <c r="F694" s="7" t="inlineStr">
        <is>
          <t>Paper Products</t>
        </is>
      </c>
      <c r="G694" s="7" t="inlineStr">
        <is>
          <t>East</t>
        </is>
      </c>
      <c r="H694" s="7" t="inlineStr">
        <is>
          <t>Pennsylvania</t>
        </is>
      </c>
      <c r="I694" s="7" t="inlineStr">
        <is>
          <t>Online</t>
        </is>
      </c>
      <c r="J694" s="7" t="inlineStr">
        <is>
          <t>Corporate</t>
        </is>
      </c>
      <c r="K694" s="12" t="n">
        <v>5</v>
      </c>
      <c r="L694" s="9" t="n">
        <v>54.99</v>
      </c>
      <c r="M694" s="10" t="n">
        <v>0</v>
      </c>
      <c r="N694" s="9" t="n">
        <v>31.89</v>
      </c>
      <c r="O694" s="9">
        <f>K694*L694</f>
        <v/>
      </c>
      <c r="P694" s="9">
        <f>O694*M694</f>
        <v/>
      </c>
      <c r="Q694" s="9">
        <f>O694-P694</f>
        <v/>
      </c>
      <c r="R694" s="9">
        <f>K694*N694</f>
        <v/>
      </c>
      <c r="S694" s="9">
        <f>Q694-R694</f>
        <v/>
      </c>
      <c r="T694" s="10">
        <f>IFERROR(S694/Q694, 0)</f>
        <v/>
      </c>
    </row>
    <row r="695">
      <c r="A695" s="11" t="inlineStr">
        <is>
          <t>ORD-2024-1224</t>
        </is>
      </c>
      <c r="B695" s="11" t="inlineStr">
        <is>
          <t>2024-10-13</t>
        </is>
      </c>
      <c r="C695" s="11" t="inlineStr">
        <is>
          <t>FUR-LGT-006</t>
        </is>
      </c>
      <c r="D695" s="7" t="inlineStr">
        <is>
          <t>Architect LED Desk Task Lamp</t>
        </is>
      </c>
      <c r="E695" s="7" t="inlineStr">
        <is>
          <t>Furniture</t>
        </is>
      </c>
      <c r="F695" s="7" t="inlineStr">
        <is>
          <t>Lighting</t>
        </is>
      </c>
      <c r="G695" s="7" t="inlineStr">
        <is>
          <t>South</t>
        </is>
      </c>
      <c r="H695" s="7" t="inlineStr">
        <is>
          <t>Georgia</t>
        </is>
      </c>
      <c r="I695" s="7" t="inlineStr">
        <is>
          <t>Direct Sales</t>
        </is>
      </c>
      <c r="J695" s="7" t="inlineStr">
        <is>
          <t>Corporate</t>
        </is>
      </c>
      <c r="K695" s="12" t="n">
        <v>2</v>
      </c>
      <c r="L695" s="9" t="n">
        <v>69.98999999999999</v>
      </c>
      <c r="M695" s="10" t="n">
        <v>0.05</v>
      </c>
      <c r="N695" s="9" t="n">
        <v>43.39</v>
      </c>
      <c r="O695" s="9">
        <f>K695*L695</f>
        <v/>
      </c>
      <c r="P695" s="9">
        <f>O695*M695</f>
        <v/>
      </c>
      <c r="Q695" s="9">
        <f>O695-P695</f>
        <v/>
      </c>
      <c r="R695" s="9">
        <f>K695*N695</f>
        <v/>
      </c>
      <c r="S695" s="9">
        <f>Q695-R695</f>
        <v/>
      </c>
      <c r="T695" s="10">
        <f>IFERROR(S695/Q695, 0)</f>
        <v/>
      </c>
    </row>
    <row r="696">
      <c r="A696" s="11" t="inlineStr">
        <is>
          <t>ORD-2024-1229</t>
        </is>
      </c>
      <c r="B696" s="11" t="inlineStr">
        <is>
          <t>2024-10-14</t>
        </is>
      </c>
      <c r="C696" s="11" t="inlineStr">
        <is>
          <t>TEC-TAB-003</t>
        </is>
      </c>
      <c r="D696" s="7" t="inlineStr">
        <is>
          <t>VisionPad Pro 11"</t>
        </is>
      </c>
      <c r="E696" s="7" t="inlineStr">
        <is>
          <t>Technology</t>
        </is>
      </c>
      <c r="F696" s="7" t="inlineStr">
        <is>
          <t>Phones &amp; Tablets</t>
        </is>
      </c>
      <c r="G696" s="7" t="inlineStr">
        <is>
          <t>East</t>
        </is>
      </c>
      <c r="H696" s="7" t="inlineStr">
        <is>
          <t>Pennsylvania</t>
        </is>
      </c>
      <c r="I696" s="7" t="inlineStr">
        <is>
          <t>Direct Sales</t>
        </is>
      </c>
      <c r="J696" s="7" t="inlineStr">
        <is>
          <t>Consumer</t>
        </is>
      </c>
      <c r="K696" s="12" t="n">
        <v>4</v>
      </c>
      <c r="L696" s="9" t="n">
        <v>649.99</v>
      </c>
      <c r="M696" s="10" t="n">
        <v>0.15</v>
      </c>
      <c r="N696" s="9" t="n">
        <v>487.49</v>
      </c>
      <c r="O696" s="9">
        <f>K696*L696</f>
        <v/>
      </c>
      <c r="P696" s="9">
        <f>O696*M696</f>
        <v/>
      </c>
      <c r="Q696" s="9">
        <f>O696-P696</f>
        <v/>
      </c>
      <c r="R696" s="9">
        <f>K696*N696</f>
        <v/>
      </c>
      <c r="S696" s="9">
        <f>Q696-R696</f>
        <v/>
      </c>
      <c r="T696" s="10">
        <f>IFERROR(S696/Q696, 0)</f>
        <v/>
      </c>
    </row>
    <row r="697">
      <c r="A697" s="11" t="inlineStr">
        <is>
          <t>ORD-2024-1373</t>
        </is>
      </c>
      <c r="B697" s="11" t="inlineStr">
        <is>
          <t>2024-10-14</t>
        </is>
      </c>
      <c r="C697" s="11" t="inlineStr">
        <is>
          <t>TEC-ACC-007</t>
        </is>
      </c>
      <c r="D697" s="7" t="inlineStr">
        <is>
          <t>ErgoMechanical Wireless Keyboard</t>
        </is>
      </c>
      <c r="E697" s="7" t="inlineStr">
        <is>
          <t>Technology</t>
        </is>
      </c>
      <c r="F697" s="7" t="inlineStr">
        <is>
          <t>Audio &amp; Accessories</t>
        </is>
      </c>
      <c r="G697" s="7" t="inlineStr">
        <is>
          <t>East</t>
        </is>
      </c>
      <c r="H697" s="7" t="inlineStr">
        <is>
          <t>Pennsylvania</t>
        </is>
      </c>
      <c r="I697" s="7" t="inlineStr">
        <is>
          <t>Retail Partner</t>
        </is>
      </c>
      <c r="J697" s="7" t="inlineStr">
        <is>
          <t>Consumer</t>
        </is>
      </c>
      <c r="K697" s="12" t="n">
        <v>2</v>
      </c>
      <c r="L697" s="9" t="n">
        <v>109.99</v>
      </c>
      <c r="M697" s="10" t="n">
        <v>0.05</v>
      </c>
      <c r="N697" s="9" t="n">
        <v>65.98999999999999</v>
      </c>
      <c r="O697" s="9">
        <f>K697*L697</f>
        <v/>
      </c>
      <c r="P697" s="9">
        <f>O697*M697</f>
        <v/>
      </c>
      <c r="Q697" s="9">
        <f>O697-P697</f>
        <v/>
      </c>
      <c r="R697" s="9">
        <f>K697*N697</f>
        <v/>
      </c>
      <c r="S697" s="9">
        <f>Q697-R697</f>
        <v/>
      </c>
      <c r="T697" s="10">
        <f>IFERROR(S697/Q697, 0)</f>
        <v/>
      </c>
    </row>
    <row r="698">
      <c r="A698" s="11" t="inlineStr">
        <is>
          <t>ORD-2024-1431</t>
        </is>
      </c>
      <c r="B698" s="11" t="inlineStr">
        <is>
          <t>2024-10-15</t>
        </is>
      </c>
      <c r="C698" s="11" t="inlineStr">
        <is>
          <t>OFF-DSK-008</t>
        </is>
      </c>
      <c r="D698" s="7" t="inlineStr">
        <is>
          <t>Steel Desktop Mesh Organizer Caddy</t>
        </is>
      </c>
      <c r="E698" s="7" t="inlineStr">
        <is>
          <t>Office Supplies</t>
        </is>
      </c>
      <c r="F698" s="7" t="inlineStr">
        <is>
          <t>Desk Supplies</t>
        </is>
      </c>
      <c r="G698" s="7" t="inlineStr">
        <is>
          <t>East</t>
        </is>
      </c>
      <c r="H698" s="7" t="inlineStr">
        <is>
          <t>New Jersey</t>
        </is>
      </c>
      <c r="I698" s="7" t="inlineStr">
        <is>
          <t>Retail Partner</t>
        </is>
      </c>
      <c r="J698" s="7" t="inlineStr">
        <is>
          <t>Consumer</t>
        </is>
      </c>
      <c r="K698" s="12" t="n">
        <v>3</v>
      </c>
      <c r="L698" s="9" t="n">
        <v>18.99</v>
      </c>
      <c r="M698" s="10" t="n">
        <v>0.1</v>
      </c>
      <c r="N698" s="9" t="n">
        <v>8.550000000000001</v>
      </c>
      <c r="O698" s="9">
        <f>K698*L698</f>
        <v/>
      </c>
      <c r="P698" s="9">
        <f>O698*M698</f>
        <v/>
      </c>
      <c r="Q698" s="9">
        <f>O698-P698</f>
        <v/>
      </c>
      <c r="R698" s="9">
        <f>K698*N698</f>
        <v/>
      </c>
      <c r="S698" s="9">
        <f>Q698-R698</f>
        <v/>
      </c>
      <c r="T698" s="10">
        <f>IFERROR(S698/Q698, 0)</f>
        <v/>
      </c>
    </row>
    <row r="699">
      <c r="A699" s="11" t="inlineStr">
        <is>
          <t>ORD-2024-1453</t>
        </is>
      </c>
      <c r="B699" s="11" t="inlineStr">
        <is>
          <t>2024-10-16</t>
        </is>
      </c>
      <c r="C699" s="11" t="inlineStr">
        <is>
          <t>TEC-TAB-003</t>
        </is>
      </c>
      <c r="D699" s="7" t="inlineStr">
        <is>
          <t>VisionPad Pro 11"</t>
        </is>
      </c>
      <c r="E699" s="7" t="inlineStr">
        <is>
          <t>Technology</t>
        </is>
      </c>
      <c r="F699" s="7" t="inlineStr">
        <is>
          <t>Phones &amp; Tablets</t>
        </is>
      </c>
      <c r="G699" s="7" t="inlineStr">
        <is>
          <t>Central</t>
        </is>
      </c>
      <c r="H699" s="7" t="inlineStr">
        <is>
          <t>Illinois</t>
        </is>
      </c>
      <c r="I699" s="7" t="inlineStr">
        <is>
          <t>Direct Sales</t>
        </is>
      </c>
      <c r="J699" s="7" t="inlineStr">
        <is>
          <t>Consumer</t>
        </is>
      </c>
      <c r="K699" s="12" t="n">
        <v>4</v>
      </c>
      <c r="L699" s="9" t="n">
        <v>649.99</v>
      </c>
      <c r="M699" s="10" t="n">
        <v>0</v>
      </c>
      <c r="N699" s="9" t="n">
        <v>487.49</v>
      </c>
      <c r="O699" s="9">
        <f>K699*L699</f>
        <v/>
      </c>
      <c r="P699" s="9">
        <f>O699*M699</f>
        <v/>
      </c>
      <c r="Q699" s="9">
        <f>O699-P699</f>
        <v/>
      </c>
      <c r="R699" s="9">
        <f>K699*N699</f>
        <v/>
      </c>
      <c r="S699" s="9">
        <f>Q699-R699</f>
        <v/>
      </c>
      <c r="T699" s="10">
        <f>IFERROR(S699/Q699, 0)</f>
        <v/>
      </c>
    </row>
    <row r="700">
      <c r="A700" s="11" t="inlineStr">
        <is>
          <t>ORD-2024-1453</t>
        </is>
      </c>
      <c r="B700" s="11" t="inlineStr">
        <is>
          <t>2024-10-16</t>
        </is>
      </c>
      <c r="C700" s="11" t="inlineStr">
        <is>
          <t>OFF-PAP-003</t>
        </is>
      </c>
      <c r="D700" s="7" t="inlineStr">
        <is>
          <t>UltraWhite Premium Multipurpose Paper (Case)</t>
        </is>
      </c>
      <c r="E700" s="7" t="inlineStr">
        <is>
          <t>Office Supplies</t>
        </is>
      </c>
      <c r="F700" s="7" t="inlineStr">
        <is>
          <t>Paper Products</t>
        </is>
      </c>
      <c r="G700" s="7" t="inlineStr">
        <is>
          <t>Central</t>
        </is>
      </c>
      <c r="H700" s="7" t="inlineStr">
        <is>
          <t>Illinois</t>
        </is>
      </c>
      <c r="I700" s="7" t="inlineStr">
        <is>
          <t>Direct Sales</t>
        </is>
      </c>
      <c r="J700" s="7" t="inlineStr">
        <is>
          <t>Consumer</t>
        </is>
      </c>
      <c r="K700" s="12" t="n">
        <v>4</v>
      </c>
      <c r="L700" s="9" t="n">
        <v>54.99</v>
      </c>
      <c r="M700" s="10" t="n">
        <v>0</v>
      </c>
      <c r="N700" s="9" t="n">
        <v>31.89</v>
      </c>
      <c r="O700" s="9">
        <f>K700*L700</f>
        <v/>
      </c>
      <c r="P700" s="9">
        <f>O700*M700</f>
        <v/>
      </c>
      <c r="Q700" s="9">
        <f>O700-P700</f>
        <v/>
      </c>
      <c r="R700" s="9">
        <f>K700*N700</f>
        <v/>
      </c>
      <c r="S700" s="9">
        <f>Q700-R700</f>
        <v/>
      </c>
      <c r="T700" s="10">
        <f>IFERROR(S700/Q700, 0)</f>
        <v/>
      </c>
    </row>
    <row r="701">
      <c r="A701" s="11" t="inlineStr">
        <is>
          <t>ORD-2024-1474</t>
        </is>
      </c>
      <c r="B701" s="11" t="inlineStr">
        <is>
          <t>2024-10-16</t>
        </is>
      </c>
      <c r="C701" s="11" t="inlineStr">
        <is>
          <t>OFF-PAP-003</t>
        </is>
      </c>
      <c r="D701" s="7" t="inlineStr">
        <is>
          <t>UltraWhite Premium Multipurpose Paper (Case)</t>
        </is>
      </c>
      <c r="E701" s="7" t="inlineStr">
        <is>
          <t>Office Supplies</t>
        </is>
      </c>
      <c r="F701" s="7" t="inlineStr">
        <is>
          <t>Paper Products</t>
        </is>
      </c>
      <c r="G701" s="7" t="inlineStr">
        <is>
          <t>East</t>
        </is>
      </c>
      <c r="H701" s="7" t="inlineStr">
        <is>
          <t>Pennsylvania</t>
        </is>
      </c>
      <c r="I701" s="7" t="inlineStr">
        <is>
          <t>Online</t>
        </is>
      </c>
      <c r="J701" s="7" t="inlineStr">
        <is>
          <t>Consumer</t>
        </is>
      </c>
      <c r="K701" s="12" t="n">
        <v>4</v>
      </c>
      <c r="L701" s="9" t="n">
        <v>54.99</v>
      </c>
      <c r="M701" s="10" t="n">
        <v>0.05</v>
      </c>
      <c r="N701" s="9" t="n">
        <v>31.89</v>
      </c>
      <c r="O701" s="9">
        <f>K701*L701</f>
        <v/>
      </c>
      <c r="P701" s="9">
        <f>O701*M701</f>
        <v/>
      </c>
      <c r="Q701" s="9">
        <f>O701-P701</f>
        <v/>
      </c>
      <c r="R701" s="9">
        <f>K701*N701</f>
        <v/>
      </c>
      <c r="S701" s="9">
        <f>Q701-R701</f>
        <v/>
      </c>
      <c r="T701" s="10">
        <f>IFERROR(S701/Q701, 0)</f>
        <v/>
      </c>
    </row>
    <row r="702">
      <c r="A702" s="11" t="inlineStr">
        <is>
          <t>ORD-2024-1474</t>
        </is>
      </c>
      <c r="B702" s="11" t="inlineStr">
        <is>
          <t>2024-10-16</t>
        </is>
      </c>
      <c r="C702" s="11" t="inlineStr">
        <is>
          <t>TEC-ACC-005</t>
        </is>
      </c>
      <c r="D702" s="7" t="inlineStr">
        <is>
          <t>UltraWireless Noise-Canceling Headset</t>
        </is>
      </c>
      <c r="E702" s="7" t="inlineStr">
        <is>
          <t>Technology</t>
        </is>
      </c>
      <c r="F702" s="7" t="inlineStr">
        <is>
          <t>Audio &amp; Accessories</t>
        </is>
      </c>
      <c r="G702" s="7" t="inlineStr">
        <is>
          <t>East</t>
        </is>
      </c>
      <c r="H702" s="7" t="inlineStr">
        <is>
          <t>Pennsylvania</t>
        </is>
      </c>
      <c r="I702" s="7" t="inlineStr">
        <is>
          <t>Online</t>
        </is>
      </c>
      <c r="J702" s="7" t="inlineStr">
        <is>
          <t>Consumer</t>
        </is>
      </c>
      <c r="K702" s="12" t="n">
        <v>2</v>
      </c>
      <c r="L702" s="9" t="n">
        <v>179.99</v>
      </c>
      <c r="M702" s="10" t="n">
        <v>0.05</v>
      </c>
      <c r="N702" s="9" t="n">
        <v>111.59</v>
      </c>
      <c r="O702" s="9">
        <f>K702*L702</f>
        <v/>
      </c>
      <c r="P702" s="9">
        <f>O702*M702</f>
        <v/>
      </c>
      <c r="Q702" s="9">
        <f>O702-P702</f>
        <v/>
      </c>
      <c r="R702" s="9">
        <f>K702*N702</f>
        <v/>
      </c>
      <c r="S702" s="9">
        <f>Q702-R702</f>
        <v/>
      </c>
      <c r="T702" s="10">
        <f>IFERROR(S702/Q702, 0)</f>
        <v/>
      </c>
    </row>
    <row r="703">
      <c r="A703" s="11" t="inlineStr">
        <is>
          <t>ORD-2024-1474</t>
        </is>
      </c>
      <c r="B703" s="11" t="inlineStr">
        <is>
          <t>2024-10-16</t>
        </is>
      </c>
      <c r="C703" s="11" t="inlineStr">
        <is>
          <t>TEC-LAP-002</t>
        </is>
      </c>
      <c r="D703" s="7" t="inlineStr">
        <is>
          <t>Apex Gaming Laptop 17"</t>
        </is>
      </c>
      <c r="E703" s="7" t="inlineStr">
        <is>
          <t>Technology</t>
        </is>
      </c>
      <c r="F703" s="7" t="inlineStr">
        <is>
          <t>Laptops</t>
        </is>
      </c>
      <c r="G703" s="7" t="inlineStr">
        <is>
          <t>East</t>
        </is>
      </c>
      <c r="H703" s="7" t="inlineStr">
        <is>
          <t>Pennsylvania</t>
        </is>
      </c>
      <c r="I703" s="7" t="inlineStr">
        <is>
          <t>Online</t>
        </is>
      </c>
      <c r="J703" s="7" t="inlineStr">
        <is>
          <t>Consumer</t>
        </is>
      </c>
      <c r="K703" s="12" t="n">
        <v>1</v>
      </c>
      <c r="L703" s="9" t="n">
        <v>1499.99</v>
      </c>
      <c r="M703" s="10" t="n">
        <v>0.2</v>
      </c>
      <c r="N703" s="9" t="n">
        <v>1259.99</v>
      </c>
      <c r="O703" s="9">
        <f>K703*L703</f>
        <v/>
      </c>
      <c r="P703" s="9">
        <f>O703*M703</f>
        <v/>
      </c>
      <c r="Q703" s="9">
        <f>O703-P703</f>
        <v/>
      </c>
      <c r="R703" s="9">
        <f>K703*N703</f>
        <v/>
      </c>
      <c r="S703" s="9">
        <f>Q703-R703</f>
        <v/>
      </c>
      <c r="T703" s="10">
        <f>IFERROR(S703/Q703, 0)</f>
        <v/>
      </c>
    </row>
    <row r="704">
      <c r="A704" s="11" t="inlineStr">
        <is>
          <t>ORD-2024-1667</t>
        </is>
      </c>
      <c r="B704" s="11" t="inlineStr">
        <is>
          <t>2024-10-16</t>
        </is>
      </c>
      <c r="C704" s="11" t="inlineStr">
        <is>
          <t>OFF-PAP-004</t>
        </is>
      </c>
      <c r="D704" s="7" t="inlineStr">
        <is>
          <t>EcoRecycled Copy Paper (5 Reams)</t>
        </is>
      </c>
      <c r="E704" s="7" t="inlineStr">
        <is>
          <t>Office Supplies</t>
        </is>
      </c>
      <c r="F704" s="7" t="inlineStr">
        <is>
          <t>Paper Products</t>
        </is>
      </c>
      <c r="G704" s="7" t="inlineStr">
        <is>
          <t>East</t>
        </is>
      </c>
      <c r="H704" s="7" t="inlineStr">
        <is>
          <t>Pennsylvania</t>
        </is>
      </c>
      <c r="I704" s="7" t="inlineStr">
        <is>
          <t>Retail Partner</t>
        </is>
      </c>
      <c r="J704" s="7" t="inlineStr">
        <is>
          <t>Corporate</t>
        </is>
      </c>
      <c r="K704" s="12" t="n">
        <v>3</v>
      </c>
      <c r="L704" s="9" t="n">
        <v>32.99</v>
      </c>
      <c r="M704" s="10" t="n">
        <v>0.1</v>
      </c>
      <c r="N704" s="9" t="n">
        <v>19.79</v>
      </c>
      <c r="O704" s="9">
        <f>K704*L704</f>
        <v/>
      </c>
      <c r="P704" s="9">
        <f>O704*M704</f>
        <v/>
      </c>
      <c r="Q704" s="9">
        <f>O704-P704</f>
        <v/>
      </c>
      <c r="R704" s="9">
        <f>K704*N704</f>
        <v/>
      </c>
      <c r="S704" s="9">
        <f>Q704-R704</f>
        <v/>
      </c>
      <c r="T704" s="10">
        <f>IFERROR(S704/Q704, 0)</f>
        <v/>
      </c>
    </row>
    <row r="705">
      <c r="A705" s="11" t="inlineStr">
        <is>
          <t>ORD-2024-1162</t>
        </is>
      </c>
      <c r="B705" s="11" t="inlineStr">
        <is>
          <t>2024-10-17</t>
        </is>
      </c>
      <c r="C705" s="11" t="inlineStr">
        <is>
          <t>TEC-TAB-003</t>
        </is>
      </c>
      <c r="D705" s="7" t="inlineStr">
        <is>
          <t>VisionPad Pro 11"</t>
        </is>
      </c>
      <c r="E705" s="7" t="inlineStr">
        <is>
          <t>Technology</t>
        </is>
      </c>
      <c r="F705" s="7" t="inlineStr">
        <is>
          <t>Phones &amp; Tablets</t>
        </is>
      </c>
      <c r="G705" s="7" t="inlineStr">
        <is>
          <t>East</t>
        </is>
      </c>
      <c r="H705" s="7" t="inlineStr">
        <is>
          <t>Pennsylvania</t>
        </is>
      </c>
      <c r="I705" s="7" t="inlineStr">
        <is>
          <t>Retail Partner</t>
        </is>
      </c>
      <c r="J705" s="7" t="inlineStr">
        <is>
          <t>Consumer</t>
        </is>
      </c>
      <c r="K705" s="12" t="n">
        <v>2</v>
      </c>
      <c r="L705" s="9" t="n">
        <v>649.99</v>
      </c>
      <c r="M705" s="10" t="n">
        <v>0</v>
      </c>
      <c r="N705" s="9" t="n">
        <v>487.49</v>
      </c>
      <c r="O705" s="9">
        <f>K705*L705</f>
        <v/>
      </c>
      <c r="P705" s="9">
        <f>O705*M705</f>
        <v/>
      </c>
      <c r="Q705" s="9">
        <f>O705-P705</f>
        <v/>
      </c>
      <c r="R705" s="9">
        <f>K705*N705</f>
        <v/>
      </c>
      <c r="S705" s="9">
        <f>Q705-R705</f>
        <v/>
      </c>
      <c r="T705" s="10">
        <f>IFERROR(S705/Q705, 0)</f>
        <v/>
      </c>
    </row>
    <row r="706">
      <c r="A706" s="11" t="inlineStr">
        <is>
          <t>ORD-2024-1545</t>
        </is>
      </c>
      <c r="B706" s="11" t="inlineStr">
        <is>
          <t>2024-10-18</t>
        </is>
      </c>
      <c r="C706" s="11" t="inlineStr">
        <is>
          <t>TEC-LAP-002</t>
        </is>
      </c>
      <c r="D706" s="7" t="inlineStr">
        <is>
          <t>Apex Gaming Laptop 17"</t>
        </is>
      </c>
      <c r="E706" s="7" t="inlineStr">
        <is>
          <t>Technology</t>
        </is>
      </c>
      <c r="F706" s="7" t="inlineStr">
        <is>
          <t>Laptops</t>
        </is>
      </c>
      <c r="G706" s="7" t="inlineStr">
        <is>
          <t>Central</t>
        </is>
      </c>
      <c r="H706" s="7" t="inlineStr">
        <is>
          <t>Texas</t>
        </is>
      </c>
      <c r="I706" s="7" t="inlineStr">
        <is>
          <t>Online</t>
        </is>
      </c>
      <c r="J706" s="7" t="inlineStr">
        <is>
          <t>Consumer</t>
        </is>
      </c>
      <c r="K706" s="12" t="n">
        <v>2</v>
      </c>
      <c r="L706" s="9" t="n">
        <v>1499.99</v>
      </c>
      <c r="M706" s="10" t="n">
        <v>0.2</v>
      </c>
      <c r="N706" s="9" t="n">
        <v>1259.99</v>
      </c>
      <c r="O706" s="9">
        <f>K706*L706</f>
        <v/>
      </c>
      <c r="P706" s="9">
        <f>O706*M706</f>
        <v/>
      </c>
      <c r="Q706" s="9">
        <f>O706-P706</f>
        <v/>
      </c>
      <c r="R706" s="9">
        <f>K706*N706</f>
        <v/>
      </c>
      <c r="S706" s="9">
        <f>Q706-R706</f>
        <v/>
      </c>
      <c r="T706" s="10">
        <f>IFERROR(S706/Q706, 0)</f>
        <v/>
      </c>
    </row>
    <row r="707">
      <c r="A707" s="11" t="inlineStr">
        <is>
          <t>ORD-2024-1545</t>
        </is>
      </c>
      <c r="B707" s="11" t="inlineStr">
        <is>
          <t>2024-10-18</t>
        </is>
      </c>
      <c r="C707" s="11" t="inlineStr">
        <is>
          <t>OFF-PAP-003</t>
        </is>
      </c>
      <c r="D707" s="7" t="inlineStr">
        <is>
          <t>UltraWhite Premium Multipurpose Paper (Case)</t>
        </is>
      </c>
      <c r="E707" s="7" t="inlineStr">
        <is>
          <t>Office Supplies</t>
        </is>
      </c>
      <c r="F707" s="7" t="inlineStr">
        <is>
          <t>Paper Products</t>
        </is>
      </c>
      <c r="G707" s="7" t="inlineStr">
        <is>
          <t>Central</t>
        </is>
      </c>
      <c r="H707" s="7" t="inlineStr">
        <is>
          <t>Texas</t>
        </is>
      </c>
      <c r="I707" s="7" t="inlineStr">
        <is>
          <t>Online</t>
        </is>
      </c>
      <c r="J707" s="7" t="inlineStr">
        <is>
          <t>Consumer</t>
        </is>
      </c>
      <c r="K707" s="12" t="n">
        <v>3</v>
      </c>
      <c r="L707" s="9" t="n">
        <v>54.99</v>
      </c>
      <c r="M707" s="10" t="n">
        <v>0.05</v>
      </c>
      <c r="N707" s="9" t="n">
        <v>31.89</v>
      </c>
      <c r="O707" s="9">
        <f>K707*L707</f>
        <v/>
      </c>
      <c r="P707" s="9">
        <f>O707*M707</f>
        <v/>
      </c>
      <c r="Q707" s="9">
        <f>O707-P707</f>
        <v/>
      </c>
      <c r="R707" s="9">
        <f>K707*N707</f>
        <v/>
      </c>
      <c r="S707" s="9">
        <f>Q707-R707</f>
        <v/>
      </c>
      <c r="T707" s="10">
        <f>IFERROR(S707/Q707, 0)</f>
        <v/>
      </c>
    </row>
    <row r="708">
      <c r="A708" s="11" t="inlineStr">
        <is>
          <t>ORD-2024-1034</t>
        </is>
      </c>
      <c r="B708" s="11" t="inlineStr">
        <is>
          <t>2024-10-20</t>
        </is>
      </c>
      <c r="C708" s="11" t="inlineStr">
        <is>
          <t>TEC-ACC-005</t>
        </is>
      </c>
      <c r="D708" s="7" t="inlineStr">
        <is>
          <t>UltraWireless Noise-Canceling Headset</t>
        </is>
      </c>
      <c r="E708" s="7" t="inlineStr">
        <is>
          <t>Technology</t>
        </is>
      </c>
      <c r="F708" s="7" t="inlineStr">
        <is>
          <t>Audio &amp; Accessories</t>
        </is>
      </c>
      <c r="G708" s="7" t="inlineStr">
        <is>
          <t>West</t>
        </is>
      </c>
      <c r="H708" s="7" t="inlineStr">
        <is>
          <t>Washington</t>
        </is>
      </c>
      <c r="I708" s="7" t="inlineStr">
        <is>
          <t>Online</t>
        </is>
      </c>
      <c r="J708" s="7" t="inlineStr">
        <is>
          <t>Corporate</t>
        </is>
      </c>
      <c r="K708" s="12" t="n">
        <v>4</v>
      </c>
      <c r="L708" s="9" t="n">
        <v>179.99</v>
      </c>
      <c r="M708" s="10" t="n">
        <v>0.1</v>
      </c>
      <c r="N708" s="9" t="n">
        <v>111.59</v>
      </c>
      <c r="O708" s="9">
        <f>K708*L708</f>
        <v/>
      </c>
      <c r="P708" s="9">
        <f>O708*M708</f>
        <v/>
      </c>
      <c r="Q708" s="9">
        <f>O708-P708</f>
        <v/>
      </c>
      <c r="R708" s="9">
        <f>K708*N708</f>
        <v/>
      </c>
      <c r="S708" s="9">
        <f>Q708-R708</f>
        <v/>
      </c>
      <c r="T708" s="10">
        <f>IFERROR(S708/Q708, 0)</f>
        <v/>
      </c>
    </row>
    <row r="709">
      <c r="A709" s="11" t="inlineStr">
        <is>
          <t>ORD-2024-1635</t>
        </is>
      </c>
      <c r="B709" s="11" t="inlineStr">
        <is>
          <t>2024-10-20</t>
        </is>
      </c>
      <c r="C709" s="11" t="inlineStr">
        <is>
          <t>OFF-BIN-005</t>
        </is>
      </c>
      <c r="D709" s="7" t="inlineStr">
        <is>
          <t>Heavy-Duty D-Ring Presentation Binder (6-Pk)</t>
        </is>
      </c>
      <c r="E709" s="7" t="inlineStr">
        <is>
          <t>Office Supplies</t>
        </is>
      </c>
      <c r="F709" s="7" t="inlineStr">
        <is>
          <t>Binders &amp; Fasteners</t>
        </is>
      </c>
      <c r="G709" s="7" t="inlineStr">
        <is>
          <t>East</t>
        </is>
      </c>
      <c r="H709" s="7" t="inlineStr">
        <is>
          <t>New Jersey</t>
        </is>
      </c>
      <c r="I709" s="7" t="inlineStr">
        <is>
          <t>Retail Partner</t>
        </is>
      </c>
      <c r="J709" s="7" t="inlineStr">
        <is>
          <t>Consumer</t>
        </is>
      </c>
      <c r="K709" s="12" t="n">
        <v>4</v>
      </c>
      <c r="L709" s="9" t="n">
        <v>27.99</v>
      </c>
      <c r="M709" s="10" t="n">
        <v>0.05</v>
      </c>
      <c r="N709" s="9" t="n">
        <v>13.99</v>
      </c>
      <c r="O709" s="9">
        <f>K709*L709</f>
        <v/>
      </c>
      <c r="P709" s="9">
        <f>O709*M709</f>
        <v/>
      </c>
      <c r="Q709" s="9">
        <f>O709-P709</f>
        <v/>
      </c>
      <c r="R709" s="9">
        <f>K709*N709</f>
        <v/>
      </c>
      <c r="S709" s="9">
        <f>Q709-R709</f>
        <v/>
      </c>
      <c r="T709" s="10">
        <f>IFERROR(S709/Q709, 0)</f>
        <v/>
      </c>
    </row>
    <row r="710">
      <c r="A710" s="11" t="inlineStr">
        <is>
          <t>ORD-2024-1084</t>
        </is>
      </c>
      <c r="B710" s="11" t="inlineStr">
        <is>
          <t>2024-10-22</t>
        </is>
      </c>
      <c r="C710" s="11" t="inlineStr">
        <is>
          <t>FUR-DSK-004</t>
        </is>
      </c>
      <c r="D710" s="7" t="inlineStr">
        <is>
          <t>Metro Compact Corner Workstation</t>
        </is>
      </c>
      <c r="E710" s="7" t="inlineStr">
        <is>
          <t>Furniture</t>
        </is>
      </c>
      <c r="F710" s="7" t="inlineStr">
        <is>
          <t>Desks &amp; Workstations</t>
        </is>
      </c>
      <c r="G710" s="7" t="inlineStr">
        <is>
          <t>East</t>
        </is>
      </c>
      <c r="H710" s="7" t="inlineStr">
        <is>
          <t>New York</t>
        </is>
      </c>
      <c r="I710" s="7" t="inlineStr">
        <is>
          <t>Online</t>
        </is>
      </c>
      <c r="J710" s="7" t="inlineStr">
        <is>
          <t>Consumer</t>
        </is>
      </c>
      <c r="K710" s="12" t="n">
        <v>4</v>
      </c>
      <c r="L710" s="9" t="n">
        <v>329.99</v>
      </c>
      <c r="M710" s="10" t="n">
        <v>0</v>
      </c>
      <c r="N710" s="9" t="n">
        <v>250.79</v>
      </c>
      <c r="O710" s="9">
        <f>K710*L710</f>
        <v/>
      </c>
      <c r="P710" s="9">
        <f>O710*M710</f>
        <v/>
      </c>
      <c r="Q710" s="9">
        <f>O710-P710</f>
        <v/>
      </c>
      <c r="R710" s="9">
        <f>K710*N710</f>
        <v/>
      </c>
      <c r="S710" s="9">
        <f>Q710-R710</f>
        <v/>
      </c>
      <c r="T710" s="10">
        <f>IFERROR(S710/Q710, 0)</f>
        <v/>
      </c>
    </row>
    <row r="711">
      <c r="A711" s="11" t="inlineStr">
        <is>
          <t>ORD-2024-1152</t>
        </is>
      </c>
      <c r="B711" s="11" t="inlineStr">
        <is>
          <t>2024-10-22</t>
        </is>
      </c>
      <c r="C711" s="11" t="inlineStr">
        <is>
          <t>TEC-TAB-003</t>
        </is>
      </c>
      <c r="D711" s="7" t="inlineStr">
        <is>
          <t>VisionPad Pro 11"</t>
        </is>
      </c>
      <c r="E711" s="7" t="inlineStr">
        <is>
          <t>Technology</t>
        </is>
      </c>
      <c r="F711" s="7" t="inlineStr">
        <is>
          <t>Phones &amp; Tablets</t>
        </is>
      </c>
      <c r="G711" s="7" t="inlineStr">
        <is>
          <t>South</t>
        </is>
      </c>
      <c r="H711" s="7" t="inlineStr">
        <is>
          <t>North Carolina</t>
        </is>
      </c>
      <c r="I711" s="7" t="inlineStr">
        <is>
          <t>Retail Partner</t>
        </is>
      </c>
      <c r="J711" s="7" t="inlineStr">
        <is>
          <t>Consumer</t>
        </is>
      </c>
      <c r="K711" s="12" t="n">
        <v>3</v>
      </c>
      <c r="L711" s="9" t="n">
        <v>649.99</v>
      </c>
      <c r="M711" s="10" t="n">
        <v>0</v>
      </c>
      <c r="N711" s="9" t="n">
        <v>487.49</v>
      </c>
      <c r="O711" s="9">
        <f>K711*L711</f>
        <v/>
      </c>
      <c r="P711" s="9">
        <f>O711*M711</f>
        <v/>
      </c>
      <c r="Q711" s="9">
        <f>O711-P711</f>
        <v/>
      </c>
      <c r="R711" s="9">
        <f>K711*N711</f>
        <v/>
      </c>
      <c r="S711" s="9">
        <f>Q711-R711</f>
        <v/>
      </c>
      <c r="T711" s="10">
        <f>IFERROR(S711/Q711, 0)</f>
        <v/>
      </c>
    </row>
    <row r="712">
      <c r="A712" s="11" t="inlineStr">
        <is>
          <t>ORD-2024-1284</t>
        </is>
      </c>
      <c r="B712" s="11" t="inlineStr">
        <is>
          <t>2024-10-22</t>
        </is>
      </c>
      <c r="C712" s="11" t="inlineStr">
        <is>
          <t>TEC-ACC-005</t>
        </is>
      </c>
      <c r="D712" s="7" t="inlineStr">
        <is>
          <t>UltraWireless Noise-Canceling Headset</t>
        </is>
      </c>
      <c r="E712" s="7" t="inlineStr">
        <is>
          <t>Technology</t>
        </is>
      </c>
      <c r="F712" s="7" t="inlineStr">
        <is>
          <t>Audio &amp; Accessories</t>
        </is>
      </c>
      <c r="G712" s="7" t="inlineStr">
        <is>
          <t>Central</t>
        </is>
      </c>
      <c r="H712" s="7" t="inlineStr">
        <is>
          <t>Illinois</t>
        </is>
      </c>
      <c r="I712" s="7" t="inlineStr">
        <is>
          <t>Online</t>
        </is>
      </c>
      <c r="J712" s="7" t="inlineStr">
        <is>
          <t>Consumer</t>
        </is>
      </c>
      <c r="K712" s="12" t="n">
        <v>1</v>
      </c>
      <c r="L712" s="9" t="n">
        <v>179.99</v>
      </c>
      <c r="M712" s="10" t="n">
        <v>0.15</v>
      </c>
      <c r="N712" s="9" t="n">
        <v>111.59</v>
      </c>
      <c r="O712" s="9">
        <f>K712*L712</f>
        <v/>
      </c>
      <c r="P712" s="9">
        <f>O712*M712</f>
        <v/>
      </c>
      <c r="Q712" s="9">
        <f>O712-P712</f>
        <v/>
      </c>
      <c r="R712" s="9">
        <f>K712*N712</f>
        <v/>
      </c>
      <c r="S712" s="9">
        <f>Q712-R712</f>
        <v/>
      </c>
      <c r="T712" s="10">
        <f>IFERROR(S712/Q712, 0)</f>
        <v/>
      </c>
    </row>
    <row r="713">
      <c r="A713" s="11" t="inlineStr">
        <is>
          <t>ORD-2024-1302</t>
        </is>
      </c>
      <c r="B713" s="11" t="inlineStr">
        <is>
          <t>2024-10-22</t>
        </is>
      </c>
      <c r="C713" s="11" t="inlineStr">
        <is>
          <t>FUR-LGT-006</t>
        </is>
      </c>
      <c r="D713" s="7" t="inlineStr">
        <is>
          <t>Architect LED Desk Task Lamp</t>
        </is>
      </c>
      <c r="E713" s="7" t="inlineStr">
        <is>
          <t>Furniture</t>
        </is>
      </c>
      <c r="F713" s="7" t="inlineStr">
        <is>
          <t>Lighting</t>
        </is>
      </c>
      <c r="G713" s="7" t="inlineStr">
        <is>
          <t>West</t>
        </is>
      </c>
      <c r="H713" s="7" t="inlineStr">
        <is>
          <t>California</t>
        </is>
      </c>
      <c r="I713" s="7" t="inlineStr">
        <is>
          <t>Direct Sales</t>
        </is>
      </c>
      <c r="J713" s="7" t="inlineStr">
        <is>
          <t>Corporate</t>
        </is>
      </c>
      <c r="K713" s="12" t="n">
        <v>4</v>
      </c>
      <c r="L713" s="9" t="n">
        <v>69.98999999999999</v>
      </c>
      <c r="M713" s="10" t="n">
        <v>0.05</v>
      </c>
      <c r="N713" s="9" t="n">
        <v>43.39</v>
      </c>
      <c r="O713" s="9">
        <f>K713*L713</f>
        <v/>
      </c>
      <c r="P713" s="9">
        <f>O713*M713</f>
        <v/>
      </c>
      <c r="Q713" s="9">
        <f>O713-P713</f>
        <v/>
      </c>
      <c r="R713" s="9">
        <f>K713*N713</f>
        <v/>
      </c>
      <c r="S713" s="9">
        <f>Q713-R713</f>
        <v/>
      </c>
      <c r="T713" s="10">
        <f>IFERROR(S713/Q713, 0)</f>
        <v/>
      </c>
    </row>
    <row r="714">
      <c r="A714" s="11" t="inlineStr">
        <is>
          <t>ORD-2024-1292</t>
        </is>
      </c>
      <c r="B714" s="11" t="inlineStr">
        <is>
          <t>2024-10-23</t>
        </is>
      </c>
      <c r="C714" s="11" t="inlineStr">
        <is>
          <t>TEC-TAB-003</t>
        </is>
      </c>
      <c r="D714" s="7" t="inlineStr">
        <is>
          <t>VisionPad Pro 11"</t>
        </is>
      </c>
      <c r="E714" s="7" t="inlineStr">
        <is>
          <t>Technology</t>
        </is>
      </c>
      <c r="F714" s="7" t="inlineStr">
        <is>
          <t>Phones &amp; Tablets</t>
        </is>
      </c>
      <c r="G714" s="7" t="inlineStr">
        <is>
          <t>West</t>
        </is>
      </c>
      <c r="H714" s="7" t="inlineStr">
        <is>
          <t>Colorado</t>
        </is>
      </c>
      <c r="I714" s="7" t="inlineStr">
        <is>
          <t>Direct Sales</t>
        </is>
      </c>
      <c r="J714" s="7" t="inlineStr">
        <is>
          <t>Home Office</t>
        </is>
      </c>
      <c r="K714" s="12" t="n">
        <v>1</v>
      </c>
      <c r="L714" s="9" t="n">
        <v>649.99</v>
      </c>
      <c r="M714" s="10" t="n">
        <v>0</v>
      </c>
      <c r="N714" s="9" t="n">
        <v>487.49</v>
      </c>
      <c r="O714" s="9">
        <f>K714*L714</f>
        <v/>
      </c>
      <c r="P714" s="9">
        <f>O714*M714</f>
        <v/>
      </c>
      <c r="Q714" s="9">
        <f>O714-P714</f>
        <v/>
      </c>
      <c r="R714" s="9">
        <f>K714*N714</f>
        <v/>
      </c>
      <c r="S714" s="9">
        <f>Q714-R714</f>
        <v/>
      </c>
      <c r="T714" s="10">
        <f>IFERROR(S714/Q714, 0)</f>
        <v/>
      </c>
    </row>
    <row r="715">
      <c r="A715" s="11" t="inlineStr">
        <is>
          <t>ORD-2024-1292</t>
        </is>
      </c>
      <c r="B715" s="11" t="inlineStr">
        <is>
          <t>2024-10-23</t>
        </is>
      </c>
      <c r="C715" s="11" t="inlineStr">
        <is>
          <t>FUR-DSK-003</t>
        </is>
      </c>
      <c r="D715" s="7" t="inlineStr">
        <is>
          <t>ApexMotor Dual-Motor Standing Desk</t>
        </is>
      </c>
      <c r="E715" s="7" t="inlineStr">
        <is>
          <t>Furniture</t>
        </is>
      </c>
      <c r="F715" s="7" t="inlineStr">
        <is>
          <t>Desks &amp; Workstations</t>
        </is>
      </c>
      <c r="G715" s="7" t="inlineStr">
        <is>
          <t>West</t>
        </is>
      </c>
      <c r="H715" s="7" t="inlineStr">
        <is>
          <t>Colorado</t>
        </is>
      </c>
      <c r="I715" s="7" t="inlineStr">
        <is>
          <t>Direct Sales</t>
        </is>
      </c>
      <c r="J715" s="7" t="inlineStr">
        <is>
          <t>Home Office</t>
        </is>
      </c>
      <c r="K715" s="12" t="n">
        <v>2</v>
      </c>
      <c r="L715" s="9" t="n">
        <v>549.99</v>
      </c>
      <c r="M715" s="10" t="n">
        <v>0</v>
      </c>
      <c r="N715" s="9" t="n">
        <v>439.99</v>
      </c>
      <c r="O715" s="9">
        <f>K715*L715</f>
        <v/>
      </c>
      <c r="P715" s="9">
        <f>O715*M715</f>
        <v/>
      </c>
      <c r="Q715" s="9">
        <f>O715-P715</f>
        <v/>
      </c>
      <c r="R715" s="9">
        <f>K715*N715</f>
        <v/>
      </c>
      <c r="S715" s="9">
        <f>Q715-R715</f>
        <v/>
      </c>
      <c r="T715" s="10">
        <f>IFERROR(S715/Q715, 0)</f>
        <v/>
      </c>
    </row>
    <row r="716">
      <c r="A716" s="11" t="inlineStr">
        <is>
          <t>ORD-2024-1292</t>
        </is>
      </c>
      <c r="B716" s="11" t="inlineStr">
        <is>
          <t>2024-10-23</t>
        </is>
      </c>
      <c r="C716" s="11" t="inlineStr">
        <is>
          <t>TEC-TAB-003</t>
        </is>
      </c>
      <c r="D716" s="7" t="inlineStr">
        <is>
          <t>VisionPad Pro 11"</t>
        </is>
      </c>
      <c r="E716" s="7" t="inlineStr">
        <is>
          <t>Technology</t>
        </is>
      </c>
      <c r="F716" s="7" t="inlineStr">
        <is>
          <t>Phones &amp; Tablets</t>
        </is>
      </c>
      <c r="G716" s="7" t="inlineStr">
        <is>
          <t>West</t>
        </is>
      </c>
      <c r="H716" s="7" t="inlineStr">
        <is>
          <t>Colorado</t>
        </is>
      </c>
      <c r="I716" s="7" t="inlineStr">
        <is>
          <t>Direct Sales</t>
        </is>
      </c>
      <c r="J716" s="7" t="inlineStr">
        <is>
          <t>Home Office</t>
        </is>
      </c>
      <c r="K716" s="12" t="n">
        <v>2</v>
      </c>
      <c r="L716" s="9" t="n">
        <v>649.99</v>
      </c>
      <c r="M716" s="10" t="n">
        <v>0</v>
      </c>
      <c r="N716" s="9" t="n">
        <v>487.49</v>
      </c>
      <c r="O716" s="9">
        <f>K716*L716</f>
        <v/>
      </c>
      <c r="P716" s="9">
        <f>O716*M716</f>
        <v/>
      </c>
      <c r="Q716" s="9">
        <f>O716-P716</f>
        <v/>
      </c>
      <c r="R716" s="9">
        <f>K716*N716</f>
        <v/>
      </c>
      <c r="S716" s="9">
        <f>Q716-R716</f>
        <v/>
      </c>
      <c r="T716" s="10">
        <f>IFERROR(S716/Q716, 0)</f>
        <v/>
      </c>
    </row>
    <row r="717">
      <c r="A717" s="11" t="inlineStr">
        <is>
          <t>ORD-2024-1295</t>
        </is>
      </c>
      <c r="B717" s="11" t="inlineStr">
        <is>
          <t>2024-10-23</t>
        </is>
      </c>
      <c r="C717" s="11" t="inlineStr">
        <is>
          <t>OFF-DSK-007</t>
        </is>
      </c>
      <c r="D717" s="7" t="inlineStr">
        <is>
          <t>Gel Ergo Mouse Pad &amp; Wrist Rest Combo</t>
        </is>
      </c>
      <c r="E717" s="7" t="inlineStr">
        <is>
          <t>Office Supplies</t>
        </is>
      </c>
      <c r="F717" s="7" t="inlineStr">
        <is>
          <t>Desk Supplies</t>
        </is>
      </c>
      <c r="G717" s="7" t="inlineStr">
        <is>
          <t>Central</t>
        </is>
      </c>
      <c r="H717" s="7" t="inlineStr">
        <is>
          <t>Illinois</t>
        </is>
      </c>
      <c r="I717" s="7" t="inlineStr">
        <is>
          <t>Online</t>
        </is>
      </c>
      <c r="J717" s="7" t="inlineStr">
        <is>
          <t>Corporate</t>
        </is>
      </c>
      <c r="K717" s="12" t="n">
        <v>7</v>
      </c>
      <c r="L717" s="9" t="n">
        <v>21.99</v>
      </c>
      <c r="M717" s="10" t="n">
        <v>0</v>
      </c>
      <c r="N717" s="9" t="n">
        <v>10.56</v>
      </c>
      <c r="O717" s="9">
        <f>K717*L717</f>
        <v/>
      </c>
      <c r="P717" s="9">
        <f>O717*M717</f>
        <v/>
      </c>
      <c r="Q717" s="9">
        <f>O717-P717</f>
        <v/>
      </c>
      <c r="R717" s="9">
        <f>K717*N717</f>
        <v/>
      </c>
      <c r="S717" s="9">
        <f>Q717-R717</f>
        <v/>
      </c>
      <c r="T717" s="10">
        <f>IFERROR(S717/Q717, 0)</f>
        <v/>
      </c>
    </row>
    <row r="718">
      <c r="A718" s="11" t="inlineStr">
        <is>
          <t>ORD-2024-1505</t>
        </is>
      </c>
      <c r="B718" s="11" t="inlineStr">
        <is>
          <t>2024-10-23</t>
        </is>
      </c>
      <c r="C718" s="11" t="inlineStr">
        <is>
          <t>TEC-LAP-001</t>
        </is>
      </c>
      <c r="D718" s="7" t="inlineStr">
        <is>
          <t>ProBook Elite 15.6"</t>
        </is>
      </c>
      <c r="E718" s="7" t="inlineStr">
        <is>
          <t>Technology</t>
        </is>
      </c>
      <c r="F718" s="7" t="inlineStr">
        <is>
          <t>Laptops</t>
        </is>
      </c>
      <c r="G718" s="7" t="inlineStr">
        <is>
          <t>Central</t>
        </is>
      </c>
      <c r="H718" s="7" t="inlineStr">
        <is>
          <t>Texas</t>
        </is>
      </c>
      <c r="I718" s="7" t="inlineStr">
        <is>
          <t>Direct Sales</t>
        </is>
      </c>
      <c r="J718" s="7" t="inlineStr">
        <is>
          <t>Consumer</t>
        </is>
      </c>
      <c r="K718" s="12" t="n">
        <v>3</v>
      </c>
      <c r="L718" s="9" t="n">
        <v>1199.99</v>
      </c>
      <c r="M718" s="10" t="n">
        <v>0</v>
      </c>
      <c r="N718" s="9" t="n">
        <v>863.99</v>
      </c>
      <c r="O718" s="9">
        <f>K718*L718</f>
        <v/>
      </c>
      <c r="P718" s="9">
        <f>O718*M718</f>
        <v/>
      </c>
      <c r="Q718" s="9">
        <f>O718-P718</f>
        <v/>
      </c>
      <c r="R718" s="9">
        <f>K718*N718</f>
        <v/>
      </c>
      <c r="S718" s="9">
        <f>Q718-R718</f>
        <v/>
      </c>
      <c r="T718" s="10">
        <f>IFERROR(S718/Q718, 0)</f>
        <v/>
      </c>
    </row>
    <row r="719">
      <c r="A719" s="11" t="inlineStr">
        <is>
          <t>ORD-2024-1035</t>
        </is>
      </c>
      <c r="B719" s="11" t="inlineStr">
        <is>
          <t>2024-10-25</t>
        </is>
      </c>
      <c r="C719" s="11" t="inlineStr">
        <is>
          <t>OFF-PAP-004</t>
        </is>
      </c>
      <c r="D719" s="7" t="inlineStr">
        <is>
          <t>EcoRecycled Copy Paper (5 Reams)</t>
        </is>
      </c>
      <c r="E719" s="7" t="inlineStr">
        <is>
          <t>Office Supplies</t>
        </is>
      </c>
      <c r="F719" s="7" t="inlineStr">
        <is>
          <t>Paper Products</t>
        </is>
      </c>
      <c r="G719" s="7" t="inlineStr">
        <is>
          <t>East</t>
        </is>
      </c>
      <c r="H719" s="7" t="inlineStr">
        <is>
          <t>Pennsylvania</t>
        </is>
      </c>
      <c r="I719" s="7" t="inlineStr">
        <is>
          <t>Online</t>
        </is>
      </c>
      <c r="J719" s="7" t="inlineStr">
        <is>
          <t>Consumer</t>
        </is>
      </c>
      <c r="K719" s="12" t="n">
        <v>1</v>
      </c>
      <c r="L719" s="9" t="n">
        <v>32.99</v>
      </c>
      <c r="M719" s="10" t="n">
        <v>0</v>
      </c>
      <c r="N719" s="9" t="n">
        <v>19.79</v>
      </c>
      <c r="O719" s="9">
        <f>K719*L719</f>
        <v/>
      </c>
      <c r="P719" s="9">
        <f>O719*M719</f>
        <v/>
      </c>
      <c r="Q719" s="9">
        <f>O719-P719</f>
        <v/>
      </c>
      <c r="R719" s="9">
        <f>K719*N719</f>
        <v/>
      </c>
      <c r="S719" s="9">
        <f>Q719-R719</f>
        <v/>
      </c>
      <c r="T719" s="10">
        <f>IFERROR(S719/Q719, 0)</f>
        <v/>
      </c>
    </row>
    <row r="720">
      <c r="A720" s="11" t="inlineStr">
        <is>
          <t>ORD-2024-1122</t>
        </is>
      </c>
      <c r="B720" s="11" t="inlineStr">
        <is>
          <t>2024-10-25</t>
        </is>
      </c>
      <c r="C720" s="11" t="inlineStr">
        <is>
          <t>OFF-DSK-007</t>
        </is>
      </c>
      <c r="D720" s="7" t="inlineStr">
        <is>
          <t>Gel Ergo Mouse Pad &amp; Wrist Rest Combo</t>
        </is>
      </c>
      <c r="E720" s="7" t="inlineStr">
        <is>
          <t>Office Supplies</t>
        </is>
      </c>
      <c r="F720" s="7" t="inlineStr">
        <is>
          <t>Desk Supplies</t>
        </is>
      </c>
      <c r="G720" s="7" t="inlineStr">
        <is>
          <t>East</t>
        </is>
      </c>
      <c r="H720" s="7" t="inlineStr">
        <is>
          <t>New Jersey</t>
        </is>
      </c>
      <c r="I720" s="7" t="inlineStr">
        <is>
          <t>Online</t>
        </is>
      </c>
      <c r="J720" s="7" t="inlineStr">
        <is>
          <t>Consumer</t>
        </is>
      </c>
      <c r="K720" s="12" t="n">
        <v>2</v>
      </c>
      <c r="L720" s="9" t="n">
        <v>21.99</v>
      </c>
      <c r="M720" s="10" t="n">
        <v>0.1</v>
      </c>
      <c r="N720" s="9" t="n">
        <v>10.56</v>
      </c>
      <c r="O720" s="9">
        <f>K720*L720</f>
        <v/>
      </c>
      <c r="P720" s="9">
        <f>O720*M720</f>
        <v/>
      </c>
      <c r="Q720" s="9">
        <f>O720-P720</f>
        <v/>
      </c>
      <c r="R720" s="9">
        <f>K720*N720</f>
        <v/>
      </c>
      <c r="S720" s="9">
        <f>Q720-R720</f>
        <v/>
      </c>
      <c r="T720" s="10">
        <f>IFERROR(S720/Q720, 0)</f>
        <v/>
      </c>
    </row>
    <row r="721">
      <c r="A721" s="11" t="inlineStr">
        <is>
          <t>ORD-2024-1440</t>
        </is>
      </c>
      <c r="B721" s="11" t="inlineStr">
        <is>
          <t>2024-10-25</t>
        </is>
      </c>
      <c r="C721" s="11" t="inlineStr">
        <is>
          <t>OFF-ART-006</t>
        </is>
      </c>
      <c r="D721" s="7" t="inlineStr">
        <is>
          <t>Professional Presentation Dry Erase Board</t>
        </is>
      </c>
      <c r="E721" s="7" t="inlineStr">
        <is>
          <t>Office Supplies</t>
        </is>
      </c>
      <c r="F721" s="7" t="inlineStr">
        <is>
          <t>Presentation &amp; Art</t>
        </is>
      </c>
      <c r="G721" s="7" t="inlineStr">
        <is>
          <t>West</t>
        </is>
      </c>
      <c r="H721" s="7" t="inlineStr">
        <is>
          <t>Colorado</t>
        </is>
      </c>
      <c r="I721" s="7" t="inlineStr">
        <is>
          <t>Direct Sales</t>
        </is>
      </c>
      <c r="J721" s="7" t="inlineStr">
        <is>
          <t>Corporate</t>
        </is>
      </c>
      <c r="K721" s="12" t="n">
        <v>7</v>
      </c>
      <c r="L721" s="9" t="n">
        <v>89.98999999999999</v>
      </c>
      <c r="M721" s="10" t="n">
        <v>0.05</v>
      </c>
      <c r="N721" s="9" t="n">
        <v>53.99</v>
      </c>
      <c r="O721" s="9">
        <f>K721*L721</f>
        <v/>
      </c>
      <c r="P721" s="9">
        <f>O721*M721</f>
        <v/>
      </c>
      <c r="Q721" s="9">
        <f>O721-P721</f>
        <v/>
      </c>
      <c r="R721" s="9">
        <f>K721*N721</f>
        <v/>
      </c>
      <c r="S721" s="9">
        <f>Q721-R721</f>
        <v/>
      </c>
      <c r="T721" s="10">
        <f>IFERROR(S721/Q721, 0)</f>
        <v/>
      </c>
    </row>
    <row r="722">
      <c r="A722" s="11" t="inlineStr">
        <is>
          <t>ORD-2024-1280</t>
        </is>
      </c>
      <c r="B722" s="11" t="inlineStr">
        <is>
          <t>2024-10-26</t>
        </is>
      </c>
      <c r="C722" s="11" t="inlineStr">
        <is>
          <t>TEC-TAB-003</t>
        </is>
      </c>
      <c r="D722" s="7" t="inlineStr">
        <is>
          <t>VisionPad Pro 11"</t>
        </is>
      </c>
      <c r="E722" s="7" t="inlineStr">
        <is>
          <t>Technology</t>
        </is>
      </c>
      <c r="F722" s="7" t="inlineStr">
        <is>
          <t>Phones &amp; Tablets</t>
        </is>
      </c>
      <c r="G722" s="7" t="inlineStr">
        <is>
          <t>South</t>
        </is>
      </c>
      <c r="H722" s="7" t="inlineStr">
        <is>
          <t>Georgia</t>
        </is>
      </c>
      <c r="I722" s="7" t="inlineStr">
        <is>
          <t>Direct Sales</t>
        </is>
      </c>
      <c r="J722" s="7" t="inlineStr">
        <is>
          <t>Corporate</t>
        </is>
      </c>
      <c r="K722" s="12" t="n">
        <v>8</v>
      </c>
      <c r="L722" s="9" t="n">
        <v>649.99</v>
      </c>
      <c r="M722" s="10" t="n">
        <v>0</v>
      </c>
      <c r="N722" s="9" t="n">
        <v>487.49</v>
      </c>
      <c r="O722" s="9">
        <f>K722*L722</f>
        <v/>
      </c>
      <c r="P722" s="9">
        <f>O722*M722</f>
        <v/>
      </c>
      <c r="Q722" s="9">
        <f>O722-P722</f>
        <v/>
      </c>
      <c r="R722" s="9">
        <f>K722*N722</f>
        <v/>
      </c>
      <c r="S722" s="9">
        <f>Q722-R722</f>
        <v/>
      </c>
      <c r="T722" s="10">
        <f>IFERROR(S722/Q722, 0)</f>
        <v/>
      </c>
    </row>
    <row r="723">
      <c r="A723" s="11" t="inlineStr">
        <is>
          <t>ORD-2024-1648</t>
        </is>
      </c>
      <c r="B723" s="11" t="inlineStr">
        <is>
          <t>2024-10-26</t>
        </is>
      </c>
      <c r="C723" s="11" t="inlineStr">
        <is>
          <t>TEC-LAP-001</t>
        </is>
      </c>
      <c r="D723" s="7" t="inlineStr">
        <is>
          <t>ProBook Elite 15.6"</t>
        </is>
      </c>
      <c r="E723" s="7" t="inlineStr">
        <is>
          <t>Technology</t>
        </is>
      </c>
      <c r="F723" s="7" t="inlineStr">
        <is>
          <t>Laptops</t>
        </is>
      </c>
      <c r="G723" s="7" t="inlineStr">
        <is>
          <t>South</t>
        </is>
      </c>
      <c r="H723" s="7" t="inlineStr">
        <is>
          <t>Florida</t>
        </is>
      </c>
      <c r="I723" s="7" t="inlineStr">
        <is>
          <t>Retail Partner</t>
        </is>
      </c>
      <c r="J723" s="7" t="inlineStr">
        <is>
          <t>Corporate</t>
        </is>
      </c>
      <c r="K723" s="12" t="n">
        <v>8</v>
      </c>
      <c r="L723" s="9" t="n">
        <v>1199.99</v>
      </c>
      <c r="M723" s="10" t="n">
        <v>0.1</v>
      </c>
      <c r="N723" s="9" t="n">
        <v>863.99</v>
      </c>
      <c r="O723" s="9">
        <f>K723*L723</f>
        <v/>
      </c>
      <c r="P723" s="9">
        <f>O723*M723</f>
        <v/>
      </c>
      <c r="Q723" s="9">
        <f>O723-P723</f>
        <v/>
      </c>
      <c r="R723" s="9">
        <f>K723*N723</f>
        <v/>
      </c>
      <c r="S723" s="9">
        <f>Q723-R723</f>
        <v/>
      </c>
      <c r="T723" s="10">
        <f>IFERROR(S723/Q723, 0)</f>
        <v/>
      </c>
    </row>
    <row r="724">
      <c r="A724" s="11" t="inlineStr">
        <is>
          <t>ORD-2024-1220</t>
        </is>
      </c>
      <c r="B724" s="11" t="inlineStr">
        <is>
          <t>2024-10-27</t>
        </is>
      </c>
      <c r="C724" s="11" t="inlineStr">
        <is>
          <t>TEC-ACC-005</t>
        </is>
      </c>
      <c r="D724" s="7" t="inlineStr">
        <is>
          <t>UltraWireless Noise-Canceling Headset</t>
        </is>
      </c>
      <c r="E724" s="7" t="inlineStr">
        <is>
          <t>Technology</t>
        </is>
      </c>
      <c r="F724" s="7" t="inlineStr">
        <is>
          <t>Audio &amp; Accessories</t>
        </is>
      </c>
      <c r="G724" s="7" t="inlineStr">
        <is>
          <t>East</t>
        </is>
      </c>
      <c r="H724" s="7" t="inlineStr">
        <is>
          <t>New Jersey</t>
        </is>
      </c>
      <c r="I724" s="7" t="inlineStr">
        <is>
          <t>Retail Partner</t>
        </is>
      </c>
      <c r="J724" s="7" t="inlineStr">
        <is>
          <t>Home Office</t>
        </is>
      </c>
      <c r="K724" s="12" t="n">
        <v>4</v>
      </c>
      <c r="L724" s="9" t="n">
        <v>179.99</v>
      </c>
      <c r="M724" s="10" t="n">
        <v>0.1</v>
      </c>
      <c r="N724" s="9" t="n">
        <v>111.59</v>
      </c>
      <c r="O724" s="9">
        <f>K724*L724</f>
        <v/>
      </c>
      <c r="P724" s="9">
        <f>O724*M724</f>
        <v/>
      </c>
      <c r="Q724" s="9">
        <f>O724-P724</f>
        <v/>
      </c>
      <c r="R724" s="9">
        <f>K724*N724</f>
        <v/>
      </c>
      <c r="S724" s="9">
        <f>Q724-R724</f>
        <v/>
      </c>
      <c r="T724" s="10">
        <f>IFERROR(S724/Q724, 0)</f>
        <v/>
      </c>
    </row>
    <row r="725">
      <c r="A725" s="11" t="inlineStr">
        <is>
          <t>ORD-2024-1282</t>
        </is>
      </c>
      <c r="B725" s="11" t="inlineStr">
        <is>
          <t>2024-10-27</t>
        </is>
      </c>
      <c r="C725" s="11" t="inlineStr">
        <is>
          <t>FUR-DSK-003</t>
        </is>
      </c>
      <c r="D725" s="7" t="inlineStr">
        <is>
          <t>ApexMotor Dual-Motor Standing Desk</t>
        </is>
      </c>
      <c r="E725" s="7" t="inlineStr">
        <is>
          <t>Furniture</t>
        </is>
      </c>
      <c r="F725" s="7" t="inlineStr">
        <is>
          <t>Desks &amp; Workstations</t>
        </is>
      </c>
      <c r="G725" s="7" t="inlineStr">
        <is>
          <t>West</t>
        </is>
      </c>
      <c r="H725" s="7" t="inlineStr">
        <is>
          <t>Washington</t>
        </is>
      </c>
      <c r="I725" s="7" t="inlineStr">
        <is>
          <t>Online</t>
        </is>
      </c>
      <c r="J725" s="7" t="inlineStr">
        <is>
          <t>Consumer</t>
        </is>
      </c>
      <c r="K725" s="12" t="n">
        <v>2</v>
      </c>
      <c r="L725" s="9" t="n">
        <v>549.99</v>
      </c>
      <c r="M725" s="10" t="n">
        <v>0.05</v>
      </c>
      <c r="N725" s="9" t="n">
        <v>439.99</v>
      </c>
      <c r="O725" s="9">
        <f>K725*L725</f>
        <v/>
      </c>
      <c r="P725" s="9">
        <f>O725*M725</f>
        <v/>
      </c>
      <c r="Q725" s="9">
        <f>O725-P725</f>
        <v/>
      </c>
      <c r="R725" s="9">
        <f>K725*N725</f>
        <v/>
      </c>
      <c r="S725" s="9">
        <f>Q725-R725</f>
        <v/>
      </c>
      <c r="T725" s="10">
        <f>IFERROR(S725/Q725, 0)</f>
        <v/>
      </c>
    </row>
    <row r="726">
      <c r="A726" s="11" t="inlineStr">
        <is>
          <t>ORD-2024-1282</t>
        </is>
      </c>
      <c r="B726" s="11" t="inlineStr">
        <is>
          <t>2024-10-27</t>
        </is>
      </c>
      <c r="C726" s="11" t="inlineStr">
        <is>
          <t>OFF-ART-006</t>
        </is>
      </c>
      <c r="D726" s="7" t="inlineStr">
        <is>
          <t>Professional Presentation Dry Erase Board</t>
        </is>
      </c>
      <c r="E726" s="7" t="inlineStr">
        <is>
          <t>Office Supplies</t>
        </is>
      </c>
      <c r="F726" s="7" t="inlineStr">
        <is>
          <t>Presentation &amp; Art</t>
        </is>
      </c>
      <c r="G726" s="7" t="inlineStr">
        <is>
          <t>West</t>
        </is>
      </c>
      <c r="H726" s="7" t="inlineStr">
        <is>
          <t>Washington</t>
        </is>
      </c>
      <c r="I726" s="7" t="inlineStr">
        <is>
          <t>Online</t>
        </is>
      </c>
      <c r="J726" s="7" t="inlineStr">
        <is>
          <t>Consumer</t>
        </is>
      </c>
      <c r="K726" s="12" t="n">
        <v>1</v>
      </c>
      <c r="L726" s="9" t="n">
        <v>89.98999999999999</v>
      </c>
      <c r="M726" s="10" t="n">
        <v>0</v>
      </c>
      <c r="N726" s="9" t="n">
        <v>53.99</v>
      </c>
      <c r="O726" s="9">
        <f>K726*L726</f>
        <v/>
      </c>
      <c r="P726" s="9">
        <f>O726*M726</f>
        <v/>
      </c>
      <c r="Q726" s="9">
        <f>O726-P726</f>
        <v/>
      </c>
      <c r="R726" s="9">
        <f>K726*N726</f>
        <v/>
      </c>
      <c r="S726" s="9">
        <f>Q726-R726</f>
        <v/>
      </c>
      <c r="T726" s="10">
        <f>IFERROR(S726/Q726, 0)</f>
        <v/>
      </c>
    </row>
    <row r="727">
      <c r="A727" s="11" t="inlineStr">
        <is>
          <t>ORD-2024-1282</t>
        </is>
      </c>
      <c r="B727" s="11" t="inlineStr">
        <is>
          <t>2024-10-27</t>
        </is>
      </c>
      <c r="C727" s="11" t="inlineStr">
        <is>
          <t>FUR-CHA-001</t>
        </is>
      </c>
      <c r="D727" s="7" t="inlineStr">
        <is>
          <t>ErgoFlex Executive Mesh Chair</t>
        </is>
      </c>
      <c r="E727" s="7" t="inlineStr">
        <is>
          <t>Furniture</t>
        </is>
      </c>
      <c r="F727" s="7" t="inlineStr">
        <is>
          <t>Chairs</t>
        </is>
      </c>
      <c r="G727" s="7" t="inlineStr">
        <is>
          <t>West</t>
        </is>
      </c>
      <c r="H727" s="7" t="inlineStr">
        <is>
          <t>Washington</t>
        </is>
      </c>
      <c r="I727" s="7" t="inlineStr">
        <is>
          <t>Online</t>
        </is>
      </c>
      <c r="J727" s="7" t="inlineStr">
        <is>
          <t>Consumer</t>
        </is>
      </c>
      <c r="K727" s="12" t="n">
        <v>2</v>
      </c>
      <c r="L727" s="9" t="n">
        <v>389.99</v>
      </c>
      <c r="M727" s="10" t="n">
        <v>0.05</v>
      </c>
      <c r="N727" s="9" t="n">
        <v>331.49</v>
      </c>
      <c r="O727" s="9">
        <f>K727*L727</f>
        <v/>
      </c>
      <c r="P727" s="9">
        <f>O727*M727</f>
        <v/>
      </c>
      <c r="Q727" s="9">
        <f>O727-P727</f>
        <v/>
      </c>
      <c r="R727" s="9">
        <f>K727*N727</f>
        <v/>
      </c>
      <c r="S727" s="9">
        <f>Q727-R727</f>
        <v/>
      </c>
      <c r="T727" s="10">
        <f>IFERROR(S727/Q727, 0)</f>
        <v/>
      </c>
    </row>
    <row r="728">
      <c r="A728" s="11" t="inlineStr">
        <is>
          <t>ORD-2024-1396</t>
        </is>
      </c>
      <c r="B728" s="11" t="inlineStr">
        <is>
          <t>2024-10-27</t>
        </is>
      </c>
      <c r="C728" s="11" t="inlineStr">
        <is>
          <t>OFF-STR-002</t>
        </is>
      </c>
      <c r="D728" s="7" t="inlineStr">
        <is>
          <t>Stackable Heavy-Duty Storage Bins (4-Pk)</t>
        </is>
      </c>
      <c r="E728" s="7" t="inlineStr">
        <is>
          <t>Office Supplies</t>
        </is>
      </c>
      <c r="F728" s="7" t="inlineStr">
        <is>
          <t>Storage &amp; Organizers</t>
        </is>
      </c>
      <c r="G728" s="7" t="inlineStr">
        <is>
          <t>West</t>
        </is>
      </c>
      <c r="H728" s="7" t="inlineStr">
        <is>
          <t>Colorado</t>
        </is>
      </c>
      <c r="I728" s="7" t="inlineStr">
        <is>
          <t>Online</t>
        </is>
      </c>
      <c r="J728" s="7" t="inlineStr">
        <is>
          <t>Consumer</t>
        </is>
      </c>
      <c r="K728" s="12" t="n">
        <v>2</v>
      </c>
      <c r="L728" s="9" t="n">
        <v>44.99</v>
      </c>
      <c r="M728" s="10" t="n">
        <v>0</v>
      </c>
      <c r="N728" s="9" t="n">
        <v>24.74</v>
      </c>
      <c r="O728" s="9">
        <f>K728*L728</f>
        <v/>
      </c>
      <c r="P728" s="9">
        <f>O728*M728</f>
        <v/>
      </c>
      <c r="Q728" s="9">
        <f>O728-P728</f>
        <v/>
      </c>
      <c r="R728" s="9">
        <f>K728*N728</f>
        <v/>
      </c>
      <c r="S728" s="9">
        <f>Q728-R728</f>
        <v/>
      </c>
      <c r="T728" s="10">
        <f>IFERROR(S728/Q728, 0)</f>
        <v/>
      </c>
    </row>
    <row r="729">
      <c r="A729" s="11" t="inlineStr">
        <is>
          <t>ORD-2024-1396</t>
        </is>
      </c>
      <c r="B729" s="11" t="inlineStr">
        <is>
          <t>2024-10-27</t>
        </is>
      </c>
      <c r="C729" s="11" t="inlineStr">
        <is>
          <t>TEC-ACC-005</t>
        </is>
      </c>
      <c r="D729" s="7" t="inlineStr">
        <is>
          <t>UltraWireless Noise-Canceling Headset</t>
        </is>
      </c>
      <c r="E729" s="7" t="inlineStr">
        <is>
          <t>Technology</t>
        </is>
      </c>
      <c r="F729" s="7" t="inlineStr">
        <is>
          <t>Audio &amp; Accessories</t>
        </is>
      </c>
      <c r="G729" s="7" t="inlineStr">
        <is>
          <t>West</t>
        </is>
      </c>
      <c r="H729" s="7" t="inlineStr">
        <is>
          <t>Colorado</t>
        </is>
      </c>
      <c r="I729" s="7" t="inlineStr">
        <is>
          <t>Online</t>
        </is>
      </c>
      <c r="J729" s="7" t="inlineStr">
        <is>
          <t>Consumer</t>
        </is>
      </c>
      <c r="K729" s="12" t="n">
        <v>1</v>
      </c>
      <c r="L729" s="9" t="n">
        <v>179.99</v>
      </c>
      <c r="M729" s="10" t="n">
        <v>0</v>
      </c>
      <c r="N729" s="9" t="n">
        <v>111.59</v>
      </c>
      <c r="O729" s="9">
        <f>K729*L729</f>
        <v/>
      </c>
      <c r="P729" s="9">
        <f>O729*M729</f>
        <v/>
      </c>
      <c r="Q729" s="9">
        <f>O729-P729</f>
        <v/>
      </c>
      <c r="R729" s="9">
        <f>K729*N729</f>
        <v/>
      </c>
      <c r="S729" s="9">
        <f>Q729-R729</f>
        <v/>
      </c>
      <c r="T729" s="10">
        <f>IFERROR(S729/Q729, 0)</f>
        <v/>
      </c>
    </row>
    <row r="730">
      <c r="A730" s="11" t="inlineStr">
        <is>
          <t>ORD-2024-1529</t>
        </is>
      </c>
      <c r="B730" s="11" t="inlineStr">
        <is>
          <t>2024-10-27</t>
        </is>
      </c>
      <c r="C730" s="11" t="inlineStr">
        <is>
          <t>TEC-ACC-007</t>
        </is>
      </c>
      <c r="D730" s="7" t="inlineStr">
        <is>
          <t>ErgoMechanical Wireless Keyboard</t>
        </is>
      </c>
      <c r="E730" s="7" t="inlineStr">
        <is>
          <t>Technology</t>
        </is>
      </c>
      <c r="F730" s="7" t="inlineStr">
        <is>
          <t>Audio &amp; Accessories</t>
        </is>
      </c>
      <c r="G730" s="7" t="inlineStr">
        <is>
          <t>West</t>
        </is>
      </c>
      <c r="H730" s="7" t="inlineStr">
        <is>
          <t>California</t>
        </is>
      </c>
      <c r="I730" s="7" t="inlineStr">
        <is>
          <t>Online</t>
        </is>
      </c>
      <c r="J730" s="7" t="inlineStr">
        <is>
          <t>Consumer</t>
        </is>
      </c>
      <c r="K730" s="12" t="n">
        <v>1</v>
      </c>
      <c r="L730" s="9" t="n">
        <v>109.99</v>
      </c>
      <c r="M730" s="10" t="n">
        <v>0</v>
      </c>
      <c r="N730" s="9" t="n">
        <v>65.98999999999999</v>
      </c>
      <c r="O730" s="9">
        <f>K730*L730</f>
        <v/>
      </c>
      <c r="P730" s="9">
        <f>O730*M730</f>
        <v/>
      </c>
      <c r="Q730" s="9">
        <f>O730-P730</f>
        <v/>
      </c>
      <c r="R730" s="9">
        <f>K730*N730</f>
        <v/>
      </c>
      <c r="S730" s="9">
        <f>Q730-R730</f>
        <v/>
      </c>
      <c r="T730" s="10">
        <f>IFERROR(S730/Q730, 0)</f>
        <v/>
      </c>
    </row>
    <row r="731">
      <c r="A731" s="11" t="inlineStr">
        <is>
          <t>ORD-2024-1303</t>
        </is>
      </c>
      <c r="B731" s="11" t="inlineStr">
        <is>
          <t>2024-10-28</t>
        </is>
      </c>
      <c r="C731" s="11" t="inlineStr">
        <is>
          <t>TEC-LAP-002</t>
        </is>
      </c>
      <c r="D731" s="7" t="inlineStr">
        <is>
          <t>Apex Gaming Laptop 17"</t>
        </is>
      </c>
      <c r="E731" s="7" t="inlineStr">
        <is>
          <t>Technology</t>
        </is>
      </c>
      <c r="F731" s="7" t="inlineStr">
        <is>
          <t>Laptops</t>
        </is>
      </c>
      <c r="G731" s="7" t="inlineStr">
        <is>
          <t>Central</t>
        </is>
      </c>
      <c r="H731" s="7" t="inlineStr">
        <is>
          <t>Michigan</t>
        </is>
      </c>
      <c r="I731" s="7" t="inlineStr">
        <is>
          <t>Online</t>
        </is>
      </c>
      <c r="J731" s="7" t="inlineStr">
        <is>
          <t>Home Office</t>
        </is>
      </c>
      <c r="K731" s="12" t="n">
        <v>3</v>
      </c>
      <c r="L731" s="9" t="n">
        <v>1499.99</v>
      </c>
      <c r="M731" s="10" t="n">
        <v>0.1</v>
      </c>
      <c r="N731" s="9" t="n">
        <v>1259.99</v>
      </c>
      <c r="O731" s="9">
        <f>K731*L731</f>
        <v/>
      </c>
      <c r="P731" s="9">
        <f>O731*M731</f>
        <v/>
      </c>
      <c r="Q731" s="9">
        <f>O731-P731</f>
        <v/>
      </c>
      <c r="R731" s="9">
        <f>K731*N731</f>
        <v/>
      </c>
      <c r="S731" s="9">
        <f>Q731-R731</f>
        <v/>
      </c>
      <c r="T731" s="10">
        <f>IFERROR(S731/Q731, 0)</f>
        <v/>
      </c>
    </row>
    <row r="732">
      <c r="A732" s="11" t="inlineStr">
        <is>
          <t>ORD-2024-1413</t>
        </is>
      </c>
      <c r="B732" s="11" t="inlineStr">
        <is>
          <t>2024-10-28</t>
        </is>
      </c>
      <c r="C732" s="11" t="inlineStr">
        <is>
          <t>TEC-LAP-002</t>
        </is>
      </c>
      <c r="D732" s="7" t="inlineStr">
        <is>
          <t>Apex Gaming Laptop 17"</t>
        </is>
      </c>
      <c r="E732" s="7" t="inlineStr">
        <is>
          <t>Technology</t>
        </is>
      </c>
      <c r="F732" s="7" t="inlineStr">
        <is>
          <t>Laptops</t>
        </is>
      </c>
      <c r="G732" s="7" t="inlineStr">
        <is>
          <t>Central</t>
        </is>
      </c>
      <c r="H732" s="7" t="inlineStr">
        <is>
          <t>Michigan</t>
        </is>
      </c>
      <c r="I732" s="7" t="inlineStr">
        <is>
          <t>Online</t>
        </is>
      </c>
      <c r="J732" s="7" t="inlineStr">
        <is>
          <t>Consumer</t>
        </is>
      </c>
      <c r="K732" s="12" t="n">
        <v>2</v>
      </c>
      <c r="L732" s="9" t="n">
        <v>1499.99</v>
      </c>
      <c r="M732" s="10" t="n">
        <v>0.2</v>
      </c>
      <c r="N732" s="9" t="n">
        <v>1259.99</v>
      </c>
      <c r="O732" s="9">
        <f>K732*L732</f>
        <v/>
      </c>
      <c r="P732" s="9">
        <f>O732*M732</f>
        <v/>
      </c>
      <c r="Q732" s="9">
        <f>O732-P732</f>
        <v/>
      </c>
      <c r="R732" s="9">
        <f>K732*N732</f>
        <v/>
      </c>
      <c r="S732" s="9">
        <f>Q732-R732</f>
        <v/>
      </c>
      <c r="T732" s="10">
        <f>IFERROR(S732/Q732, 0)</f>
        <v/>
      </c>
    </row>
    <row r="733">
      <c r="A733" s="11" t="inlineStr">
        <is>
          <t>ORD-2024-1637</t>
        </is>
      </c>
      <c r="B733" s="11" t="inlineStr">
        <is>
          <t>2024-10-29</t>
        </is>
      </c>
      <c r="C733" s="11" t="inlineStr">
        <is>
          <t>TEC-TAB-004</t>
        </is>
      </c>
      <c r="D733" s="7" t="inlineStr">
        <is>
          <t>VisionPad Lite 8.5"</t>
        </is>
      </c>
      <c r="E733" s="7" t="inlineStr">
        <is>
          <t>Technology</t>
        </is>
      </c>
      <c r="F733" s="7" t="inlineStr">
        <is>
          <t>Phones &amp; Tablets</t>
        </is>
      </c>
      <c r="G733" s="7" t="inlineStr">
        <is>
          <t>Central</t>
        </is>
      </c>
      <c r="H733" s="7" t="inlineStr">
        <is>
          <t>Illinois</t>
        </is>
      </c>
      <c r="I733" s="7" t="inlineStr">
        <is>
          <t>Direct Sales</t>
        </is>
      </c>
      <c r="J733" s="7" t="inlineStr">
        <is>
          <t>Corporate</t>
        </is>
      </c>
      <c r="K733" s="12" t="n">
        <v>8</v>
      </c>
      <c r="L733" s="9" t="n">
        <v>299.99</v>
      </c>
      <c r="M733" s="10" t="n">
        <v>0.1</v>
      </c>
      <c r="N733" s="9" t="n">
        <v>245.99</v>
      </c>
      <c r="O733" s="9">
        <f>K733*L733</f>
        <v/>
      </c>
      <c r="P733" s="9">
        <f>O733*M733</f>
        <v/>
      </c>
      <c r="Q733" s="9">
        <f>O733-P733</f>
        <v/>
      </c>
      <c r="R733" s="9">
        <f>K733*N733</f>
        <v/>
      </c>
      <c r="S733" s="9">
        <f>Q733-R733</f>
        <v/>
      </c>
      <c r="T733" s="10">
        <f>IFERROR(S733/Q733, 0)</f>
        <v/>
      </c>
    </row>
    <row r="734">
      <c r="A734" s="11" t="inlineStr">
        <is>
          <t>ORD-2024-1434</t>
        </is>
      </c>
      <c r="B734" s="11" t="inlineStr">
        <is>
          <t>2024-10-30</t>
        </is>
      </c>
      <c r="C734" s="11" t="inlineStr">
        <is>
          <t>FUR-DSK-004</t>
        </is>
      </c>
      <c r="D734" s="7" t="inlineStr">
        <is>
          <t>Metro Compact Corner Workstation</t>
        </is>
      </c>
      <c r="E734" s="7" t="inlineStr">
        <is>
          <t>Furniture</t>
        </is>
      </c>
      <c r="F734" s="7" t="inlineStr">
        <is>
          <t>Desks &amp; Workstations</t>
        </is>
      </c>
      <c r="G734" s="7" t="inlineStr">
        <is>
          <t>West</t>
        </is>
      </c>
      <c r="H734" s="7" t="inlineStr">
        <is>
          <t>Washington</t>
        </is>
      </c>
      <c r="I734" s="7" t="inlineStr">
        <is>
          <t>Online</t>
        </is>
      </c>
      <c r="J734" s="7" t="inlineStr">
        <is>
          <t>Home Office</t>
        </is>
      </c>
      <c r="K734" s="12" t="n">
        <v>3</v>
      </c>
      <c r="L734" s="9" t="n">
        <v>329.99</v>
      </c>
      <c r="M734" s="10" t="n">
        <v>0</v>
      </c>
      <c r="N734" s="9" t="n">
        <v>250.79</v>
      </c>
      <c r="O734" s="9">
        <f>K734*L734</f>
        <v/>
      </c>
      <c r="P734" s="9">
        <f>O734*M734</f>
        <v/>
      </c>
      <c r="Q734" s="9">
        <f>O734-P734</f>
        <v/>
      </c>
      <c r="R734" s="9">
        <f>K734*N734</f>
        <v/>
      </c>
      <c r="S734" s="9">
        <f>Q734-R734</f>
        <v/>
      </c>
      <c r="T734" s="10">
        <f>IFERROR(S734/Q734, 0)</f>
        <v/>
      </c>
    </row>
    <row r="735">
      <c r="A735" s="11" t="inlineStr">
        <is>
          <t>ORD-2024-1569</t>
        </is>
      </c>
      <c r="B735" s="11" t="inlineStr">
        <is>
          <t>2024-10-30</t>
        </is>
      </c>
      <c r="C735" s="11" t="inlineStr">
        <is>
          <t>FUR-CHA-002</t>
        </is>
      </c>
      <c r="D735" s="7" t="inlineStr">
        <is>
          <t>AeroTask Operator Task Chair</t>
        </is>
      </c>
      <c r="E735" s="7" t="inlineStr">
        <is>
          <t>Furniture</t>
        </is>
      </c>
      <c r="F735" s="7" t="inlineStr">
        <is>
          <t>Chairs</t>
        </is>
      </c>
      <c r="G735" s="7" t="inlineStr">
        <is>
          <t>West</t>
        </is>
      </c>
      <c r="H735" s="7" t="inlineStr">
        <is>
          <t>Colorado</t>
        </is>
      </c>
      <c r="I735" s="7" t="inlineStr">
        <is>
          <t>Online</t>
        </is>
      </c>
      <c r="J735" s="7" t="inlineStr">
        <is>
          <t>Home Office</t>
        </is>
      </c>
      <c r="K735" s="12" t="n">
        <v>2</v>
      </c>
      <c r="L735" s="9" t="n">
        <v>219.99</v>
      </c>
      <c r="M735" s="10" t="n">
        <v>0</v>
      </c>
      <c r="N735" s="9" t="n">
        <v>171.59</v>
      </c>
      <c r="O735" s="9">
        <f>K735*L735</f>
        <v/>
      </c>
      <c r="P735" s="9">
        <f>O735*M735</f>
        <v/>
      </c>
      <c r="Q735" s="9">
        <f>O735-P735</f>
        <v/>
      </c>
      <c r="R735" s="9">
        <f>K735*N735</f>
        <v/>
      </c>
      <c r="S735" s="9">
        <f>Q735-R735</f>
        <v/>
      </c>
      <c r="T735" s="10">
        <f>IFERROR(S735/Q735, 0)</f>
        <v/>
      </c>
    </row>
    <row r="736">
      <c r="A736" s="11" t="inlineStr">
        <is>
          <t>ORD-2024-1358</t>
        </is>
      </c>
      <c r="B736" s="11" t="inlineStr">
        <is>
          <t>2024-10-31</t>
        </is>
      </c>
      <c r="C736" s="11" t="inlineStr">
        <is>
          <t>TEC-ACC-005</t>
        </is>
      </c>
      <c r="D736" s="7" t="inlineStr">
        <is>
          <t>UltraWireless Noise-Canceling Headset</t>
        </is>
      </c>
      <c r="E736" s="7" t="inlineStr">
        <is>
          <t>Technology</t>
        </is>
      </c>
      <c r="F736" s="7" t="inlineStr">
        <is>
          <t>Audio &amp; Accessories</t>
        </is>
      </c>
      <c r="G736" s="7" t="inlineStr">
        <is>
          <t>West</t>
        </is>
      </c>
      <c r="H736" s="7" t="inlineStr">
        <is>
          <t>Colorado</t>
        </is>
      </c>
      <c r="I736" s="7" t="inlineStr">
        <is>
          <t>Online</t>
        </is>
      </c>
      <c r="J736" s="7" t="inlineStr">
        <is>
          <t>Consumer</t>
        </is>
      </c>
      <c r="K736" s="12" t="n">
        <v>1</v>
      </c>
      <c r="L736" s="9" t="n">
        <v>179.99</v>
      </c>
      <c r="M736" s="10" t="n">
        <v>0</v>
      </c>
      <c r="N736" s="9" t="n">
        <v>111.59</v>
      </c>
      <c r="O736" s="9">
        <f>K736*L736</f>
        <v/>
      </c>
      <c r="P736" s="9">
        <f>O736*M736</f>
        <v/>
      </c>
      <c r="Q736" s="9">
        <f>O736-P736</f>
        <v/>
      </c>
      <c r="R736" s="9">
        <f>K736*N736</f>
        <v/>
      </c>
      <c r="S736" s="9">
        <f>Q736-R736</f>
        <v/>
      </c>
      <c r="T736" s="10">
        <f>IFERROR(S736/Q736, 0)</f>
        <v/>
      </c>
    </row>
    <row r="737">
      <c r="A737" s="11" t="inlineStr">
        <is>
          <t>ORD-2024-1212</t>
        </is>
      </c>
      <c r="B737" s="11" t="inlineStr">
        <is>
          <t>2024-11-01</t>
        </is>
      </c>
      <c r="C737" s="11" t="inlineStr">
        <is>
          <t>TEC-ACC-006</t>
        </is>
      </c>
      <c r="D737" s="7" t="inlineStr">
        <is>
          <t>MultiPort Thunderbolt 4 Dock</t>
        </is>
      </c>
      <c r="E737" s="7" t="inlineStr">
        <is>
          <t>Technology</t>
        </is>
      </c>
      <c r="F737" s="7" t="inlineStr">
        <is>
          <t>Audio &amp; Accessories</t>
        </is>
      </c>
      <c r="G737" s="7" t="inlineStr">
        <is>
          <t>East</t>
        </is>
      </c>
      <c r="H737" s="7" t="inlineStr">
        <is>
          <t>Pennsylvania</t>
        </is>
      </c>
      <c r="I737" s="7" t="inlineStr">
        <is>
          <t>Wholesale</t>
        </is>
      </c>
      <c r="J737" s="7" t="inlineStr">
        <is>
          <t>Home Office</t>
        </is>
      </c>
      <c r="K737" s="12" t="n">
        <v>9</v>
      </c>
      <c r="L737" s="9" t="n">
        <v>149.99</v>
      </c>
      <c r="M737" s="10" t="n">
        <v>0.1</v>
      </c>
      <c r="N737" s="9" t="n">
        <v>98.98999999999999</v>
      </c>
      <c r="O737" s="9">
        <f>K737*L737</f>
        <v/>
      </c>
      <c r="P737" s="9">
        <f>O737*M737</f>
        <v/>
      </c>
      <c r="Q737" s="9">
        <f>O737-P737</f>
        <v/>
      </c>
      <c r="R737" s="9">
        <f>K737*N737</f>
        <v/>
      </c>
      <c r="S737" s="9">
        <f>Q737-R737</f>
        <v/>
      </c>
      <c r="T737" s="10">
        <f>IFERROR(S737/Q737, 0)</f>
        <v/>
      </c>
    </row>
    <row r="738">
      <c r="A738" s="11" t="inlineStr">
        <is>
          <t>ORD-2024-1310</t>
        </is>
      </c>
      <c r="B738" s="11" t="inlineStr">
        <is>
          <t>2024-11-01</t>
        </is>
      </c>
      <c r="C738" s="11" t="inlineStr">
        <is>
          <t>TEC-ACC-005</t>
        </is>
      </c>
      <c r="D738" s="7" t="inlineStr">
        <is>
          <t>UltraWireless Noise-Canceling Headset</t>
        </is>
      </c>
      <c r="E738" s="7" t="inlineStr">
        <is>
          <t>Technology</t>
        </is>
      </c>
      <c r="F738" s="7" t="inlineStr">
        <is>
          <t>Audio &amp; Accessories</t>
        </is>
      </c>
      <c r="G738" s="7" t="inlineStr">
        <is>
          <t>West</t>
        </is>
      </c>
      <c r="H738" s="7" t="inlineStr">
        <is>
          <t>Washington</t>
        </is>
      </c>
      <c r="I738" s="7" t="inlineStr">
        <is>
          <t>Retail Partner</t>
        </is>
      </c>
      <c r="J738" s="7" t="inlineStr">
        <is>
          <t>Corporate</t>
        </is>
      </c>
      <c r="K738" s="12" t="n">
        <v>6</v>
      </c>
      <c r="L738" s="9" t="n">
        <v>179.99</v>
      </c>
      <c r="M738" s="10" t="n">
        <v>0</v>
      </c>
      <c r="N738" s="9" t="n">
        <v>111.59</v>
      </c>
      <c r="O738" s="9">
        <f>K738*L738</f>
        <v/>
      </c>
      <c r="P738" s="9">
        <f>O738*M738</f>
        <v/>
      </c>
      <c r="Q738" s="9">
        <f>O738-P738</f>
        <v/>
      </c>
      <c r="R738" s="9">
        <f>K738*N738</f>
        <v/>
      </c>
      <c r="S738" s="9">
        <f>Q738-R738</f>
        <v/>
      </c>
      <c r="T738" s="10">
        <f>IFERROR(S738/Q738, 0)</f>
        <v/>
      </c>
    </row>
    <row r="739">
      <c r="A739" s="11" t="inlineStr">
        <is>
          <t>ORD-2024-1441</t>
        </is>
      </c>
      <c r="B739" s="11" t="inlineStr">
        <is>
          <t>2024-11-01</t>
        </is>
      </c>
      <c r="C739" s="11" t="inlineStr">
        <is>
          <t>OFF-DSK-007</t>
        </is>
      </c>
      <c r="D739" s="7" t="inlineStr">
        <is>
          <t>Gel Ergo Mouse Pad &amp; Wrist Rest Combo</t>
        </is>
      </c>
      <c r="E739" s="7" t="inlineStr">
        <is>
          <t>Office Supplies</t>
        </is>
      </c>
      <c r="F739" s="7" t="inlineStr">
        <is>
          <t>Desk Supplies</t>
        </is>
      </c>
      <c r="G739" s="7" t="inlineStr">
        <is>
          <t>East</t>
        </is>
      </c>
      <c r="H739" s="7" t="inlineStr">
        <is>
          <t>New Jersey</t>
        </is>
      </c>
      <c r="I739" s="7" t="inlineStr">
        <is>
          <t>Online</t>
        </is>
      </c>
      <c r="J739" s="7" t="inlineStr">
        <is>
          <t>Consumer</t>
        </is>
      </c>
      <c r="K739" s="12" t="n">
        <v>3</v>
      </c>
      <c r="L739" s="9" t="n">
        <v>21.99</v>
      </c>
      <c r="M739" s="10" t="n">
        <v>0.2</v>
      </c>
      <c r="N739" s="9" t="n">
        <v>10.56</v>
      </c>
      <c r="O739" s="9">
        <f>K739*L739</f>
        <v/>
      </c>
      <c r="P739" s="9">
        <f>O739*M739</f>
        <v/>
      </c>
      <c r="Q739" s="9">
        <f>O739-P739</f>
        <v/>
      </c>
      <c r="R739" s="9">
        <f>K739*N739</f>
        <v/>
      </c>
      <c r="S739" s="9">
        <f>Q739-R739</f>
        <v/>
      </c>
      <c r="T739" s="10">
        <f>IFERROR(S739/Q739, 0)</f>
        <v/>
      </c>
    </row>
    <row r="740">
      <c r="A740" s="11" t="inlineStr">
        <is>
          <t>ORD-2024-1578</t>
        </is>
      </c>
      <c r="B740" s="11" t="inlineStr">
        <is>
          <t>2024-11-01</t>
        </is>
      </c>
      <c r="C740" s="11" t="inlineStr">
        <is>
          <t>OFF-PAP-003</t>
        </is>
      </c>
      <c r="D740" s="7" t="inlineStr">
        <is>
          <t>UltraWhite Premium Multipurpose Paper (Case)</t>
        </is>
      </c>
      <c r="E740" s="7" t="inlineStr">
        <is>
          <t>Office Supplies</t>
        </is>
      </c>
      <c r="F740" s="7" t="inlineStr">
        <is>
          <t>Paper Products</t>
        </is>
      </c>
      <c r="G740" s="7" t="inlineStr">
        <is>
          <t>East</t>
        </is>
      </c>
      <c r="H740" s="7" t="inlineStr">
        <is>
          <t>Pennsylvania</t>
        </is>
      </c>
      <c r="I740" s="7" t="inlineStr">
        <is>
          <t>Retail Partner</t>
        </is>
      </c>
      <c r="J740" s="7" t="inlineStr">
        <is>
          <t>Consumer</t>
        </is>
      </c>
      <c r="K740" s="12" t="n">
        <v>4</v>
      </c>
      <c r="L740" s="9" t="n">
        <v>54.99</v>
      </c>
      <c r="M740" s="10" t="n">
        <v>0</v>
      </c>
      <c r="N740" s="9" t="n">
        <v>31.89</v>
      </c>
      <c r="O740" s="9">
        <f>K740*L740</f>
        <v/>
      </c>
      <c r="P740" s="9">
        <f>O740*M740</f>
        <v/>
      </c>
      <c r="Q740" s="9">
        <f>O740-P740</f>
        <v/>
      </c>
      <c r="R740" s="9">
        <f>K740*N740</f>
        <v/>
      </c>
      <c r="S740" s="9">
        <f>Q740-R740</f>
        <v/>
      </c>
      <c r="T740" s="10">
        <f>IFERROR(S740/Q740, 0)</f>
        <v/>
      </c>
    </row>
    <row r="741">
      <c r="A741" s="11" t="inlineStr">
        <is>
          <t>ORD-2024-1578</t>
        </is>
      </c>
      <c r="B741" s="11" t="inlineStr">
        <is>
          <t>2024-11-01</t>
        </is>
      </c>
      <c r="C741" s="11" t="inlineStr">
        <is>
          <t>FUR-DSK-004</t>
        </is>
      </c>
      <c r="D741" s="7" t="inlineStr">
        <is>
          <t>Metro Compact Corner Workstation</t>
        </is>
      </c>
      <c r="E741" s="7" t="inlineStr">
        <is>
          <t>Furniture</t>
        </is>
      </c>
      <c r="F741" s="7" t="inlineStr">
        <is>
          <t>Desks &amp; Workstations</t>
        </is>
      </c>
      <c r="G741" s="7" t="inlineStr">
        <is>
          <t>East</t>
        </is>
      </c>
      <c r="H741" s="7" t="inlineStr">
        <is>
          <t>Pennsylvania</t>
        </is>
      </c>
      <c r="I741" s="7" t="inlineStr">
        <is>
          <t>Retail Partner</t>
        </is>
      </c>
      <c r="J741" s="7" t="inlineStr">
        <is>
          <t>Consumer</t>
        </is>
      </c>
      <c r="K741" s="12" t="n">
        <v>1</v>
      </c>
      <c r="L741" s="9" t="n">
        <v>329.99</v>
      </c>
      <c r="M741" s="10" t="n">
        <v>0.1</v>
      </c>
      <c r="N741" s="9" t="n">
        <v>250.79</v>
      </c>
      <c r="O741" s="9">
        <f>K741*L741</f>
        <v/>
      </c>
      <c r="P741" s="9">
        <f>O741*M741</f>
        <v/>
      </c>
      <c r="Q741" s="9">
        <f>O741-P741</f>
        <v/>
      </c>
      <c r="R741" s="9">
        <f>K741*N741</f>
        <v/>
      </c>
      <c r="S741" s="9">
        <f>Q741-R741</f>
        <v/>
      </c>
      <c r="T741" s="10">
        <f>IFERROR(S741/Q741, 0)</f>
        <v/>
      </c>
    </row>
    <row r="742">
      <c r="A742" s="11" t="inlineStr">
        <is>
          <t>ORD-2024-1707</t>
        </is>
      </c>
      <c r="B742" s="11" t="inlineStr">
        <is>
          <t>2024-11-01</t>
        </is>
      </c>
      <c r="C742" s="11" t="inlineStr">
        <is>
          <t>FUR-DSK-003</t>
        </is>
      </c>
      <c r="D742" s="7" t="inlineStr">
        <is>
          <t>ApexMotor Dual-Motor Standing Desk</t>
        </is>
      </c>
      <c r="E742" s="7" t="inlineStr">
        <is>
          <t>Furniture</t>
        </is>
      </c>
      <c r="F742" s="7" t="inlineStr">
        <is>
          <t>Desks &amp; Workstations</t>
        </is>
      </c>
      <c r="G742" s="7" t="inlineStr">
        <is>
          <t>Central</t>
        </is>
      </c>
      <c r="H742" s="7" t="inlineStr">
        <is>
          <t>Illinois</t>
        </is>
      </c>
      <c r="I742" s="7" t="inlineStr">
        <is>
          <t>Direct Sales</t>
        </is>
      </c>
      <c r="J742" s="7" t="inlineStr">
        <is>
          <t>Corporate</t>
        </is>
      </c>
      <c r="K742" s="12" t="n">
        <v>8</v>
      </c>
      <c r="L742" s="9" t="n">
        <v>549.99</v>
      </c>
      <c r="M742" s="10" t="n">
        <v>0</v>
      </c>
      <c r="N742" s="9" t="n">
        <v>439.99</v>
      </c>
      <c r="O742" s="9">
        <f>K742*L742</f>
        <v/>
      </c>
      <c r="P742" s="9">
        <f>O742*M742</f>
        <v/>
      </c>
      <c r="Q742" s="9">
        <f>O742-P742</f>
        <v/>
      </c>
      <c r="R742" s="9">
        <f>K742*N742</f>
        <v/>
      </c>
      <c r="S742" s="9">
        <f>Q742-R742</f>
        <v/>
      </c>
      <c r="T742" s="10">
        <f>IFERROR(S742/Q742, 0)</f>
        <v/>
      </c>
    </row>
    <row r="743">
      <c r="A743" s="11" t="inlineStr">
        <is>
          <t>ORD-2024-1724</t>
        </is>
      </c>
      <c r="B743" s="11" t="inlineStr">
        <is>
          <t>2024-11-01</t>
        </is>
      </c>
      <c r="C743" s="11" t="inlineStr">
        <is>
          <t>TEC-LAP-001</t>
        </is>
      </c>
      <c r="D743" s="7" t="inlineStr">
        <is>
          <t>ProBook Elite 15.6"</t>
        </is>
      </c>
      <c r="E743" s="7" t="inlineStr">
        <is>
          <t>Technology</t>
        </is>
      </c>
      <c r="F743" s="7" t="inlineStr">
        <is>
          <t>Laptops</t>
        </is>
      </c>
      <c r="G743" s="7" t="inlineStr">
        <is>
          <t>South</t>
        </is>
      </c>
      <c r="H743" s="7" t="inlineStr">
        <is>
          <t>Florida</t>
        </is>
      </c>
      <c r="I743" s="7" t="inlineStr">
        <is>
          <t>Retail Partner</t>
        </is>
      </c>
      <c r="J743" s="7" t="inlineStr">
        <is>
          <t>Consumer</t>
        </is>
      </c>
      <c r="K743" s="12" t="n">
        <v>3</v>
      </c>
      <c r="L743" s="9" t="n">
        <v>1199.99</v>
      </c>
      <c r="M743" s="10" t="n">
        <v>0.05</v>
      </c>
      <c r="N743" s="9" t="n">
        <v>863.99</v>
      </c>
      <c r="O743" s="9">
        <f>K743*L743</f>
        <v/>
      </c>
      <c r="P743" s="9">
        <f>O743*M743</f>
        <v/>
      </c>
      <c r="Q743" s="9">
        <f>O743-P743</f>
        <v/>
      </c>
      <c r="R743" s="9">
        <f>K743*N743</f>
        <v/>
      </c>
      <c r="S743" s="9">
        <f>Q743-R743</f>
        <v/>
      </c>
      <c r="T743" s="10">
        <f>IFERROR(S743/Q743, 0)</f>
        <v/>
      </c>
    </row>
    <row r="744">
      <c r="A744" s="11" t="inlineStr">
        <is>
          <t>ORD-2024-1724</t>
        </is>
      </c>
      <c r="B744" s="11" t="inlineStr">
        <is>
          <t>2024-11-01</t>
        </is>
      </c>
      <c r="C744" s="11" t="inlineStr">
        <is>
          <t>TEC-ACC-007</t>
        </is>
      </c>
      <c r="D744" s="7" t="inlineStr">
        <is>
          <t>ErgoMechanical Wireless Keyboard</t>
        </is>
      </c>
      <c r="E744" s="7" t="inlineStr">
        <is>
          <t>Technology</t>
        </is>
      </c>
      <c r="F744" s="7" t="inlineStr">
        <is>
          <t>Audio &amp; Accessories</t>
        </is>
      </c>
      <c r="G744" s="7" t="inlineStr">
        <is>
          <t>South</t>
        </is>
      </c>
      <c r="H744" s="7" t="inlineStr">
        <is>
          <t>Florida</t>
        </is>
      </c>
      <c r="I744" s="7" t="inlineStr">
        <is>
          <t>Retail Partner</t>
        </is>
      </c>
      <c r="J744" s="7" t="inlineStr">
        <is>
          <t>Consumer</t>
        </is>
      </c>
      <c r="K744" s="12" t="n">
        <v>1</v>
      </c>
      <c r="L744" s="9" t="n">
        <v>109.99</v>
      </c>
      <c r="M744" s="10" t="n">
        <v>0</v>
      </c>
      <c r="N744" s="9" t="n">
        <v>65.98999999999999</v>
      </c>
      <c r="O744" s="9">
        <f>K744*L744</f>
        <v/>
      </c>
      <c r="P744" s="9">
        <f>O744*M744</f>
        <v/>
      </c>
      <c r="Q744" s="9">
        <f>O744-P744</f>
        <v/>
      </c>
      <c r="R744" s="9">
        <f>K744*N744</f>
        <v/>
      </c>
      <c r="S744" s="9">
        <f>Q744-R744</f>
        <v/>
      </c>
      <c r="T744" s="10">
        <f>IFERROR(S744/Q744, 0)</f>
        <v/>
      </c>
    </row>
    <row r="745">
      <c r="A745" s="11" t="inlineStr">
        <is>
          <t>ORD-2024-1724</t>
        </is>
      </c>
      <c r="B745" s="11" t="inlineStr">
        <is>
          <t>2024-11-01</t>
        </is>
      </c>
      <c r="C745" s="11" t="inlineStr">
        <is>
          <t>TEC-LAP-002</t>
        </is>
      </c>
      <c r="D745" s="7" t="inlineStr">
        <is>
          <t>Apex Gaming Laptop 17"</t>
        </is>
      </c>
      <c r="E745" s="7" t="inlineStr">
        <is>
          <t>Technology</t>
        </is>
      </c>
      <c r="F745" s="7" t="inlineStr">
        <is>
          <t>Laptops</t>
        </is>
      </c>
      <c r="G745" s="7" t="inlineStr">
        <is>
          <t>South</t>
        </is>
      </c>
      <c r="H745" s="7" t="inlineStr">
        <is>
          <t>Florida</t>
        </is>
      </c>
      <c r="I745" s="7" t="inlineStr">
        <is>
          <t>Retail Partner</t>
        </is>
      </c>
      <c r="J745" s="7" t="inlineStr">
        <is>
          <t>Consumer</t>
        </is>
      </c>
      <c r="K745" s="12" t="n">
        <v>4</v>
      </c>
      <c r="L745" s="9" t="n">
        <v>1499.99</v>
      </c>
      <c r="M745" s="10" t="n">
        <v>0.1</v>
      </c>
      <c r="N745" s="9" t="n">
        <v>1259.99</v>
      </c>
      <c r="O745" s="9">
        <f>K745*L745</f>
        <v/>
      </c>
      <c r="P745" s="9">
        <f>O745*M745</f>
        <v/>
      </c>
      <c r="Q745" s="9">
        <f>O745-P745</f>
        <v/>
      </c>
      <c r="R745" s="9">
        <f>K745*N745</f>
        <v/>
      </c>
      <c r="S745" s="9">
        <f>Q745-R745</f>
        <v/>
      </c>
      <c r="T745" s="10">
        <f>IFERROR(S745/Q745, 0)</f>
        <v/>
      </c>
    </row>
    <row r="746">
      <c r="A746" s="11" t="inlineStr">
        <is>
          <t>ORD-2024-1112</t>
        </is>
      </c>
      <c r="B746" s="11" t="inlineStr">
        <is>
          <t>2024-11-02</t>
        </is>
      </c>
      <c r="C746" s="11" t="inlineStr">
        <is>
          <t>OFF-STR-002</t>
        </is>
      </c>
      <c r="D746" s="7" t="inlineStr">
        <is>
          <t>Stackable Heavy-Duty Storage Bins (4-Pk)</t>
        </is>
      </c>
      <c r="E746" s="7" t="inlineStr">
        <is>
          <t>Office Supplies</t>
        </is>
      </c>
      <c r="F746" s="7" t="inlineStr">
        <is>
          <t>Storage &amp; Organizers</t>
        </is>
      </c>
      <c r="G746" s="7" t="inlineStr">
        <is>
          <t>South</t>
        </is>
      </c>
      <c r="H746" s="7" t="inlineStr">
        <is>
          <t>Georgia</t>
        </is>
      </c>
      <c r="I746" s="7" t="inlineStr">
        <is>
          <t>Online</t>
        </is>
      </c>
      <c r="J746" s="7" t="inlineStr">
        <is>
          <t>Corporate</t>
        </is>
      </c>
      <c r="K746" s="12" t="n">
        <v>6</v>
      </c>
      <c r="L746" s="9" t="n">
        <v>44.99</v>
      </c>
      <c r="M746" s="10" t="n">
        <v>0</v>
      </c>
      <c r="N746" s="9" t="n">
        <v>24.74</v>
      </c>
      <c r="O746" s="9">
        <f>K746*L746</f>
        <v/>
      </c>
      <c r="P746" s="9">
        <f>O746*M746</f>
        <v/>
      </c>
      <c r="Q746" s="9">
        <f>O746-P746</f>
        <v/>
      </c>
      <c r="R746" s="9">
        <f>K746*N746</f>
        <v/>
      </c>
      <c r="S746" s="9">
        <f>Q746-R746</f>
        <v/>
      </c>
      <c r="T746" s="10">
        <f>IFERROR(S746/Q746, 0)</f>
        <v/>
      </c>
    </row>
    <row r="747">
      <c r="A747" s="11" t="inlineStr">
        <is>
          <t>ORD-2024-1112</t>
        </is>
      </c>
      <c r="B747" s="11" t="inlineStr">
        <is>
          <t>2024-11-02</t>
        </is>
      </c>
      <c r="C747" s="11" t="inlineStr">
        <is>
          <t>TEC-TAB-003</t>
        </is>
      </c>
      <c r="D747" s="7" t="inlineStr">
        <is>
          <t>VisionPad Pro 11"</t>
        </is>
      </c>
      <c r="E747" s="7" t="inlineStr">
        <is>
          <t>Technology</t>
        </is>
      </c>
      <c r="F747" s="7" t="inlineStr">
        <is>
          <t>Phones &amp; Tablets</t>
        </is>
      </c>
      <c r="G747" s="7" t="inlineStr">
        <is>
          <t>South</t>
        </is>
      </c>
      <c r="H747" s="7" t="inlineStr">
        <is>
          <t>Georgia</t>
        </is>
      </c>
      <c r="I747" s="7" t="inlineStr">
        <is>
          <t>Online</t>
        </is>
      </c>
      <c r="J747" s="7" t="inlineStr">
        <is>
          <t>Corporate</t>
        </is>
      </c>
      <c r="K747" s="12" t="n">
        <v>5</v>
      </c>
      <c r="L747" s="9" t="n">
        <v>649.99</v>
      </c>
      <c r="M747" s="10" t="n">
        <v>0</v>
      </c>
      <c r="N747" s="9" t="n">
        <v>487.49</v>
      </c>
      <c r="O747" s="9">
        <f>K747*L747</f>
        <v/>
      </c>
      <c r="P747" s="9">
        <f>O747*M747</f>
        <v/>
      </c>
      <c r="Q747" s="9">
        <f>O747-P747</f>
        <v/>
      </c>
      <c r="R747" s="9">
        <f>K747*N747</f>
        <v/>
      </c>
      <c r="S747" s="9">
        <f>Q747-R747</f>
        <v/>
      </c>
      <c r="T747" s="10">
        <f>IFERROR(S747/Q747, 0)</f>
        <v/>
      </c>
    </row>
    <row r="748">
      <c r="A748" s="11" t="inlineStr">
        <is>
          <t>ORD-2024-1112</t>
        </is>
      </c>
      <c r="B748" s="11" t="inlineStr">
        <is>
          <t>2024-11-02</t>
        </is>
      </c>
      <c r="C748" s="11" t="inlineStr">
        <is>
          <t>FUR-LGT-006</t>
        </is>
      </c>
      <c r="D748" s="7" t="inlineStr">
        <is>
          <t>Architect LED Desk Task Lamp</t>
        </is>
      </c>
      <c r="E748" s="7" t="inlineStr">
        <is>
          <t>Furniture</t>
        </is>
      </c>
      <c r="F748" s="7" t="inlineStr">
        <is>
          <t>Lighting</t>
        </is>
      </c>
      <c r="G748" s="7" t="inlineStr">
        <is>
          <t>South</t>
        </is>
      </c>
      <c r="H748" s="7" t="inlineStr">
        <is>
          <t>Georgia</t>
        </is>
      </c>
      <c r="I748" s="7" t="inlineStr">
        <is>
          <t>Online</t>
        </is>
      </c>
      <c r="J748" s="7" t="inlineStr">
        <is>
          <t>Corporate</t>
        </is>
      </c>
      <c r="K748" s="12" t="n">
        <v>7</v>
      </c>
      <c r="L748" s="9" t="n">
        <v>69.98999999999999</v>
      </c>
      <c r="M748" s="10" t="n">
        <v>0.1</v>
      </c>
      <c r="N748" s="9" t="n">
        <v>43.39</v>
      </c>
      <c r="O748" s="9">
        <f>K748*L748</f>
        <v/>
      </c>
      <c r="P748" s="9">
        <f>O748*M748</f>
        <v/>
      </c>
      <c r="Q748" s="9">
        <f>O748-P748</f>
        <v/>
      </c>
      <c r="R748" s="9">
        <f>K748*N748</f>
        <v/>
      </c>
      <c r="S748" s="9">
        <f>Q748-R748</f>
        <v/>
      </c>
      <c r="T748" s="10">
        <f>IFERROR(S748/Q748, 0)</f>
        <v/>
      </c>
    </row>
    <row r="749">
      <c r="A749" s="11" t="inlineStr">
        <is>
          <t>ORD-2024-1600</t>
        </is>
      </c>
      <c r="B749" s="11" t="inlineStr">
        <is>
          <t>2024-11-02</t>
        </is>
      </c>
      <c r="C749" s="11" t="inlineStr">
        <is>
          <t>FUR-LGT-006</t>
        </is>
      </c>
      <c r="D749" s="7" t="inlineStr">
        <is>
          <t>Architect LED Desk Task Lamp</t>
        </is>
      </c>
      <c r="E749" s="7" t="inlineStr">
        <is>
          <t>Furniture</t>
        </is>
      </c>
      <c r="F749" s="7" t="inlineStr">
        <is>
          <t>Lighting</t>
        </is>
      </c>
      <c r="G749" s="7" t="inlineStr">
        <is>
          <t>Central</t>
        </is>
      </c>
      <c r="H749" s="7" t="inlineStr">
        <is>
          <t>Illinois</t>
        </is>
      </c>
      <c r="I749" s="7" t="inlineStr">
        <is>
          <t>Direct Sales</t>
        </is>
      </c>
      <c r="J749" s="7" t="inlineStr">
        <is>
          <t>Consumer</t>
        </is>
      </c>
      <c r="K749" s="12" t="n">
        <v>2</v>
      </c>
      <c r="L749" s="9" t="n">
        <v>69.98999999999999</v>
      </c>
      <c r="M749" s="10" t="n">
        <v>0.15</v>
      </c>
      <c r="N749" s="9" t="n">
        <v>43.39</v>
      </c>
      <c r="O749" s="9">
        <f>K749*L749</f>
        <v/>
      </c>
      <c r="P749" s="9">
        <f>O749*M749</f>
        <v/>
      </c>
      <c r="Q749" s="9">
        <f>O749-P749</f>
        <v/>
      </c>
      <c r="R749" s="9">
        <f>K749*N749</f>
        <v/>
      </c>
      <c r="S749" s="9">
        <f>Q749-R749</f>
        <v/>
      </c>
      <c r="T749" s="10">
        <f>IFERROR(S749/Q749, 0)</f>
        <v/>
      </c>
    </row>
    <row r="750">
      <c r="A750" s="11" t="inlineStr">
        <is>
          <t>ORD-2024-1607</t>
        </is>
      </c>
      <c r="B750" s="11" t="inlineStr">
        <is>
          <t>2024-11-03</t>
        </is>
      </c>
      <c r="C750" s="11" t="inlineStr">
        <is>
          <t>TEC-ACC-005</t>
        </is>
      </c>
      <c r="D750" s="7" t="inlineStr">
        <is>
          <t>UltraWireless Noise-Canceling Headset</t>
        </is>
      </c>
      <c r="E750" s="7" t="inlineStr">
        <is>
          <t>Technology</t>
        </is>
      </c>
      <c r="F750" s="7" t="inlineStr">
        <is>
          <t>Audio &amp; Accessories</t>
        </is>
      </c>
      <c r="G750" s="7" t="inlineStr">
        <is>
          <t>Central</t>
        </is>
      </c>
      <c r="H750" s="7" t="inlineStr">
        <is>
          <t>Ohio</t>
        </is>
      </c>
      <c r="I750" s="7" t="inlineStr">
        <is>
          <t>Direct Sales</t>
        </is>
      </c>
      <c r="J750" s="7" t="inlineStr">
        <is>
          <t>Consumer</t>
        </is>
      </c>
      <c r="K750" s="12" t="n">
        <v>4</v>
      </c>
      <c r="L750" s="9" t="n">
        <v>179.99</v>
      </c>
      <c r="M750" s="10" t="n">
        <v>0</v>
      </c>
      <c r="N750" s="9" t="n">
        <v>111.59</v>
      </c>
      <c r="O750" s="9">
        <f>K750*L750</f>
        <v/>
      </c>
      <c r="P750" s="9">
        <f>O750*M750</f>
        <v/>
      </c>
      <c r="Q750" s="9">
        <f>O750-P750</f>
        <v/>
      </c>
      <c r="R750" s="9">
        <f>K750*N750</f>
        <v/>
      </c>
      <c r="S750" s="9">
        <f>Q750-R750</f>
        <v/>
      </c>
      <c r="T750" s="10">
        <f>IFERROR(S750/Q750, 0)</f>
        <v/>
      </c>
    </row>
    <row r="751">
      <c r="A751" s="11" t="inlineStr">
        <is>
          <t>ORD-2024-1663</t>
        </is>
      </c>
      <c r="B751" s="11" t="inlineStr">
        <is>
          <t>2024-11-03</t>
        </is>
      </c>
      <c r="C751" s="11" t="inlineStr">
        <is>
          <t>FUR-DSK-003</t>
        </is>
      </c>
      <c r="D751" s="7" t="inlineStr">
        <is>
          <t>ApexMotor Dual-Motor Standing Desk</t>
        </is>
      </c>
      <c r="E751" s="7" t="inlineStr">
        <is>
          <t>Furniture</t>
        </is>
      </c>
      <c r="F751" s="7" t="inlineStr">
        <is>
          <t>Desks &amp; Workstations</t>
        </is>
      </c>
      <c r="G751" s="7" t="inlineStr">
        <is>
          <t>West</t>
        </is>
      </c>
      <c r="H751" s="7" t="inlineStr">
        <is>
          <t>Washington</t>
        </is>
      </c>
      <c r="I751" s="7" t="inlineStr">
        <is>
          <t>Direct Sales</t>
        </is>
      </c>
      <c r="J751" s="7" t="inlineStr">
        <is>
          <t>Corporate</t>
        </is>
      </c>
      <c r="K751" s="12" t="n">
        <v>2</v>
      </c>
      <c r="L751" s="9" t="n">
        <v>549.99</v>
      </c>
      <c r="M751" s="10" t="n">
        <v>0</v>
      </c>
      <c r="N751" s="9" t="n">
        <v>439.99</v>
      </c>
      <c r="O751" s="9">
        <f>K751*L751</f>
        <v/>
      </c>
      <c r="P751" s="9">
        <f>O751*M751</f>
        <v/>
      </c>
      <c r="Q751" s="9">
        <f>O751-P751</f>
        <v/>
      </c>
      <c r="R751" s="9">
        <f>K751*N751</f>
        <v/>
      </c>
      <c r="S751" s="9">
        <f>Q751-R751</f>
        <v/>
      </c>
      <c r="T751" s="10">
        <f>IFERROR(S751/Q751, 0)</f>
        <v/>
      </c>
    </row>
    <row r="752">
      <c r="A752" s="11" t="inlineStr">
        <is>
          <t>ORD-2024-1730</t>
        </is>
      </c>
      <c r="B752" s="11" t="inlineStr">
        <is>
          <t>2024-11-03</t>
        </is>
      </c>
      <c r="C752" s="11" t="inlineStr">
        <is>
          <t>TEC-TAB-004</t>
        </is>
      </c>
      <c r="D752" s="7" t="inlineStr">
        <is>
          <t>VisionPad Lite 8.5"</t>
        </is>
      </c>
      <c r="E752" s="7" t="inlineStr">
        <is>
          <t>Technology</t>
        </is>
      </c>
      <c r="F752" s="7" t="inlineStr">
        <is>
          <t>Phones &amp; Tablets</t>
        </is>
      </c>
      <c r="G752" s="7" t="inlineStr">
        <is>
          <t>Central</t>
        </is>
      </c>
      <c r="H752" s="7" t="inlineStr">
        <is>
          <t>Michigan</t>
        </is>
      </c>
      <c r="I752" s="7" t="inlineStr">
        <is>
          <t>Online</t>
        </is>
      </c>
      <c r="J752" s="7" t="inlineStr">
        <is>
          <t>Home Office</t>
        </is>
      </c>
      <c r="K752" s="12" t="n">
        <v>4</v>
      </c>
      <c r="L752" s="9" t="n">
        <v>299.99</v>
      </c>
      <c r="M752" s="10" t="n">
        <v>0</v>
      </c>
      <c r="N752" s="9" t="n">
        <v>245.99</v>
      </c>
      <c r="O752" s="9">
        <f>K752*L752</f>
        <v/>
      </c>
      <c r="P752" s="9">
        <f>O752*M752</f>
        <v/>
      </c>
      <c r="Q752" s="9">
        <f>O752-P752</f>
        <v/>
      </c>
      <c r="R752" s="9">
        <f>K752*N752</f>
        <v/>
      </c>
      <c r="S752" s="9">
        <f>Q752-R752</f>
        <v/>
      </c>
      <c r="T752" s="10">
        <f>IFERROR(S752/Q752, 0)</f>
        <v/>
      </c>
    </row>
    <row r="753">
      <c r="A753" s="11" t="inlineStr">
        <is>
          <t>ORD-2024-1025</t>
        </is>
      </c>
      <c r="B753" s="11" t="inlineStr">
        <is>
          <t>2024-11-04</t>
        </is>
      </c>
      <c r="C753" s="11" t="inlineStr">
        <is>
          <t>OFF-DSK-007</t>
        </is>
      </c>
      <c r="D753" s="7" t="inlineStr">
        <is>
          <t>Gel Ergo Mouse Pad &amp; Wrist Rest Combo</t>
        </is>
      </c>
      <c r="E753" s="7" t="inlineStr">
        <is>
          <t>Office Supplies</t>
        </is>
      </c>
      <c r="F753" s="7" t="inlineStr">
        <is>
          <t>Desk Supplies</t>
        </is>
      </c>
      <c r="G753" s="7" t="inlineStr">
        <is>
          <t>East</t>
        </is>
      </c>
      <c r="H753" s="7" t="inlineStr">
        <is>
          <t>Pennsylvania</t>
        </is>
      </c>
      <c r="I753" s="7" t="inlineStr">
        <is>
          <t>Direct Sales</t>
        </is>
      </c>
      <c r="J753" s="7" t="inlineStr">
        <is>
          <t>Corporate</t>
        </is>
      </c>
      <c r="K753" s="12" t="n">
        <v>3</v>
      </c>
      <c r="L753" s="9" t="n">
        <v>21.99</v>
      </c>
      <c r="M753" s="10" t="n">
        <v>0</v>
      </c>
      <c r="N753" s="9" t="n">
        <v>10.56</v>
      </c>
      <c r="O753" s="9">
        <f>K753*L753</f>
        <v/>
      </c>
      <c r="P753" s="9">
        <f>O753*M753</f>
        <v/>
      </c>
      <c r="Q753" s="9">
        <f>O753-P753</f>
        <v/>
      </c>
      <c r="R753" s="9">
        <f>K753*N753</f>
        <v/>
      </c>
      <c r="S753" s="9">
        <f>Q753-R753</f>
        <v/>
      </c>
      <c r="T753" s="10">
        <f>IFERROR(S753/Q753, 0)</f>
        <v/>
      </c>
    </row>
    <row r="754">
      <c r="A754" s="11" t="inlineStr">
        <is>
          <t>ORD-2024-1240</t>
        </is>
      </c>
      <c r="B754" s="11" t="inlineStr">
        <is>
          <t>2024-11-05</t>
        </is>
      </c>
      <c r="C754" s="11" t="inlineStr">
        <is>
          <t>OFF-PAP-003</t>
        </is>
      </c>
      <c r="D754" s="7" t="inlineStr">
        <is>
          <t>UltraWhite Premium Multipurpose Paper (Case)</t>
        </is>
      </c>
      <c r="E754" s="7" t="inlineStr">
        <is>
          <t>Office Supplies</t>
        </is>
      </c>
      <c r="F754" s="7" t="inlineStr">
        <is>
          <t>Paper Products</t>
        </is>
      </c>
      <c r="G754" s="7" t="inlineStr">
        <is>
          <t>East</t>
        </is>
      </c>
      <c r="H754" s="7" t="inlineStr">
        <is>
          <t>Pennsylvania</t>
        </is>
      </c>
      <c r="I754" s="7" t="inlineStr">
        <is>
          <t>Online</t>
        </is>
      </c>
      <c r="J754" s="7" t="inlineStr">
        <is>
          <t>Corporate</t>
        </is>
      </c>
      <c r="K754" s="12" t="n">
        <v>5</v>
      </c>
      <c r="L754" s="9" t="n">
        <v>54.99</v>
      </c>
      <c r="M754" s="10" t="n">
        <v>0</v>
      </c>
      <c r="N754" s="9" t="n">
        <v>31.89</v>
      </c>
      <c r="O754" s="9">
        <f>K754*L754</f>
        <v/>
      </c>
      <c r="P754" s="9">
        <f>O754*M754</f>
        <v/>
      </c>
      <c r="Q754" s="9">
        <f>O754-P754</f>
        <v/>
      </c>
      <c r="R754" s="9">
        <f>K754*N754</f>
        <v/>
      </c>
      <c r="S754" s="9">
        <f>Q754-R754</f>
        <v/>
      </c>
      <c r="T754" s="10">
        <f>IFERROR(S754/Q754, 0)</f>
        <v/>
      </c>
    </row>
    <row r="755">
      <c r="A755" s="11" t="inlineStr">
        <is>
          <t>ORD-2024-1287</t>
        </is>
      </c>
      <c r="B755" s="11" t="inlineStr">
        <is>
          <t>2024-11-05</t>
        </is>
      </c>
      <c r="C755" s="11" t="inlineStr">
        <is>
          <t>OFF-PAP-003</t>
        </is>
      </c>
      <c r="D755" s="7" t="inlineStr">
        <is>
          <t>UltraWhite Premium Multipurpose Paper (Case)</t>
        </is>
      </c>
      <c r="E755" s="7" t="inlineStr">
        <is>
          <t>Office Supplies</t>
        </is>
      </c>
      <c r="F755" s="7" t="inlineStr">
        <is>
          <t>Paper Products</t>
        </is>
      </c>
      <c r="G755" s="7" t="inlineStr">
        <is>
          <t>West</t>
        </is>
      </c>
      <c r="H755" s="7" t="inlineStr">
        <is>
          <t>Colorado</t>
        </is>
      </c>
      <c r="I755" s="7" t="inlineStr">
        <is>
          <t>Wholesale</t>
        </is>
      </c>
      <c r="J755" s="7" t="inlineStr">
        <is>
          <t>Corporate</t>
        </is>
      </c>
      <c r="K755" s="12" t="n">
        <v>6</v>
      </c>
      <c r="L755" s="9" t="n">
        <v>54.99</v>
      </c>
      <c r="M755" s="10" t="n">
        <v>0.15</v>
      </c>
      <c r="N755" s="9" t="n">
        <v>31.89</v>
      </c>
      <c r="O755" s="9">
        <f>K755*L755</f>
        <v/>
      </c>
      <c r="P755" s="9">
        <f>O755*M755</f>
        <v/>
      </c>
      <c r="Q755" s="9">
        <f>O755-P755</f>
        <v/>
      </c>
      <c r="R755" s="9">
        <f>K755*N755</f>
        <v/>
      </c>
      <c r="S755" s="9">
        <f>Q755-R755</f>
        <v/>
      </c>
      <c r="T755" s="10">
        <f>IFERROR(S755/Q755, 0)</f>
        <v/>
      </c>
    </row>
    <row r="756">
      <c r="A756" s="11" t="inlineStr">
        <is>
          <t>ORD-2024-1683</t>
        </is>
      </c>
      <c r="B756" s="11" t="inlineStr">
        <is>
          <t>2024-11-06</t>
        </is>
      </c>
      <c r="C756" s="11" t="inlineStr">
        <is>
          <t>TEC-ACC-007</t>
        </is>
      </c>
      <c r="D756" s="7" t="inlineStr">
        <is>
          <t>ErgoMechanical Wireless Keyboard</t>
        </is>
      </c>
      <c r="E756" s="7" t="inlineStr">
        <is>
          <t>Technology</t>
        </is>
      </c>
      <c r="F756" s="7" t="inlineStr">
        <is>
          <t>Audio &amp; Accessories</t>
        </is>
      </c>
      <c r="G756" s="7" t="inlineStr">
        <is>
          <t>Central</t>
        </is>
      </c>
      <c r="H756" s="7" t="inlineStr">
        <is>
          <t>Texas</t>
        </is>
      </c>
      <c r="I756" s="7" t="inlineStr">
        <is>
          <t>Direct Sales</t>
        </is>
      </c>
      <c r="J756" s="7" t="inlineStr">
        <is>
          <t>Consumer</t>
        </is>
      </c>
      <c r="K756" s="12" t="n">
        <v>2</v>
      </c>
      <c r="L756" s="9" t="n">
        <v>109.99</v>
      </c>
      <c r="M756" s="10" t="n">
        <v>0.05</v>
      </c>
      <c r="N756" s="9" t="n">
        <v>65.98999999999999</v>
      </c>
      <c r="O756" s="9">
        <f>K756*L756</f>
        <v/>
      </c>
      <c r="P756" s="9">
        <f>O756*M756</f>
        <v/>
      </c>
      <c r="Q756" s="9">
        <f>O756-P756</f>
        <v/>
      </c>
      <c r="R756" s="9">
        <f>K756*N756</f>
        <v/>
      </c>
      <c r="S756" s="9">
        <f>Q756-R756</f>
        <v/>
      </c>
      <c r="T756" s="10">
        <f>IFERROR(S756/Q756, 0)</f>
        <v/>
      </c>
    </row>
    <row r="757">
      <c r="A757" s="11" t="inlineStr">
        <is>
          <t>ORD-2024-1683</t>
        </is>
      </c>
      <c r="B757" s="11" t="inlineStr">
        <is>
          <t>2024-11-06</t>
        </is>
      </c>
      <c r="C757" s="11" t="inlineStr">
        <is>
          <t>TEC-LAP-002</t>
        </is>
      </c>
      <c r="D757" s="7" t="inlineStr">
        <is>
          <t>Apex Gaming Laptop 17"</t>
        </is>
      </c>
      <c r="E757" s="7" t="inlineStr">
        <is>
          <t>Technology</t>
        </is>
      </c>
      <c r="F757" s="7" t="inlineStr">
        <is>
          <t>Laptops</t>
        </is>
      </c>
      <c r="G757" s="7" t="inlineStr">
        <is>
          <t>Central</t>
        </is>
      </c>
      <c r="H757" s="7" t="inlineStr">
        <is>
          <t>Texas</t>
        </is>
      </c>
      <c r="I757" s="7" t="inlineStr">
        <is>
          <t>Direct Sales</t>
        </is>
      </c>
      <c r="J757" s="7" t="inlineStr">
        <is>
          <t>Consumer</t>
        </is>
      </c>
      <c r="K757" s="12" t="n">
        <v>3</v>
      </c>
      <c r="L757" s="9" t="n">
        <v>1499.99</v>
      </c>
      <c r="M757" s="10" t="n">
        <v>0.25</v>
      </c>
      <c r="N757" s="9" t="n">
        <v>1259.99</v>
      </c>
      <c r="O757" s="9">
        <f>K757*L757</f>
        <v/>
      </c>
      <c r="P757" s="9">
        <f>O757*M757</f>
        <v/>
      </c>
      <c r="Q757" s="9">
        <f>O757-P757</f>
        <v/>
      </c>
      <c r="R757" s="9">
        <f>K757*N757</f>
        <v/>
      </c>
      <c r="S757" s="9">
        <f>Q757-R757</f>
        <v/>
      </c>
      <c r="T757" s="10">
        <f>IFERROR(S757/Q757, 0)</f>
        <v/>
      </c>
    </row>
    <row r="758">
      <c r="A758" s="11" t="inlineStr">
        <is>
          <t>ORD-2024-1445</t>
        </is>
      </c>
      <c r="B758" s="11" t="inlineStr">
        <is>
          <t>2024-11-07</t>
        </is>
      </c>
      <c r="C758" s="11" t="inlineStr">
        <is>
          <t>OFF-ART-006</t>
        </is>
      </c>
      <c r="D758" s="7" t="inlineStr">
        <is>
          <t>Professional Presentation Dry Erase Board</t>
        </is>
      </c>
      <c r="E758" s="7" t="inlineStr">
        <is>
          <t>Office Supplies</t>
        </is>
      </c>
      <c r="F758" s="7" t="inlineStr">
        <is>
          <t>Presentation &amp; Art</t>
        </is>
      </c>
      <c r="G758" s="7" t="inlineStr">
        <is>
          <t>South</t>
        </is>
      </c>
      <c r="H758" s="7" t="inlineStr">
        <is>
          <t>North Carolina</t>
        </is>
      </c>
      <c r="I758" s="7" t="inlineStr">
        <is>
          <t>Wholesale</t>
        </is>
      </c>
      <c r="J758" s="7" t="inlineStr">
        <is>
          <t>Corporate</t>
        </is>
      </c>
      <c r="K758" s="12" t="n">
        <v>7</v>
      </c>
      <c r="L758" s="9" t="n">
        <v>89.98999999999999</v>
      </c>
      <c r="M758" s="10" t="n">
        <v>0.15</v>
      </c>
      <c r="N758" s="9" t="n">
        <v>53.99</v>
      </c>
      <c r="O758" s="9">
        <f>K758*L758</f>
        <v/>
      </c>
      <c r="P758" s="9">
        <f>O758*M758</f>
        <v/>
      </c>
      <c r="Q758" s="9">
        <f>O758-P758</f>
        <v/>
      </c>
      <c r="R758" s="9">
        <f>K758*N758</f>
        <v/>
      </c>
      <c r="S758" s="9">
        <f>Q758-R758</f>
        <v/>
      </c>
      <c r="T758" s="10">
        <f>IFERROR(S758/Q758, 0)</f>
        <v/>
      </c>
    </row>
    <row r="759">
      <c r="A759" s="11" t="inlineStr">
        <is>
          <t>ORD-2024-1490</t>
        </is>
      </c>
      <c r="B759" s="11" t="inlineStr">
        <is>
          <t>2024-11-07</t>
        </is>
      </c>
      <c r="C759" s="11" t="inlineStr">
        <is>
          <t>OFF-PAP-004</t>
        </is>
      </c>
      <c r="D759" s="7" t="inlineStr">
        <is>
          <t>EcoRecycled Copy Paper (5 Reams)</t>
        </is>
      </c>
      <c r="E759" s="7" t="inlineStr">
        <is>
          <t>Office Supplies</t>
        </is>
      </c>
      <c r="F759" s="7" t="inlineStr">
        <is>
          <t>Paper Products</t>
        </is>
      </c>
      <c r="G759" s="7" t="inlineStr">
        <is>
          <t>East</t>
        </is>
      </c>
      <c r="H759" s="7" t="inlineStr">
        <is>
          <t>Massachusetts</t>
        </is>
      </c>
      <c r="I759" s="7" t="inlineStr">
        <is>
          <t>Retail Partner</t>
        </is>
      </c>
      <c r="J759" s="7" t="inlineStr">
        <is>
          <t>Consumer</t>
        </is>
      </c>
      <c r="K759" s="12" t="n">
        <v>3</v>
      </c>
      <c r="L759" s="9" t="n">
        <v>32.99</v>
      </c>
      <c r="M759" s="10" t="n">
        <v>0.15</v>
      </c>
      <c r="N759" s="9" t="n">
        <v>19.79</v>
      </c>
      <c r="O759" s="9">
        <f>K759*L759</f>
        <v/>
      </c>
      <c r="P759" s="9">
        <f>O759*M759</f>
        <v/>
      </c>
      <c r="Q759" s="9">
        <f>O759-P759</f>
        <v/>
      </c>
      <c r="R759" s="9">
        <f>K759*N759</f>
        <v/>
      </c>
      <c r="S759" s="9">
        <f>Q759-R759</f>
        <v/>
      </c>
      <c r="T759" s="10">
        <f>IFERROR(S759/Q759, 0)</f>
        <v/>
      </c>
    </row>
    <row r="760">
      <c r="A760" s="11" t="inlineStr">
        <is>
          <t>ORD-2024-1490</t>
        </is>
      </c>
      <c r="B760" s="11" t="inlineStr">
        <is>
          <t>2024-11-07</t>
        </is>
      </c>
      <c r="C760" s="11" t="inlineStr">
        <is>
          <t>TEC-ACC-005</t>
        </is>
      </c>
      <c r="D760" s="7" t="inlineStr">
        <is>
          <t>UltraWireless Noise-Canceling Headset</t>
        </is>
      </c>
      <c r="E760" s="7" t="inlineStr">
        <is>
          <t>Technology</t>
        </is>
      </c>
      <c r="F760" s="7" t="inlineStr">
        <is>
          <t>Audio &amp; Accessories</t>
        </is>
      </c>
      <c r="G760" s="7" t="inlineStr">
        <is>
          <t>East</t>
        </is>
      </c>
      <c r="H760" s="7" t="inlineStr">
        <is>
          <t>Massachusetts</t>
        </is>
      </c>
      <c r="I760" s="7" t="inlineStr">
        <is>
          <t>Retail Partner</t>
        </is>
      </c>
      <c r="J760" s="7" t="inlineStr">
        <is>
          <t>Consumer</t>
        </is>
      </c>
      <c r="K760" s="12" t="n">
        <v>1</v>
      </c>
      <c r="L760" s="9" t="n">
        <v>179.99</v>
      </c>
      <c r="M760" s="10" t="n">
        <v>0.15</v>
      </c>
      <c r="N760" s="9" t="n">
        <v>111.59</v>
      </c>
      <c r="O760" s="9">
        <f>K760*L760</f>
        <v/>
      </c>
      <c r="P760" s="9">
        <f>O760*M760</f>
        <v/>
      </c>
      <c r="Q760" s="9">
        <f>O760-P760</f>
        <v/>
      </c>
      <c r="R760" s="9">
        <f>K760*N760</f>
        <v/>
      </c>
      <c r="S760" s="9">
        <f>Q760-R760</f>
        <v/>
      </c>
      <c r="T760" s="10">
        <f>IFERROR(S760/Q760, 0)</f>
        <v/>
      </c>
    </row>
    <row r="761">
      <c r="A761" s="11" t="inlineStr">
        <is>
          <t>ORD-2024-1490</t>
        </is>
      </c>
      <c r="B761" s="11" t="inlineStr">
        <is>
          <t>2024-11-07</t>
        </is>
      </c>
      <c r="C761" s="11" t="inlineStr">
        <is>
          <t>OFF-ART-006</t>
        </is>
      </c>
      <c r="D761" s="7" t="inlineStr">
        <is>
          <t>Professional Presentation Dry Erase Board</t>
        </is>
      </c>
      <c r="E761" s="7" t="inlineStr">
        <is>
          <t>Office Supplies</t>
        </is>
      </c>
      <c r="F761" s="7" t="inlineStr">
        <is>
          <t>Presentation &amp; Art</t>
        </is>
      </c>
      <c r="G761" s="7" t="inlineStr">
        <is>
          <t>East</t>
        </is>
      </c>
      <c r="H761" s="7" t="inlineStr">
        <is>
          <t>Massachusetts</t>
        </is>
      </c>
      <c r="I761" s="7" t="inlineStr">
        <is>
          <t>Retail Partner</t>
        </is>
      </c>
      <c r="J761" s="7" t="inlineStr">
        <is>
          <t>Consumer</t>
        </is>
      </c>
      <c r="K761" s="12" t="n">
        <v>2</v>
      </c>
      <c r="L761" s="9" t="n">
        <v>89.98999999999999</v>
      </c>
      <c r="M761" s="10" t="n">
        <v>0.15</v>
      </c>
      <c r="N761" s="9" t="n">
        <v>53.99</v>
      </c>
      <c r="O761" s="9">
        <f>K761*L761</f>
        <v/>
      </c>
      <c r="P761" s="9">
        <f>O761*M761</f>
        <v/>
      </c>
      <c r="Q761" s="9">
        <f>O761-P761</f>
        <v/>
      </c>
      <c r="R761" s="9">
        <f>K761*N761</f>
        <v/>
      </c>
      <c r="S761" s="9">
        <f>Q761-R761</f>
        <v/>
      </c>
      <c r="T761" s="10">
        <f>IFERROR(S761/Q761, 0)</f>
        <v/>
      </c>
    </row>
    <row r="762">
      <c r="A762" s="11" t="inlineStr">
        <is>
          <t>ORD-2024-1626</t>
        </is>
      </c>
      <c r="B762" s="11" t="inlineStr">
        <is>
          <t>2024-11-07</t>
        </is>
      </c>
      <c r="C762" s="11" t="inlineStr">
        <is>
          <t>FUR-DSK-003</t>
        </is>
      </c>
      <c r="D762" s="7" t="inlineStr">
        <is>
          <t>ApexMotor Dual-Motor Standing Desk</t>
        </is>
      </c>
      <c r="E762" s="7" t="inlineStr">
        <is>
          <t>Furniture</t>
        </is>
      </c>
      <c r="F762" s="7" t="inlineStr">
        <is>
          <t>Desks &amp; Workstations</t>
        </is>
      </c>
      <c r="G762" s="7" t="inlineStr">
        <is>
          <t>Central</t>
        </is>
      </c>
      <c r="H762" s="7" t="inlineStr">
        <is>
          <t>Michigan</t>
        </is>
      </c>
      <c r="I762" s="7" t="inlineStr">
        <is>
          <t>Online</t>
        </is>
      </c>
      <c r="J762" s="7" t="inlineStr">
        <is>
          <t>Consumer</t>
        </is>
      </c>
      <c r="K762" s="12" t="n">
        <v>2</v>
      </c>
      <c r="L762" s="9" t="n">
        <v>549.99</v>
      </c>
      <c r="M762" s="10" t="n">
        <v>0.2</v>
      </c>
      <c r="N762" s="9" t="n">
        <v>439.99</v>
      </c>
      <c r="O762" s="9">
        <f>K762*L762</f>
        <v/>
      </c>
      <c r="P762" s="9">
        <f>O762*M762</f>
        <v/>
      </c>
      <c r="Q762" s="9">
        <f>O762-P762</f>
        <v/>
      </c>
      <c r="R762" s="9">
        <f>K762*N762</f>
        <v/>
      </c>
      <c r="S762" s="9">
        <f>Q762-R762</f>
        <v/>
      </c>
      <c r="T762" s="10">
        <f>IFERROR(S762/Q762, 0)</f>
        <v/>
      </c>
    </row>
    <row r="763">
      <c r="A763" s="11" t="inlineStr">
        <is>
          <t>ORD-2024-1626</t>
        </is>
      </c>
      <c r="B763" s="11" t="inlineStr">
        <is>
          <t>2024-11-07</t>
        </is>
      </c>
      <c r="C763" s="11" t="inlineStr">
        <is>
          <t>FUR-BOK-005</t>
        </is>
      </c>
      <c r="D763" s="7" t="inlineStr">
        <is>
          <t>Modular 5-Tier Steel Bookcase</t>
        </is>
      </c>
      <c r="E763" s="7" t="inlineStr">
        <is>
          <t>Furniture</t>
        </is>
      </c>
      <c r="F763" s="7" t="inlineStr">
        <is>
          <t>Bookcases</t>
        </is>
      </c>
      <c r="G763" s="7" t="inlineStr">
        <is>
          <t>Central</t>
        </is>
      </c>
      <c r="H763" s="7" t="inlineStr">
        <is>
          <t>Michigan</t>
        </is>
      </c>
      <c r="I763" s="7" t="inlineStr">
        <is>
          <t>Online</t>
        </is>
      </c>
      <c r="J763" s="7" t="inlineStr">
        <is>
          <t>Consumer</t>
        </is>
      </c>
      <c r="K763" s="12" t="n">
        <v>3</v>
      </c>
      <c r="L763" s="9" t="n">
        <v>189.99</v>
      </c>
      <c r="M763" s="10" t="n">
        <v>0</v>
      </c>
      <c r="N763" s="9" t="n">
        <v>142.49</v>
      </c>
      <c r="O763" s="9">
        <f>K763*L763</f>
        <v/>
      </c>
      <c r="P763" s="9">
        <f>O763*M763</f>
        <v/>
      </c>
      <c r="Q763" s="9">
        <f>O763-P763</f>
        <v/>
      </c>
      <c r="R763" s="9">
        <f>K763*N763</f>
        <v/>
      </c>
      <c r="S763" s="9">
        <f>Q763-R763</f>
        <v/>
      </c>
      <c r="T763" s="10">
        <f>IFERROR(S763/Q763, 0)</f>
        <v/>
      </c>
    </row>
    <row r="764">
      <c r="A764" s="11" t="inlineStr">
        <is>
          <t>ORD-2024-1046</t>
        </is>
      </c>
      <c r="B764" s="11" t="inlineStr">
        <is>
          <t>2024-11-08</t>
        </is>
      </c>
      <c r="C764" s="11" t="inlineStr">
        <is>
          <t>TEC-LAP-002</t>
        </is>
      </c>
      <c r="D764" s="7" t="inlineStr">
        <is>
          <t>Apex Gaming Laptop 17"</t>
        </is>
      </c>
      <c r="E764" s="7" t="inlineStr">
        <is>
          <t>Technology</t>
        </is>
      </c>
      <c r="F764" s="7" t="inlineStr">
        <is>
          <t>Laptops</t>
        </is>
      </c>
      <c r="G764" s="7" t="inlineStr">
        <is>
          <t>East</t>
        </is>
      </c>
      <c r="H764" s="7" t="inlineStr">
        <is>
          <t>New York</t>
        </is>
      </c>
      <c r="I764" s="7" t="inlineStr">
        <is>
          <t>Online</t>
        </is>
      </c>
      <c r="J764" s="7" t="inlineStr">
        <is>
          <t>Corporate</t>
        </is>
      </c>
      <c r="K764" s="12" t="n">
        <v>8</v>
      </c>
      <c r="L764" s="9" t="n">
        <v>1499.99</v>
      </c>
      <c r="M764" s="10" t="n">
        <v>0.15</v>
      </c>
      <c r="N764" s="9" t="n">
        <v>1259.99</v>
      </c>
      <c r="O764" s="9">
        <f>K764*L764</f>
        <v/>
      </c>
      <c r="P764" s="9">
        <f>O764*M764</f>
        <v/>
      </c>
      <c r="Q764" s="9">
        <f>O764-P764</f>
        <v/>
      </c>
      <c r="R764" s="9">
        <f>K764*N764</f>
        <v/>
      </c>
      <c r="S764" s="9">
        <f>Q764-R764</f>
        <v/>
      </c>
      <c r="T764" s="10">
        <f>IFERROR(S764/Q764, 0)</f>
        <v/>
      </c>
    </row>
    <row r="765">
      <c r="A765" s="11" t="inlineStr">
        <is>
          <t>ORD-2024-1046</t>
        </is>
      </c>
      <c r="B765" s="11" t="inlineStr">
        <is>
          <t>2024-11-08</t>
        </is>
      </c>
      <c r="C765" s="11" t="inlineStr">
        <is>
          <t>FUR-DSK-003</t>
        </is>
      </c>
      <c r="D765" s="7" t="inlineStr">
        <is>
          <t>ApexMotor Dual-Motor Standing Desk</t>
        </is>
      </c>
      <c r="E765" s="7" t="inlineStr">
        <is>
          <t>Furniture</t>
        </is>
      </c>
      <c r="F765" s="7" t="inlineStr">
        <is>
          <t>Desks &amp; Workstations</t>
        </is>
      </c>
      <c r="G765" s="7" t="inlineStr">
        <is>
          <t>East</t>
        </is>
      </c>
      <c r="H765" s="7" t="inlineStr">
        <is>
          <t>New York</t>
        </is>
      </c>
      <c r="I765" s="7" t="inlineStr">
        <is>
          <t>Online</t>
        </is>
      </c>
      <c r="J765" s="7" t="inlineStr">
        <is>
          <t>Corporate</t>
        </is>
      </c>
      <c r="K765" s="12" t="n">
        <v>2</v>
      </c>
      <c r="L765" s="9" t="n">
        <v>549.99</v>
      </c>
      <c r="M765" s="10" t="n">
        <v>0.1</v>
      </c>
      <c r="N765" s="9" t="n">
        <v>439.99</v>
      </c>
      <c r="O765" s="9">
        <f>K765*L765</f>
        <v/>
      </c>
      <c r="P765" s="9">
        <f>O765*M765</f>
        <v/>
      </c>
      <c r="Q765" s="9">
        <f>O765-P765</f>
        <v/>
      </c>
      <c r="R765" s="9">
        <f>K765*N765</f>
        <v/>
      </c>
      <c r="S765" s="9">
        <f>Q765-R765</f>
        <v/>
      </c>
      <c r="T765" s="10">
        <f>IFERROR(S765/Q765, 0)</f>
        <v/>
      </c>
    </row>
    <row r="766">
      <c r="A766" s="11" t="inlineStr">
        <is>
          <t>ORD-2024-1111</t>
        </is>
      </c>
      <c r="B766" s="11" t="inlineStr">
        <is>
          <t>2024-11-08</t>
        </is>
      </c>
      <c r="C766" s="11" t="inlineStr">
        <is>
          <t>TEC-ACC-005</t>
        </is>
      </c>
      <c r="D766" s="7" t="inlineStr">
        <is>
          <t>UltraWireless Noise-Canceling Headset</t>
        </is>
      </c>
      <c r="E766" s="7" t="inlineStr">
        <is>
          <t>Technology</t>
        </is>
      </c>
      <c r="F766" s="7" t="inlineStr">
        <is>
          <t>Audio &amp; Accessories</t>
        </is>
      </c>
      <c r="G766" s="7" t="inlineStr">
        <is>
          <t>East</t>
        </is>
      </c>
      <c r="H766" s="7" t="inlineStr">
        <is>
          <t>Pennsylvania</t>
        </is>
      </c>
      <c r="I766" s="7" t="inlineStr">
        <is>
          <t>Direct Sales</t>
        </is>
      </c>
      <c r="J766" s="7" t="inlineStr">
        <is>
          <t>Consumer</t>
        </is>
      </c>
      <c r="K766" s="12" t="n">
        <v>1</v>
      </c>
      <c r="L766" s="9" t="n">
        <v>179.99</v>
      </c>
      <c r="M766" s="10" t="n">
        <v>0.2</v>
      </c>
      <c r="N766" s="9" t="n">
        <v>111.59</v>
      </c>
      <c r="O766" s="9">
        <f>K766*L766</f>
        <v/>
      </c>
      <c r="P766" s="9">
        <f>O766*M766</f>
        <v/>
      </c>
      <c r="Q766" s="9">
        <f>O766-P766</f>
        <v/>
      </c>
      <c r="R766" s="9">
        <f>K766*N766</f>
        <v/>
      </c>
      <c r="S766" s="9">
        <f>Q766-R766</f>
        <v/>
      </c>
      <c r="T766" s="10">
        <f>IFERROR(S766/Q766, 0)</f>
        <v/>
      </c>
    </row>
    <row r="767">
      <c r="A767" s="11" t="inlineStr">
        <is>
          <t>ORD-2024-1116</t>
        </is>
      </c>
      <c r="B767" s="11" t="inlineStr">
        <is>
          <t>2024-11-08</t>
        </is>
      </c>
      <c r="C767" s="11" t="inlineStr">
        <is>
          <t>OFF-PAP-003</t>
        </is>
      </c>
      <c r="D767" s="7" t="inlineStr">
        <is>
          <t>UltraWhite Premium Multipurpose Paper (Case)</t>
        </is>
      </c>
      <c r="E767" s="7" t="inlineStr">
        <is>
          <t>Office Supplies</t>
        </is>
      </c>
      <c r="F767" s="7" t="inlineStr">
        <is>
          <t>Paper Products</t>
        </is>
      </c>
      <c r="G767" s="7" t="inlineStr">
        <is>
          <t>East</t>
        </is>
      </c>
      <c r="H767" s="7" t="inlineStr">
        <is>
          <t>Pennsylvania</t>
        </is>
      </c>
      <c r="I767" s="7" t="inlineStr">
        <is>
          <t>Online</t>
        </is>
      </c>
      <c r="J767" s="7" t="inlineStr">
        <is>
          <t>Home Office</t>
        </is>
      </c>
      <c r="K767" s="12" t="n">
        <v>4</v>
      </c>
      <c r="L767" s="9" t="n">
        <v>54.99</v>
      </c>
      <c r="M767" s="10" t="n">
        <v>0.05</v>
      </c>
      <c r="N767" s="9" t="n">
        <v>31.89</v>
      </c>
      <c r="O767" s="9">
        <f>K767*L767</f>
        <v/>
      </c>
      <c r="P767" s="9">
        <f>O767*M767</f>
        <v/>
      </c>
      <c r="Q767" s="9">
        <f>O767-P767</f>
        <v/>
      </c>
      <c r="R767" s="9">
        <f>K767*N767</f>
        <v/>
      </c>
      <c r="S767" s="9">
        <f>Q767-R767</f>
        <v/>
      </c>
      <c r="T767" s="10">
        <f>IFERROR(S767/Q767, 0)</f>
        <v/>
      </c>
    </row>
    <row r="768">
      <c r="A768" s="11" t="inlineStr">
        <is>
          <t>ORD-2024-1306</t>
        </is>
      </c>
      <c r="B768" s="11" t="inlineStr">
        <is>
          <t>2024-11-08</t>
        </is>
      </c>
      <c r="C768" s="11" t="inlineStr">
        <is>
          <t>FUR-DSK-004</t>
        </is>
      </c>
      <c r="D768" s="7" t="inlineStr">
        <is>
          <t>Metro Compact Corner Workstation</t>
        </is>
      </c>
      <c r="E768" s="7" t="inlineStr">
        <is>
          <t>Furniture</t>
        </is>
      </c>
      <c r="F768" s="7" t="inlineStr">
        <is>
          <t>Desks &amp; Workstations</t>
        </is>
      </c>
      <c r="G768" s="7" t="inlineStr">
        <is>
          <t>South</t>
        </is>
      </c>
      <c r="H768" s="7" t="inlineStr">
        <is>
          <t>Florida</t>
        </is>
      </c>
      <c r="I768" s="7" t="inlineStr">
        <is>
          <t>Wholesale</t>
        </is>
      </c>
      <c r="J768" s="7" t="inlineStr">
        <is>
          <t>Corporate</t>
        </is>
      </c>
      <c r="K768" s="12" t="n">
        <v>13</v>
      </c>
      <c r="L768" s="9" t="n">
        <v>329.99</v>
      </c>
      <c r="M768" s="10" t="n">
        <v>0.15</v>
      </c>
      <c r="N768" s="9" t="n">
        <v>250.79</v>
      </c>
      <c r="O768" s="9">
        <f>K768*L768</f>
        <v/>
      </c>
      <c r="P768" s="9">
        <f>O768*M768</f>
        <v/>
      </c>
      <c r="Q768" s="9">
        <f>O768-P768</f>
        <v/>
      </c>
      <c r="R768" s="9">
        <f>K768*N768</f>
        <v/>
      </c>
      <c r="S768" s="9">
        <f>Q768-R768</f>
        <v/>
      </c>
      <c r="T768" s="10">
        <f>IFERROR(S768/Q768, 0)</f>
        <v/>
      </c>
    </row>
    <row r="769">
      <c r="A769" s="11" t="inlineStr">
        <is>
          <t>ORD-2024-1546</t>
        </is>
      </c>
      <c r="B769" s="11" t="inlineStr">
        <is>
          <t>2024-11-08</t>
        </is>
      </c>
      <c r="C769" s="11" t="inlineStr">
        <is>
          <t>OFF-BIN-005</t>
        </is>
      </c>
      <c r="D769" s="7" t="inlineStr">
        <is>
          <t>Heavy-Duty D-Ring Presentation Binder (6-Pk)</t>
        </is>
      </c>
      <c r="E769" s="7" t="inlineStr">
        <is>
          <t>Office Supplies</t>
        </is>
      </c>
      <c r="F769" s="7" t="inlineStr">
        <is>
          <t>Binders &amp; Fasteners</t>
        </is>
      </c>
      <c r="G769" s="7" t="inlineStr">
        <is>
          <t>Central</t>
        </is>
      </c>
      <c r="H769" s="7" t="inlineStr">
        <is>
          <t>Ohio</t>
        </is>
      </c>
      <c r="I769" s="7" t="inlineStr">
        <is>
          <t>Wholesale</t>
        </is>
      </c>
      <c r="J769" s="7" t="inlineStr">
        <is>
          <t>Corporate</t>
        </is>
      </c>
      <c r="K769" s="12" t="n">
        <v>14</v>
      </c>
      <c r="L769" s="9" t="n">
        <v>27.99</v>
      </c>
      <c r="M769" s="10" t="n">
        <v>0.15</v>
      </c>
      <c r="N769" s="9" t="n">
        <v>13.99</v>
      </c>
      <c r="O769" s="9">
        <f>K769*L769</f>
        <v/>
      </c>
      <c r="P769" s="9">
        <f>O769*M769</f>
        <v/>
      </c>
      <c r="Q769" s="9">
        <f>O769-P769</f>
        <v/>
      </c>
      <c r="R769" s="9">
        <f>K769*N769</f>
        <v/>
      </c>
      <c r="S769" s="9">
        <f>Q769-R769</f>
        <v/>
      </c>
      <c r="T769" s="10">
        <f>IFERROR(S769/Q769, 0)</f>
        <v/>
      </c>
    </row>
    <row r="770">
      <c r="A770" s="11" t="inlineStr">
        <is>
          <t>ORD-2024-1585</t>
        </is>
      </c>
      <c r="B770" s="11" t="inlineStr">
        <is>
          <t>2024-11-08</t>
        </is>
      </c>
      <c r="C770" s="11" t="inlineStr">
        <is>
          <t>OFF-ART-006</t>
        </is>
      </c>
      <c r="D770" s="7" t="inlineStr">
        <is>
          <t>Professional Presentation Dry Erase Board</t>
        </is>
      </c>
      <c r="E770" s="7" t="inlineStr">
        <is>
          <t>Office Supplies</t>
        </is>
      </c>
      <c r="F770" s="7" t="inlineStr">
        <is>
          <t>Presentation &amp; Art</t>
        </is>
      </c>
      <c r="G770" s="7" t="inlineStr">
        <is>
          <t>South</t>
        </is>
      </c>
      <c r="H770" s="7" t="inlineStr">
        <is>
          <t>Georgia</t>
        </is>
      </c>
      <c r="I770" s="7" t="inlineStr">
        <is>
          <t>Online</t>
        </is>
      </c>
      <c r="J770" s="7" t="inlineStr">
        <is>
          <t>Consumer</t>
        </is>
      </c>
      <c r="K770" s="12" t="n">
        <v>3</v>
      </c>
      <c r="L770" s="9" t="n">
        <v>89.98999999999999</v>
      </c>
      <c r="M770" s="10" t="n">
        <v>0</v>
      </c>
      <c r="N770" s="9" t="n">
        <v>53.99</v>
      </c>
      <c r="O770" s="9">
        <f>K770*L770</f>
        <v/>
      </c>
      <c r="P770" s="9">
        <f>O770*M770</f>
        <v/>
      </c>
      <c r="Q770" s="9">
        <f>O770-P770</f>
        <v/>
      </c>
      <c r="R770" s="9">
        <f>K770*N770</f>
        <v/>
      </c>
      <c r="S770" s="9">
        <f>Q770-R770</f>
        <v/>
      </c>
      <c r="T770" s="10">
        <f>IFERROR(S770/Q770, 0)</f>
        <v/>
      </c>
    </row>
    <row r="771">
      <c r="A771" s="11" t="inlineStr">
        <is>
          <t>ORD-2024-1585</t>
        </is>
      </c>
      <c r="B771" s="11" t="inlineStr">
        <is>
          <t>2024-11-08</t>
        </is>
      </c>
      <c r="C771" s="11" t="inlineStr">
        <is>
          <t>FUR-DSK-004</t>
        </is>
      </c>
      <c r="D771" s="7" t="inlineStr">
        <is>
          <t>Metro Compact Corner Workstation</t>
        </is>
      </c>
      <c r="E771" s="7" t="inlineStr">
        <is>
          <t>Furniture</t>
        </is>
      </c>
      <c r="F771" s="7" t="inlineStr">
        <is>
          <t>Desks &amp; Workstations</t>
        </is>
      </c>
      <c r="G771" s="7" t="inlineStr">
        <is>
          <t>South</t>
        </is>
      </c>
      <c r="H771" s="7" t="inlineStr">
        <is>
          <t>Georgia</t>
        </is>
      </c>
      <c r="I771" s="7" t="inlineStr">
        <is>
          <t>Online</t>
        </is>
      </c>
      <c r="J771" s="7" t="inlineStr">
        <is>
          <t>Consumer</t>
        </is>
      </c>
      <c r="K771" s="12" t="n">
        <v>3</v>
      </c>
      <c r="L771" s="9" t="n">
        <v>329.99</v>
      </c>
      <c r="M771" s="10" t="n">
        <v>0</v>
      </c>
      <c r="N771" s="9" t="n">
        <v>250.79</v>
      </c>
      <c r="O771" s="9">
        <f>K771*L771</f>
        <v/>
      </c>
      <c r="P771" s="9">
        <f>O771*M771</f>
        <v/>
      </c>
      <c r="Q771" s="9">
        <f>O771-P771</f>
        <v/>
      </c>
      <c r="R771" s="9">
        <f>K771*N771</f>
        <v/>
      </c>
      <c r="S771" s="9">
        <f>Q771-R771</f>
        <v/>
      </c>
      <c r="T771" s="10">
        <f>IFERROR(S771/Q771, 0)</f>
        <v/>
      </c>
    </row>
    <row r="772">
      <c r="A772" s="11" t="inlineStr">
        <is>
          <t>ORD-2024-1588</t>
        </is>
      </c>
      <c r="B772" s="11" t="inlineStr">
        <is>
          <t>2024-11-08</t>
        </is>
      </c>
      <c r="C772" s="11" t="inlineStr">
        <is>
          <t>OFF-DSK-008</t>
        </is>
      </c>
      <c r="D772" s="7" t="inlineStr">
        <is>
          <t>Steel Desktop Mesh Organizer Caddy</t>
        </is>
      </c>
      <c r="E772" s="7" t="inlineStr">
        <is>
          <t>Office Supplies</t>
        </is>
      </c>
      <c r="F772" s="7" t="inlineStr">
        <is>
          <t>Desk Supplies</t>
        </is>
      </c>
      <c r="G772" s="7" t="inlineStr">
        <is>
          <t>Central</t>
        </is>
      </c>
      <c r="H772" s="7" t="inlineStr">
        <is>
          <t>Ohio</t>
        </is>
      </c>
      <c r="I772" s="7" t="inlineStr">
        <is>
          <t>Online</t>
        </is>
      </c>
      <c r="J772" s="7" t="inlineStr">
        <is>
          <t>Consumer</t>
        </is>
      </c>
      <c r="K772" s="12" t="n">
        <v>1</v>
      </c>
      <c r="L772" s="9" t="n">
        <v>18.99</v>
      </c>
      <c r="M772" s="10" t="n">
        <v>0.1</v>
      </c>
      <c r="N772" s="9" t="n">
        <v>8.550000000000001</v>
      </c>
      <c r="O772" s="9">
        <f>K772*L772</f>
        <v/>
      </c>
      <c r="P772" s="9">
        <f>O772*M772</f>
        <v/>
      </c>
      <c r="Q772" s="9">
        <f>O772-P772</f>
        <v/>
      </c>
      <c r="R772" s="9">
        <f>K772*N772</f>
        <v/>
      </c>
      <c r="S772" s="9">
        <f>Q772-R772</f>
        <v/>
      </c>
      <c r="T772" s="10">
        <f>IFERROR(S772/Q772, 0)</f>
        <v/>
      </c>
    </row>
    <row r="773">
      <c r="A773" s="11" t="inlineStr">
        <is>
          <t>ORD-2024-1161</t>
        </is>
      </c>
      <c r="B773" s="11" t="inlineStr">
        <is>
          <t>2024-11-09</t>
        </is>
      </c>
      <c r="C773" s="11" t="inlineStr">
        <is>
          <t>OFF-PAP-004</t>
        </is>
      </c>
      <c r="D773" s="7" t="inlineStr">
        <is>
          <t>EcoRecycled Copy Paper (5 Reams)</t>
        </is>
      </c>
      <c r="E773" s="7" t="inlineStr">
        <is>
          <t>Office Supplies</t>
        </is>
      </c>
      <c r="F773" s="7" t="inlineStr">
        <is>
          <t>Paper Products</t>
        </is>
      </c>
      <c r="G773" s="7" t="inlineStr">
        <is>
          <t>West</t>
        </is>
      </c>
      <c r="H773" s="7" t="inlineStr">
        <is>
          <t>Oregon</t>
        </is>
      </c>
      <c r="I773" s="7" t="inlineStr">
        <is>
          <t>Direct Sales</t>
        </is>
      </c>
      <c r="J773" s="7" t="inlineStr">
        <is>
          <t>Consumer</t>
        </is>
      </c>
      <c r="K773" s="12" t="n">
        <v>1</v>
      </c>
      <c r="L773" s="9" t="n">
        <v>32.99</v>
      </c>
      <c r="M773" s="10" t="n">
        <v>0</v>
      </c>
      <c r="N773" s="9" t="n">
        <v>19.79</v>
      </c>
      <c r="O773" s="9">
        <f>K773*L773</f>
        <v/>
      </c>
      <c r="P773" s="9">
        <f>O773*M773</f>
        <v/>
      </c>
      <c r="Q773" s="9">
        <f>O773-P773</f>
        <v/>
      </c>
      <c r="R773" s="9">
        <f>K773*N773</f>
        <v/>
      </c>
      <c r="S773" s="9">
        <f>Q773-R773</f>
        <v/>
      </c>
      <c r="T773" s="10">
        <f>IFERROR(S773/Q773, 0)</f>
        <v/>
      </c>
    </row>
    <row r="774">
      <c r="A774" s="11" t="inlineStr">
        <is>
          <t>ORD-2024-1277</t>
        </is>
      </c>
      <c r="B774" s="11" t="inlineStr">
        <is>
          <t>2024-11-09</t>
        </is>
      </c>
      <c r="C774" s="11" t="inlineStr">
        <is>
          <t>TEC-TAB-004</t>
        </is>
      </c>
      <c r="D774" s="7" t="inlineStr">
        <is>
          <t>VisionPad Lite 8.5"</t>
        </is>
      </c>
      <c r="E774" s="7" t="inlineStr">
        <is>
          <t>Technology</t>
        </is>
      </c>
      <c r="F774" s="7" t="inlineStr">
        <is>
          <t>Phones &amp; Tablets</t>
        </is>
      </c>
      <c r="G774" s="7" t="inlineStr">
        <is>
          <t>East</t>
        </is>
      </c>
      <c r="H774" s="7" t="inlineStr">
        <is>
          <t>Pennsylvania</t>
        </is>
      </c>
      <c r="I774" s="7" t="inlineStr">
        <is>
          <t>Online</t>
        </is>
      </c>
      <c r="J774" s="7" t="inlineStr">
        <is>
          <t>Consumer</t>
        </is>
      </c>
      <c r="K774" s="12" t="n">
        <v>4</v>
      </c>
      <c r="L774" s="9" t="n">
        <v>299.99</v>
      </c>
      <c r="M774" s="10" t="n">
        <v>0.1</v>
      </c>
      <c r="N774" s="9" t="n">
        <v>245.99</v>
      </c>
      <c r="O774" s="9">
        <f>K774*L774</f>
        <v/>
      </c>
      <c r="P774" s="9">
        <f>O774*M774</f>
        <v/>
      </c>
      <c r="Q774" s="9">
        <f>O774-P774</f>
        <v/>
      </c>
      <c r="R774" s="9">
        <f>K774*N774</f>
        <v/>
      </c>
      <c r="S774" s="9">
        <f>Q774-R774</f>
        <v/>
      </c>
      <c r="T774" s="10">
        <f>IFERROR(S774/Q774, 0)</f>
        <v/>
      </c>
    </row>
    <row r="775">
      <c r="A775" s="11" t="inlineStr">
        <is>
          <t>ORD-2024-1293</t>
        </is>
      </c>
      <c r="B775" s="11" t="inlineStr">
        <is>
          <t>2024-11-09</t>
        </is>
      </c>
      <c r="C775" s="11" t="inlineStr">
        <is>
          <t>FUR-BOK-005</t>
        </is>
      </c>
      <c r="D775" s="7" t="inlineStr">
        <is>
          <t>Modular 5-Tier Steel Bookcase</t>
        </is>
      </c>
      <c r="E775" s="7" t="inlineStr">
        <is>
          <t>Furniture</t>
        </is>
      </c>
      <c r="F775" s="7" t="inlineStr">
        <is>
          <t>Bookcases</t>
        </is>
      </c>
      <c r="G775" s="7" t="inlineStr">
        <is>
          <t>Central</t>
        </is>
      </c>
      <c r="H775" s="7" t="inlineStr">
        <is>
          <t>Ohio</t>
        </is>
      </c>
      <c r="I775" s="7" t="inlineStr">
        <is>
          <t>Online</t>
        </is>
      </c>
      <c r="J775" s="7" t="inlineStr">
        <is>
          <t>Corporate</t>
        </is>
      </c>
      <c r="K775" s="12" t="n">
        <v>6</v>
      </c>
      <c r="L775" s="9" t="n">
        <v>189.99</v>
      </c>
      <c r="M775" s="10" t="n">
        <v>0.1</v>
      </c>
      <c r="N775" s="9" t="n">
        <v>142.49</v>
      </c>
      <c r="O775" s="9">
        <f>K775*L775</f>
        <v/>
      </c>
      <c r="P775" s="9">
        <f>O775*M775</f>
        <v/>
      </c>
      <c r="Q775" s="9">
        <f>O775-P775</f>
        <v/>
      </c>
      <c r="R775" s="9">
        <f>K775*N775</f>
        <v/>
      </c>
      <c r="S775" s="9">
        <f>Q775-R775</f>
        <v/>
      </c>
      <c r="T775" s="10">
        <f>IFERROR(S775/Q775, 0)</f>
        <v/>
      </c>
    </row>
    <row r="776">
      <c r="A776" s="11" t="inlineStr">
        <is>
          <t>ORD-2024-1293</t>
        </is>
      </c>
      <c r="B776" s="11" t="inlineStr">
        <is>
          <t>2024-11-09</t>
        </is>
      </c>
      <c r="C776" s="11" t="inlineStr">
        <is>
          <t>OFF-PAP-003</t>
        </is>
      </c>
      <c r="D776" s="7" t="inlineStr">
        <is>
          <t>UltraWhite Premium Multipurpose Paper (Case)</t>
        </is>
      </c>
      <c r="E776" s="7" t="inlineStr">
        <is>
          <t>Office Supplies</t>
        </is>
      </c>
      <c r="F776" s="7" t="inlineStr">
        <is>
          <t>Paper Products</t>
        </is>
      </c>
      <c r="G776" s="7" t="inlineStr">
        <is>
          <t>Central</t>
        </is>
      </c>
      <c r="H776" s="7" t="inlineStr">
        <is>
          <t>Ohio</t>
        </is>
      </c>
      <c r="I776" s="7" t="inlineStr">
        <is>
          <t>Online</t>
        </is>
      </c>
      <c r="J776" s="7" t="inlineStr">
        <is>
          <t>Corporate</t>
        </is>
      </c>
      <c r="K776" s="12" t="n">
        <v>4</v>
      </c>
      <c r="L776" s="9" t="n">
        <v>54.99</v>
      </c>
      <c r="M776" s="10" t="n">
        <v>0.05</v>
      </c>
      <c r="N776" s="9" t="n">
        <v>31.89</v>
      </c>
      <c r="O776" s="9">
        <f>K776*L776</f>
        <v/>
      </c>
      <c r="P776" s="9">
        <f>O776*M776</f>
        <v/>
      </c>
      <c r="Q776" s="9">
        <f>O776-P776</f>
        <v/>
      </c>
      <c r="R776" s="9">
        <f>K776*N776</f>
        <v/>
      </c>
      <c r="S776" s="9">
        <f>Q776-R776</f>
        <v/>
      </c>
      <c r="T776" s="10">
        <f>IFERROR(S776/Q776, 0)</f>
        <v/>
      </c>
    </row>
    <row r="777">
      <c r="A777" s="11" t="inlineStr">
        <is>
          <t>ORD-2024-1384</t>
        </is>
      </c>
      <c r="B777" s="11" t="inlineStr">
        <is>
          <t>2024-11-09</t>
        </is>
      </c>
      <c r="C777" s="11" t="inlineStr">
        <is>
          <t>TEC-ACC-005</t>
        </is>
      </c>
      <c r="D777" s="7" t="inlineStr">
        <is>
          <t>UltraWireless Noise-Canceling Headset</t>
        </is>
      </c>
      <c r="E777" s="7" t="inlineStr">
        <is>
          <t>Technology</t>
        </is>
      </c>
      <c r="F777" s="7" t="inlineStr">
        <is>
          <t>Audio &amp; Accessories</t>
        </is>
      </c>
      <c r="G777" s="7" t="inlineStr">
        <is>
          <t>East</t>
        </is>
      </c>
      <c r="H777" s="7" t="inlineStr">
        <is>
          <t>Pennsylvania</t>
        </is>
      </c>
      <c r="I777" s="7" t="inlineStr">
        <is>
          <t>Online</t>
        </is>
      </c>
      <c r="J777" s="7" t="inlineStr">
        <is>
          <t>Consumer</t>
        </is>
      </c>
      <c r="K777" s="12" t="n">
        <v>4</v>
      </c>
      <c r="L777" s="9" t="n">
        <v>179.99</v>
      </c>
      <c r="M777" s="10" t="n">
        <v>0</v>
      </c>
      <c r="N777" s="9" t="n">
        <v>111.59</v>
      </c>
      <c r="O777" s="9">
        <f>K777*L777</f>
        <v/>
      </c>
      <c r="P777" s="9">
        <f>O777*M777</f>
        <v/>
      </c>
      <c r="Q777" s="9">
        <f>O777-P777</f>
        <v/>
      </c>
      <c r="R777" s="9">
        <f>K777*N777</f>
        <v/>
      </c>
      <c r="S777" s="9">
        <f>Q777-R777</f>
        <v/>
      </c>
      <c r="T777" s="10">
        <f>IFERROR(S777/Q777, 0)</f>
        <v/>
      </c>
    </row>
    <row r="778">
      <c r="A778" s="11" t="inlineStr">
        <is>
          <t>ORD-2024-1473</t>
        </is>
      </c>
      <c r="B778" s="11" t="inlineStr">
        <is>
          <t>2024-11-09</t>
        </is>
      </c>
      <c r="C778" s="11" t="inlineStr">
        <is>
          <t>TEC-LAP-002</t>
        </is>
      </c>
      <c r="D778" s="7" t="inlineStr">
        <is>
          <t>Apex Gaming Laptop 17"</t>
        </is>
      </c>
      <c r="E778" s="7" t="inlineStr">
        <is>
          <t>Technology</t>
        </is>
      </c>
      <c r="F778" s="7" t="inlineStr">
        <is>
          <t>Laptops</t>
        </is>
      </c>
      <c r="G778" s="7" t="inlineStr">
        <is>
          <t>East</t>
        </is>
      </c>
      <c r="H778" s="7" t="inlineStr">
        <is>
          <t>Pennsylvania</t>
        </is>
      </c>
      <c r="I778" s="7" t="inlineStr">
        <is>
          <t>Online</t>
        </is>
      </c>
      <c r="J778" s="7" t="inlineStr">
        <is>
          <t>Corporate</t>
        </is>
      </c>
      <c r="K778" s="12" t="n">
        <v>6</v>
      </c>
      <c r="L778" s="9" t="n">
        <v>1499.99</v>
      </c>
      <c r="M778" s="10" t="n">
        <v>0.15</v>
      </c>
      <c r="N778" s="9" t="n">
        <v>1259.99</v>
      </c>
      <c r="O778" s="9">
        <f>K778*L778</f>
        <v/>
      </c>
      <c r="P778" s="9">
        <f>O778*M778</f>
        <v/>
      </c>
      <c r="Q778" s="9">
        <f>O778-P778</f>
        <v/>
      </c>
      <c r="R778" s="9">
        <f>K778*N778</f>
        <v/>
      </c>
      <c r="S778" s="9">
        <f>Q778-R778</f>
        <v/>
      </c>
      <c r="T778" s="10">
        <f>IFERROR(S778/Q778, 0)</f>
        <v/>
      </c>
    </row>
    <row r="779">
      <c r="A779" s="11" t="inlineStr">
        <is>
          <t>ORD-2024-1483</t>
        </is>
      </c>
      <c r="B779" s="11" t="inlineStr">
        <is>
          <t>2024-11-09</t>
        </is>
      </c>
      <c r="C779" s="11" t="inlineStr">
        <is>
          <t>TEC-ACC-008</t>
        </is>
      </c>
      <c r="D779" s="7" t="inlineStr">
        <is>
          <t>Precision Laser Bluetooth Mouse</t>
        </is>
      </c>
      <c r="E779" s="7" t="inlineStr">
        <is>
          <t>Technology</t>
        </is>
      </c>
      <c r="F779" s="7" t="inlineStr">
        <is>
          <t>Audio &amp; Accessories</t>
        </is>
      </c>
      <c r="G779" s="7" t="inlineStr">
        <is>
          <t>South</t>
        </is>
      </c>
      <c r="H779" s="7" t="inlineStr">
        <is>
          <t>North Carolina</t>
        </is>
      </c>
      <c r="I779" s="7" t="inlineStr">
        <is>
          <t>Online</t>
        </is>
      </c>
      <c r="J779" s="7" t="inlineStr">
        <is>
          <t>Corporate</t>
        </is>
      </c>
      <c r="K779" s="12" t="n">
        <v>4</v>
      </c>
      <c r="L779" s="9" t="n">
        <v>49.99</v>
      </c>
      <c r="M779" s="10" t="n">
        <v>0.1</v>
      </c>
      <c r="N779" s="9" t="n">
        <v>27.49</v>
      </c>
      <c r="O779" s="9">
        <f>K779*L779</f>
        <v/>
      </c>
      <c r="P779" s="9">
        <f>O779*M779</f>
        <v/>
      </c>
      <c r="Q779" s="9">
        <f>O779-P779</f>
        <v/>
      </c>
      <c r="R779" s="9">
        <f>K779*N779</f>
        <v/>
      </c>
      <c r="S779" s="9">
        <f>Q779-R779</f>
        <v/>
      </c>
      <c r="T779" s="10">
        <f>IFERROR(S779/Q779, 0)</f>
        <v/>
      </c>
    </row>
    <row r="780">
      <c r="A780" s="11" t="inlineStr">
        <is>
          <t>ORD-2024-1582</t>
        </is>
      </c>
      <c r="B780" s="11" t="inlineStr">
        <is>
          <t>2024-11-09</t>
        </is>
      </c>
      <c r="C780" s="11" t="inlineStr">
        <is>
          <t>TEC-LAP-001</t>
        </is>
      </c>
      <c r="D780" s="7" t="inlineStr">
        <is>
          <t>ProBook Elite 15.6"</t>
        </is>
      </c>
      <c r="E780" s="7" t="inlineStr">
        <is>
          <t>Technology</t>
        </is>
      </c>
      <c r="F780" s="7" t="inlineStr">
        <is>
          <t>Laptops</t>
        </is>
      </c>
      <c r="G780" s="7" t="inlineStr">
        <is>
          <t>South</t>
        </is>
      </c>
      <c r="H780" s="7" t="inlineStr">
        <is>
          <t>North Carolina</t>
        </is>
      </c>
      <c r="I780" s="7" t="inlineStr">
        <is>
          <t>Wholesale</t>
        </is>
      </c>
      <c r="J780" s="7" t="inlineStr">
        <is>
          <t>Corporate</t>
        </is>
      </c>
      <c r="K780" s="12" t="n">
        <v>13</v>
      </c>
      <c r="L780" s="9" t="n">
        <v>1199.99</v>
      </c>
      <c r="M780" s="10" t="n">
        <v>0.1</v>
      </c>
      <c r="N780" s="9" t="n">
        <v>863.99</v>
      </c>
      <c r="O780" s="9">
        <f>K780*L780</f>
        <v/>
      </c>
      <c r="P780" s="9">
        <f>O780*M780</f>
        <v/>
      </c>
      <c r="Q780" s="9">
        <f>O780-P780</f>
        <v/>
      </c>
      <c r="R780" s="9">
        <f>K780*N780</f>
        <v/>
      </c>
      <c r="S780" s="9">
        <f>Q780-R780</f>
        <v/>
      </c>
      <c r="T780" s="10">
        <f>IFERROR(S780/Q780, 0)</f>
        <v/>
      </c>
    </row>
    <row r="781">
      <c r="A781" s="11" t="inlineStr">
        <is>
          <t>ORD-2024-1673</t>
        </is>
      </c>
      <c r="B781" s="11" t="inlineStr">
        <is>
          <t>2024-11-09</t>
        </is>
      </c>
      <c r="C781" s="11" t="inlineStr">
        <is>
          <t>OFF-PAP-004</t>
        </is>
      </c>
      <c r="D781" s="7" t="inlineStr">
        <is>
          <t>EcoRecycled Copy Paper (5 Reams)</t>
        </is>
      </c>
      <c r="E781" s="7" t="inlineStr">
        <is>
          <t>Office Supplies</t>
        </is>
      </c>
      <c r="F781" s="7" t="inlineStr">
        <is>
          <t>Paper Products</t>
        </is>
      </c>
      <c r="G781" s="7" t="inlineStr">
        <is>
          <t>West</t>
        </is>
      </c>
      <c r="H781" s="7" t="inlineStr">
        <is>
          <t>Washington</t>
        </is>
      </c>
      <c r="I781" s="7" t="inlineStr">
        <is>
          <t>Online</t>
        </is>
      </c>
      <c r="J781" s="7" t="inlineStr">
        <is>
          <t>Corporate</t>
        </is>
      </c>
      <c r="K781" s="12" t="n">
        <v>4</v>
      </c>
      <c r="L781" s="9" t="n">
        <v>32.99</v>
      </c>
      <c r="M781" s="10" t="n">
        <v>0.15</v>
      </c>
      <c r="N781" s="9" t="n">
        <v>19.79</v>
      </c>
      <c r="O781" s="9">
        <f>K781*L781</f>
        <v/>
      </c>
      <c r="P781" s="9">
        <f>O781*M781</f>
        <v/>
      </c>
      <c r="Q781" s="9">
        <f>O781-P781</f>
        <v/>
      </c>
      <c r="R781" s="9">
        <f>K781*N781</f>
        <v/>
      </c>
      <c r="S781" s="9">
        <f>Q781-R781</f>
        <v/>
      </c>
      <c r="T781" s="10">
        <f>IFERROR(S781/Q781, 0)</f>
        <v/>
      </c>
    </row>
    <row r="782">
      <c r="A782" s="11" t="inlineStr">
        <is>
          <t>ORD-2024-1174</t>
        </is>
      </c>
      <c r="B782" s="11" t="inlineStr">
        <is>
          <t>2024-11-10</t>
        </is>
      </c>
      <c r="C782" s="11" t="inlineStr">
        <is>
          <t>FUR-DSK-004</t>
        </is>
      </c>
      <c r="D782" s="7" t="inlineStr">
        <is>
          <t>Metro Compact Corner Workstation</t>
        </is>
      </c>
      <c r="E782" s="7" t="inlineStr">
        <is>
          <t>Furniture</t>
        </is>
      </c>
      <c r="F782" s="7" t="inlineStr">
        <is>
          <t>Desks &amp; Workstations</t>
        </is>
      </c>
      <c r="G782" s="7" t="inlineStr">
        <is>
          <t>Central</t>
        </is>
      </c>
      <c r="H782" s="7" t="inlineStr">
        <is>
          <t>Texas</t>
        </is>
      </c>
      <c r="I782" s="7" t="inlineStr">
        <is>
          <t>Online</t>
        </is>
      </c>
      <c r="J782" s="7" t="inlineStr">
        <is>
          <t>Home Office</t>
        </is>
      </c>
      <c r="K782" s="12" t="n">
        <v>2</v>
      </c>
      <c r="L782" s="9" t="n">
        <v>329.99</v>
      </c>
      <c r="M782" s="10" t="n">
        <v>0</v>
      </c>
      <c r="N782" s="9" t="n">
        <v>250.79</v>
      </c>
      <c r="O782" s="9">
        <f>K782*L782</f>
        <v/>
      </c>
      <c r="P782" s="9">
        <f>O782*M782</f>
        <v/>
      </c>
      <c r="Q782" s="9">
        <f>O782-P782</f>
        <v/>
      </c>
      <c r="R782" s="9">
        <f>K782*N782</f>
        <v/>
      </c>
      <c r="S782" s="9">
        <f>Q782-R782</f>
        <v/>
      </c>
      <c r="T782" s="10">
        <f>IFERROR(S782/Q782, 0)</f>
        <v/>
      </c>
    </row>
    <row r="783">
      <c r="A783" s="11" t="inlineStr">
        <is>
          <t>ORD-2024-1185</t>
        </is>
      </c>
      <c r="B783" s="11" t="inlineStr">
        <is>
          <t>2024-11-10</t>
        </is>
      </c>
      <c r="C783" s="11" t="inlineStr">
        <is>
          <t>OFF-ART-006</t>
        </is>
      </c>
      <c r="D783" s="7" t="inlineStr">
        <is>
          <t>Professional Presentation Dry Erase Board</t>
        </is>
      </c>
      <c r="E783" s="7" t="inlineStr">
        <is>
          <t>Office Supplies</t>
        </is>
      </c>
      <c r="F783" s="7" t="inlineStr">
        <is>
          <t>Presentation &amp; Art</t>
        </is>
      </c>
      <c r="G783" s="7" t="inlineStr">
        <is>
          <t>West</t>
        </is>
      </c>
      <c r="H783" s="7" t="inlineStr">
        <is>
          <t>California</t>
        </is>
      </c>
      <c r="I783" s="7" t="inlineStr">
        <is>
          <t>Retail Partner</t>
        </is>
      </c>
      <c r="J783" s="7" t="inlineStr">
        <is>
          <t>Corporate</t>
        </is>
      </c>
      <c r="K783" s="12" t="n">
        <v>7</v>
      </c>
      <c r="L783" s="9" t="n">
        <v>89.98999999999999</v>
      </c>
      <c r="M783" s="10" t="n">
        <v>0</v>
      </c>
      <c r="N783" s="9" t="n">
        <v>53.99</v>
      </c>
      <c r="O783" s="9">
        <f>K783*L783</f>
        <v/>
      </c>
      <c r="P783" s="9">
        <f>O783*M783</f>
        <v/>
      </c>
      <c r="Q783" s="9">
        <f>O783-P783</f>
        <v/>
      </c>
      <c r="R783" s="9">
        <f>K783*N783</f>
        <v/>
      </c>
      <c r="S783" s="9">
        <f>Q783-R783</f>
        <v/>
      </c>
      <c r="T783" s="10">
        <f>IFERROR(S783/Q783, 0)</f>
        <v/>
      </c>
    </row>
    <row r="784">
      <c r="A784" s="11" t="inlineStr">
        <is>
          <t>ORD-2024-1185</t>
        </is>
      </c>
      <c r="B784" s="11" t="inlineStr">
        <is>
          <t>2024-11-10</t>
        </is>
      </c>
      <c r="C784" s="11" t="inlineStr">
        <is>
          <t>TEC-TAB-004</t>
        </is>
      </c>
      <c r="D784" s="7" t="inlineStr">
        <is>
          <t>VisionPad Lite 8.5"</t>
        </is>
      </c>
      <c r="E784" s="7" t="inlineStr">
        <is>
          <t>Technology</t>
        </is>
      </c>
      <c r="F784" s="7" t="inlineStr">
        <is>
          <t>Phones &amp; Tablets</t>
        </is>
      </c>
      <c r="G784" s="7" t="inlineStr">
        <is>
          <t>West</t>
        </is>
      </c>
      <c r="H784" s="7" t="inlineStr">
        <is>
          <t>California</t>
        </is>
      </c>
      <c r="I784" s="7" t="inlineStr">
        <is>
          <t>Retail Partner</t>
        </is>
      </c>
      <c r="J784" s="7" t="inlineStr">
        <is>
          <t>Corporate</t>
        </is>
      </c>
      <c r="K784" s="12" t="n">
        <v>8</v>
      </c>
      <c r="L784" s="9" t="n">
        <v>299.99</v>
      </c>
      <c r="M784" s="10" t="n">
        <v>0.1</v>
      </c>
      <c r="N784" s="9" t="n">
        <v>245.99</v>
      </c>
      <c r="O784" s="9">
        <f>K784*L784</f>
        <v/>
      </c>
      <c r="P784" s="9">
        <f>O784*M784</f>
        <v/>
      </c>
      <c r="Q784" s="9">
        <f>O784-P784</f>
        <v/>
      </c>
      <c r="R784" s="9">
        <f>K784*N784</f>
        <v/>
      </c>
      <c r="S784" s="9">
        <f>Q784-R784</f>
        <v/>
      </c>
      <c r="T784" s="10">
        <f>IFERROR(S784/Q784, 0)</f>
        <v/>
      </c>
    </row>
    <row r="785">
      <c r="A785" s="11" t="inlineStr">
        <is>
          <t>ORD-2024-1185</t>
        </is>
      </c>
      <c r="B785" s="11" t="inlineStr">
        <is>
          <t>2024-11-10</t>
        </is>
      </c>
      <c r="C785" s="11" t="inlineStr">
        <is>
          <t>TEC-ACC-007</t>
        </is>
      </c>
      <c r="D785" s="7" t="inlineStr">
        <is>
          <t>ErgoMechanical Wireless Keyboard</t>
        </is>
      </c>
      <c r="E785" s="7" t="inlineStr">
        <is>
          <t>Technology</t>
        </is>
      </c>
      <c r="F785" s="7" t="inlineStr">
        <is>
          <t>Audio &amp; Accessories</t>
        </is>
      </c>
      <c r="G785" s="7" t="inlineStr">
        <is>
          <t>West</t>
        </is>
      </c>
      <c r="H785" s="7" t="inlineStr">
        <is>
          <t>California</t>
        </is>
      </c>
      <c r="I785" s="7" t="inlineStr">
        <is>
          <t>Retail Partner</t>
        </is>
      </c>
      <c r="J785" s="7" t="inlineStr">
        <is>
          <t>Corporate</t>
        </is>
      </c>
      <c r="K785" s="12" t="n">
        <v>7</v>
      </c>
      <c r="L785" s="9" t="n">
        <v>109.99</v>
      </c>
      <c r="M785" s="10" t="n">
        <v>0.2</v>
      </c>
      <c r="N785" s="9" t="n">
        <v>65.98999999999999</v>
      </c>
      <c r="O785" s="9">
        <f>K785*L785</f>
        <v/>
      </c>
      <c r="P785" s="9">
        <f>O785*M785</f>
        <v/>
      </c>
      <c r="Q785" s="9">
        <f>O785-P785</f>
        <v/>
      </c>
      <c r="R785" s="9">
        <f>K785*N785</f>
        <v/>
      </c>
      <c r="S785" s="9">
        <f>Q785-R785</f>
        <v/>
      </c>
      <c r="T785" s="10">
        <f>IFERROR(S785/Q785, 0)</f>
        <v/>
      </c>
    </row>
    <row r="786">
      <c r="A786" s="11" t="inlineStr">
        <is>
          <t>ORD-2024-1355</t>
        </is>
      </c>
      <c r="B786" s="11" t="inlineStr">
        <is>
          <t>2024-11-10</t>
        </is>
      </c>
      <c r="C786" s="11" t="inlineStr">
        <is>
          <t>OFF-DSK-008</t>
        </is>
      </c>
      <c r="D786" s="7" t="inlineStr">
        <is>
          <t>Steel Desktop Mesh Organizer Caddy</t>
        </is>
      </c>
      <c r="E786" s="7" t="inlineStr">
        <is>
          <t>Office Supplies</t>
        </is>
      </c>
      <c r="F786" s="7" t="inlineStr">
        <is>
          <t>Desk Supplies</t>
        </is>
      </c>
      <c r="G786" s="7" t="inlineStr">
        <is>
          <t>East</t>
        </is>
      </c>
      <c r="H786" s="7" t="inlineStr">
        <is>
          <t>Massachusetts</t>
        </is>
      </c>
      <c r="I786" s="7" t="inlineStr">
        <is>
          <t>Wholesale</t>
        </is>
      </c>
      <c r="J786" s="7" t="inlineStr">
        <is>
          <t>Consumer</t>
        </is>
      </c>
      <c r="K786" s="12" t="n">
        <v>14</v>
      </c>
      <c r="L786" s="9" t="n">
        <v>18.99</v>
      </c>
      <c r="M786" s="10" t="n">
        <v>0.15</v>
      </c>
      <c r="N786" s="9" t="n">
        <v>8.550000000000001</v>
      </c>
      <c r="O786" s="9">
        <f>K786*L786</f>
        <v/>
      </c>
      <c r="P786" s="9">
        <f>O786*M786</f>
        <v/>
      </c>
      <c r="Q786" s="9">
        <f>O786-P786</f>
        <v/>
      </c>
      <c r="R786" s="9">
        <f>K786*N786</f>
        <v/>
      </c>
      <c r="S786" s="9">
        <f>Q786-R786</f>
        <v/>
      </c>
      <c r="T786" s="10">
        <f>IFERROR(S786/Q786, 0)</f>
        <v/>
      </c>
    </row>
    <row r="787">
      <c r="A787" s="11" t="inlineStr">
        <is>
          <t>ORD-2024-1370</t>
        </is>
      </c>
      <c r="B787" s="11" t="inlineStr">
        <is>
          <t>2024-11-10</t>
        </is>
      </c>
      <c r="C787" s="11" t="inlineStr">
        <is>
          <t>TEC-ACC-007</t>
        </is>
      </c>
      <c r="D787" s="7" t="inlineStr">
        <is>
          <t>ErgoMechanical Wireless Keyboard</t>
        </is>
      </c>
      <c r="E787" s="7" t="inlineStr">
        <is>
          <t>Technology</t>
        </is>
      </c>
      <c r="F787" s="7" t="inlineStr">
        <is>
          <t>Audio &amp; Accessories</t>
        </is>
      </c>
      <c r="G787" s="7" t="inlineStr">
        <is>
          <t>West</t>
        </is>
      </c>
      <c r="H787" s="7" t="inlineStr">
        <is>
          <t>Colorado</t>
        </is>
      </c>
      <c r="I787" s="7" t="inlineStr">
        <is>
          <t>Wholesale</t>
        </is>
      </c>
      <c r="J787" s="7" t="inlineStr">
        <is>
          <t>Consumer</t>
        </is>
      </c>
      <c r="K787" s="12" t="n">
        <v>10</v>
      </c>
      <c r="L787" s="9" t="n">
        <v>109.99</v>
      </c>
      <c r="M787" s="10" t="n">
        <v>0.1</v>
      </c>
      <c r="N787" s="9" t="n">
        <v>65.98999999999999</v>
      </c>
      <c r="O787" s="9">
        <f>K787*L787</f>
        <v/>
      </c>
      <c r="P787" s="9">
        <f>O787*M787</f>
        <v/>
      </c>
      <c r="Q787" s="9">
        <f>O787-P787</f>
        <v/>
      </c>
      <c r="R787" s="9">
        <f>K787*N787</f>
        <v/>
      </c>
      <c r="S787" s="9">
        <f>Q787-R787</f>
        <v/>
      </c>
      <c r="T787" s="10">
        <f>IFERROR(S787/Q787, 0)</f>
        <v/>
      </c>
    </row>
    <row r="788">
      <c r="A788" s="11" t="inlineStr">
        <is>
          <t>ORD-2024-1297</t>
        </is>
      </c>
      <c r="B788" s="11" t="inlineStr">
        <is>
          <t>2024-11-11</t>
        </is>
      </c>
      <c r="C788" s="11" t="inlineStr">
        <is>
          <t>FUR-BOK-005</t>
        </is>
      </c>
      <c r="D788" s="7" t="inlineStr">
        <is>
          <t>Modular 5-Tier Steel Bookcase</t>
        </is>
      </c>
      <c r="E788" s="7" t="inlineStr">
        <is>
          <t>Furniture</t>
        </is>
      </c>
      <c r="F788" s="7" t="inlineStr">
        <is>
          <t>Bookcases</t>
        </is>
      </c>
      <c r="G788" s="7" t="inlineStr">
        <is>
          <t>East</t>
        </is>
      </c>
      <c r="H788" s="7" t="inlineStr">
        <is>
          <t>New Jersey</t>
        </is>
      </c>
      <c r="I788" s="7" t="inlineStr">
        <is>
          <t>Online</t>
        </is>
      </c>
      <c r="J788" s="7" t="inlineStr">
        <is>
          <t>Consumer</t>
        </is>
      </c>
      <c r="K788" s="12" t="n">
        <v>4</v>
      </c>
      <c r="L788" s="9" t="n">
        <v>189.99</v>
      </c>
      <c r="M788" s="10" t="n">
        <v>0.05</v>
      </c>
      <c r="N788" s="9" t="n">
        <v>142.49</v>
      </c>
      <c r="O788" s="9">
        <f>K788*L788</f>
        <v/>
      </c>
      <c r="P788" s="9">
        <f>O788*M788</f>
        <v/>
      </c>
      <c r="Q788" s="9">
        <f>O788-P788</f>
        <v/>
      </c>
      <c r="R788" s="9">
        <f>K788*N788</f>
        <v/>
      </c>
      <c r="S788" s="9">
        <f>Q788-R788</f>
        <v/>
      </c>
      <c r="T788" s="10">
        <f>IFERROR(S788/Q788, 0)</f>
        <v/>
      </c>
    </row>
    <row r="789">
      <c r="A789" s="11" t="inlineStr">
        <is>
          <t>ORD-2024-1297</t>
        </is>
      </c>
      <c r="B789" s="11" t="inlineStr">
        <is>
          <t>2024-11-11</t>
        </is>
      </c>
      <c r="C789" s="11" t="inlineStr">
        <is>
          <t>TEC-TAB-004</t>
        </is>
      </c>
      <c r="D789" s="7" t="inlineStr">
        <is>
          <t>VisionPad Lite 8.5"</t>
        </is>
      </c>
      <c r="E789" s="7" t="inlineStr">
        <is>
          <t>Technology</t>
        </is>
      </c>
      <c r="F789" s="7" t="inlineStr">
        <is>
          <t>Phones &amp; Tablets</t>
        </is>
      </c>
      <c r="G789" s="7" t="inlineStr">
        <is>
          <t>East</t>
        </is>
      </c>
      <c r="H789" s="7" t="inlineStr">
        <is>
          <t>New Jersey</t>
        </is>
      </c>
      <c r="I789" s="7" t="inlineStr">
        <is>
          <t>Online</t>
        </is>
      </c>
      <c r="J789" s="7" t="inlineStr">
        <is>
          <t>Consumer</t>
        </is>
      </c>
      <c r="K789" s="12" t="n">
        <v>3</v>
      </c>
      <c r="L789" s="9" t="n">
        <v>299.99</v>
      </c>
      <c r="M789" s="10" t="n">
        <v>0</v>
      </c>
      <c r="N789" s="9" t="n">
        <v>245.99</v>
      </c>
      <c r="O789" s="9">
        <f>K789*L789</f>
        <v/>
      </c>
      <c r="P789" s="9">
        <f>O789*M789</f>
        <v/>
      </c>
      <c r="Q789" s="9">
        <f>O789-P789</f>
        <v/>
      </c>
      <c r="R789" s="9">
        <f>K789*N789</f>
        <v/>
      </c>
      <c r="S789" s="9">
        <f>Q789-R789</f>
        <v/>
      </c>
      <c r="T789" s="10">
        <f>IFERROR(S789/Q789, 0)</f>
        <v/>
      </c>
    </row>
    <row r="790">
      <c r="A790" s="11" t="inlineStr">
        <is>
          <t>ORD-2024-1423</t>
        </is>
      </c>
      <c r="B790" s="11" t="inlineStr">
        <is>
          <t>2024-11-11</t>
        </is>
      </c>
      <c r="C790" s="11" t="inlineStr">
        <is>
          <t>TEC-TAB-003</t>
        </is>
      </c>
      <c r="D790" s="7" t="inlineStr">
        <is>
          <t>VisionPad Pro 11"</t>
        </is>
      </c>
      <c r="E790" s="7" t="inlineStr">
        <is>
          <t>Technology</t>
        </is>
      </c>
      <c r="F790" s="7" t="inlineStr">
        <is>
          <t>Phones &amp; Tablets</t>
        </is>
      </c>
      <c r="G790" s="7" t="inlineStr">
        <is>
          <t>Central</t>
        </is>
      </c>
      <c r="H790" s="7" t="inlineStr">
        <is>
          <t>Ohio</t>
        </is>
      </c>
      <c r="I790" s="7" t="inlineStr">
        <is>
          <t>Direct Sales</t>
        </is>
      </c>
      <c r="J790" s="7" t="inlineStr">
        <is>
          <t>Home Office</t>
        </is>
      </c>
      <c r="K790" s="12" t="n">
        <v>3</v>
      </c>
      <c r="L790" s="9" t="n">
        <v>649.99</v>
      </c>
      <c r="M790" s="10" t="n">
        <v>0</v>
      </c>
      <c r="N790" s="9" t="n">
        <v>487.49</v>
      </c>
      <c r="O790" s="9">
        <f>K790*L790</f>
        <v/>
      </c>
      <c r="P790" s="9">
        <f>O790*M790</f>
        <v/>
      </c>
      <c r="Q790" s="9">
        <f>O790-P790</f>
        <v/>
      </c>
      <c r="R790" s="9">
        <f>K790*N790</f>
        <v/>
      </c>
      <c r="S790" s="9">
        <f>Q790-R790</f>
        <v/>
      </c>
      <c r="T790" s="10">
        <f>IFERROR(S790/Q790, 0)</f>
        <v/>
      </c>
    </row>
    <row r="791">
      <c r="A791" s="11" t="inlineStr">
        <is>
          <t>ORD-2024-1245</t>
        </is>
      </c>
      <c r="B791" s="11" t="inlineStr">
        <is>
          <t>2024-11-12</t>
        </is>
      </c>
      <c r="C791" s="11" t="inlineStr">
        <is>
          <t>OFF-DSK-007</t>
        </is>
      </c>
      <c r="D791" s="7" t="inlineStr">
        <is>
          <t>Gel Ergo Mouse Pad &amp; Wrist Rest Combo</t>
        </is>
      </c>
      <c r="E791" s="7" t="inlineStr">
        <is>
          <t>Office Supplies</t>
        </is>
      </c>
      <c r="F791" s="7" t="inlineStr">
        <is>
          <t>Desk Supplies</t>
        </is>
      </c>
      <c r="G791" s="7" t="inlineStr">
        <is>
          <t>West</t>
        </is>
      </c>
      <c r="H791" s="7" t="inlineStr">
        <is>
          <t>Oregon</t>
        </is>
      </c>
      <c r="I791" s="7" t="inlineStr">
        <is>
          <t>Retail Partner</t>
        </is>
      </c>
      <c r="J791" s="7" t="inlineStr">
        <is>
          <t>Consumer</t>
        </is>
      </c>
      <c r="K791" s="12" t="n">
        <v>4</v>
      </c>
      <c r="L791" s="9" t="n">
        <v>21.99</v>
      </c>
      <c r="M791" s="10" t="n">
        <v>0</v>
      </c>
      <c r="N791" s="9" t="n">
        <v>10.56</v>
      </c>
      <c r="O791" s="9">
        <f>K791*L791</f>
        <v/>
      </c>
      <c r="P791" s="9">
        <f>O791*M791</f>
        <v/>
      </c>
      <c r="Q791" s="9">
        <f>O791-P791</f>
        <v/>
      </c>
      <c r="R791" s="9">
        <f>K791*N791</f>
        <v/>
      </c>
      <c r="S791" s="9">
        <f>Q791-R791</f>
        <v/>
      </c>
      <c r="T791" s="10">
        <f>IFERROR(S791/Q791, 0)</f>
        <v/>
      </c>
    </row>
    <row r="792">
      <c r="A792" s="11" t="inlineStr">
        <is>
          <t>ORD-2024-1307</t>
        </is>
      </c>
      <c r="B792" s="11" t="inlineStr">
        <is>
          <t>2024-11-12</t>
        </is>
      </c>
      <c r="C792" s="11" t="inlineStr">
        <is>
          <t>FUR-CHA-001</t>
        </is>
      </c>
      <c r="D792" s="7" t="inlineStr">
        <is>
          <t>ErgoFlex Executive Mesh Chair</t>
        </is>
      </c>
      <c r="E792" s="7" t="inlineStr">
        <is>
          <t>Furniture</t>
        </is>
      </c>
      <c r="F792" s="7" t="inlineStr">
        <is>
          <t>Chairs</t>
        </is>
      </c>
      <c r="G792" s="7" t="inlineStr">
        <is>
          <t>West</t>
        </is>
      </c>
      <c r="H792" s="7" t="inlineStr">
        <is>
          <t>California</t>
        </is>
      </c>
      <c r="I792" s="7" t="inlineStr">
        <is>
          <t>Online</t>
        </is>
      </c>
      <c r="J792" s="7" t="inlineStr">
        <is>
          <t>Home Office</t>
        </is>
      </c>
      <c r="K792" s="12" t="n">
        <v>2</v>
      </c>
      <c r="L792" s="9" t="n">
        <v>389.99</v>
      </c>
      <c r="M792" s="10" t="n">
        <v>0.1</v>
      </c>
      <c r="N792" s="9" t="n">
        <v>331.49</v>
      </c>
      <c r="O792" s="9">
        <f>K792*L792</f>
        <v/>
      </c>
      <c r="P792" s="9">
        <f>O792*M792</f>
        <v/>
      </c>
      <c r="Q792" s="9">
        <f>O792-P792</f>
        <v/>
      </c>
      <c r="R792" s="9">
        <f>K792*N792</f>
        <v/>
      </c>
      <c r="S792" s="9">
        <f>Q792-R792</f>
        <v/>
      </c>
      <c r="T792" s="10">
        <f>IFERROR(S792/Q792, 0)</f>
        <v/>
      </c>
    </row>
    <row r="793">
      <c r="A793" s="11" t="inlineStr">
        <is>
          <t>ORD-2024-1415</t>
        </is>
      </c>
      <c r="B793" s="11" t="inlineStr">
        <is>
          <t>2024-11-12</t>
        </is>
      </c>
      <c r="C793" s="11" t="inlineStr">
        <is>
          <t>OFF-BIN-005</t>
        </is>
      </c>
      <c r="D793" s="7" t="inlineStr">
        <is>
          <t>Heavy-Duty D-Ring Presentation Binder (6-Pk)</t>
        </is>
      </c>
      <c r="E793" s="7" t="inlineStr">
        <is>
          <t>Office Supplies</t>
        </is>
      </c>
      <c r="F793" s="7" t="inlineStr">
        <is>
          <t>Binders &amp; Fasteners</t>
        </is>
      </c>
      <c r="G793" s="7" t="inlineStr">
        <is>
          <t>Central</t>
        </is>
      </c>
      <c r="H793" s="7" t="inlineStr">
        <is>
          <t>Michigan</t>
        </is>
      </c>
      <c r="I793" s="7" t="inlineStr">
        <is>
          <t>Online</t>
        </is>
      </c>
      <c r="J793" s="7" t="inlineStr">
        <is>
          <t>Consumer</t>
        </is>
      </c>
      <c r="K793" s="12" t="n">
        <v>1</v>
      </c>
      <c r="L793" s="9" t="n">
        <v>27.99</v>
      </c>
      <c r="M793" s="10" t="n">
        <v>0.05</v>
      </c>
      <c r="N793" s="9" t="n">
        <v>13.99</v>
      </c>
      <c r="O793" s="9">
        <f>K793*L793</f>
        <v/>
      </c>
      <c r="P793" s="9">
        <f>O793*M793</f>
        <v/>
      </c>
      <c r="Q793" s="9">
        <f>O793-P793</f>
        <v/>
      </c>
      <c r="R793" s="9">
        <f>K793*N793</f>
        <v/>
      </c>
      <c r="S793" s="9">
        <f>Q793-R793</f>
        <v/>
      </c>
      <c r="T793" s="10">
        <f>IFERROR(S793/Q793, 0)</f>
        <v/>
      </c>
    </row>
    <row r="794">
      <c r="A794" s="11" t="inlineStr">
        <is>
          <t>ORD-2024-1415</t>
        </is>
      </c>
      <c r="B794" s="11" t="inlineStr">
        <is>
          <t>2024-11-12</t>
        </is>
      </c>
      <c r="C794" s="11" t="inlineStr">
        <is>
          <t>OFF-ART-006</t>
        </is>
      </c>
      <c r="D794" s="7" t="inlineStr">
        <is>
          <t>Professional Presentation Dry Erase Board</t>
        </is>
      </c>
      <c r="E794" s="7" t="inlineStr">
        <is>
          <t>Office Supplies</t>
        </is>
      </c>
      <c r="F794" s="7" t="inlineStr">
        <is>
          <t>Presentation &amp; Art</t>
        </is>
      </c>
      <c r="G794" s="7" t="inlineStr">
        <is>
          <t>Central</t>
        </is>
      </c>
      <c r="H794" s="7" t="inlineStr">
        <is>
          <t>Michigan</t>
        </is>
      </c>
      <c r="I794" s="7" t="inlineStr">
        <is>
          <t>Online</t>
        </is>
      </c>
      <c r="J794" s="7" t="inlineStr">
        <is>
          <t>Consumer</t>
        </is>
      </c>
      <c r="K794" s="12" t="n">
        <v>2</v>
      </c>
      <c r="L794" s="9" t="n">
        <v>89.98999999999999</v>
      </c>
      <c r="M794" s="10" t="n">
        <v>0.05</v>
      </c>
      <c r="N794" s="9" t="n">
        <v>53.99</v>
      </c>
      <c r="O794" s="9">
        <f>K794*L794</f>
        <v/>
      </c>
      <c r="P794" s="9">
        <f>O794*M794</f>
        <v/>
      </c>
      <c r="Q794" s="9">
        <f>O794-P794</f>
        <v/>
      </c>
      <c r="R794" s="9">
        <f>K794*N794</f>
        <v/>
      </c>
      <c r="S794" s="9">
        <f>Q794-R794</f>
        <v/>
      </c>
      <c r="T794" s="10">
        <f>IFERROR(S794/Q794, 0)</f>
        <v/>
      </c>
    </row>
    <row r="795">
      <c r="A795" s="11" t="inlineStr">
        <is>
          <t>ORD-2024-1415</t>
        </is>
      </c>
      <c r="B795" s="11" t="inlineStr">
        <is>
          <t>2024-11-12</t>
        </is>
      </c>
      <c r="C795" s="11" t="inlineStr">
        <is>
          <t>OFF-DSK-008</t>
        </is>
      </c>
      <c r="D795" s="7" t="inlineStr">
        <is>
          <t>Steel Desktop Mesh Organizer Caddy</t>
        </is>
      </c>
      <c r="E795" s="7" t="inlineStr">
        <is>
          <t>Office Supplies</t>
        </is>
      </c>
      <c r="F795" s="7" t="inlineStr">
        <is>
          <t>Desk Supplies</t>
        </is>
      </c>
      <c r="G795" s="7" t="inlineStr">
        <is>
          <t>Central</t>
        </is>
      </c>
      <c r="H795" s="7" t="inlineStr">
        <is>
          <t>Michigan</t>
        </is>
      </c>
      <c r="I795" s="7" t="inlineStr">
        <is>
          <t>Online</t>
        </is>
      </c>
      <c r="J795" s="7" t="inlineStr">
        <is>
          <t>Consumer</t>
        </is>
      </c>
      <c r="K795" s="12" t="n">
        <v>4</v>
      </c>
      <c r="L795" s="9" t="n">
        <v>18.99</v>
      </c>
      <c r="M795" s="10" t="n">
        <v>0.05</v>
      </c>
      <c r="N795" s="9" t="n">
        <v>8.550000000000001</v>
      </c>
      <c r="O795" s="9">
        <f>K795*L795</f>
        <v/>
      </c>
      <c r="P795" s="9">
        <f>O795*M795</f>
        <v/>
      </c>
      <c r="Q795" s="9">
        <f>O795-P795</f>
        <v/>
      </c>
      <c r="R795" s="9">
        <f>K795*N795</f>
        <v/>
      </c>
      <c r="S795" s="9">
        <f>Q795-R795</f>
        <v/>
      </c>
      <c r="T795" s="10">
        <f>IFERROR(S795/Q795, 0)</f>
        <v/>
      </c>
    </row>
    <row r="796">
      <c r="A796" s="11" t="inlineStr">
        <is>
          <t>ORD-2024-1680</t>
        </is>
      </c>
      <c r="B796" s="11" t="inlineStr">
        <is>
          <t>2024-11-12</t>
        </is>
      </c>
      <c r="C796" s="11" t="inlineStr">
        <is>
          <t>OFF-STR-001</t>
        </is>
      </c>
      <c r="D796" s="7" t="inlineStr">
        <is>
          <t>SteelLock 3-Drawer File Cabinet</t>
        </is>
      </c>
      <c r="E796" s="7" t="inlineStr">
        <is>
          <t>Office Supplies</t>
        </is>
      </c>
      <c r="F796" s="7" t="inlineStr">
        <is>
          <t>Storage &amp; Organizers</t>
        </is>
      </c>
      <c r="G796" s="7" t="inlineStr">
        <is>
          <t>South</t>
        </is>
      </c>
      <c r="H796" s="7" t="inlineStr">
        <is>
          <t>Florida</t>
        </is>
      </c>
      <c r="I796" s="7" t="inlineStr">
        <is>
          <t>Online</t>
        </is>
      </c>
      <c r="J796" s="7" t="inlineStr">
        <is>
          <t>Home Office</t>
        </is>
      </c>
      <c r="K796" s="12" t="n">
        <v>1</v>
      </c>
      <c r="L796" s="9" t="n">
        <v>169.99</v>
      </c>
      <c r="M796" s="10" t="n">
        <v>0.15</v>
      </c>
      <c r="N796" s="9" t="n">
        <v>115.59</v>
      </c>
      <c r="O796" s="9">
        <f>K796*L796</f>
        <v/>
      </c>
      <c r="P796" s="9">
        <f>O796*M796</f>
        <v/>
      </c>
      <c r="Q796" s="9">
        <f>O796-P796</f>
        <v/>
      </c>
      <c r="R796" s="9">
        <f>K796*N796</f>
        <v/>
      </c>
      <c r="S796" s="9">
        <f>Q796-R796</f>
        <v/>
      </c>
      <c r="T796" s="10">
        <f>IFERROR(S796/Q796, 0)</f>
        <v/>
      </c>
    </row>
    <row r="797">
      <c r="A797" s="11" t="inlineStr">
        <is>
          <t>ORD-2024-1019</t>
        </is>
      </c>
      <c r="B797" s="11" t="inlineStr">
        <is>
          <t>2024-11-13</t>
        </is>
      </c>
      <c r="C797" s="11" t="inlineStr">
        <is>
          <t>OFF-DSK-007</t>
        </is>
      </c>
      <c r="D797" s="7" t="inlineStr">
        <is>
          <t>Gel Ergo Mouse Pad &amp; Wrist Rest Combo</t>
        </is>
      </c>
      <c r="E797" s="7" t="inlineStr">
        <is>
          <t>Office Supplies</t>
        </is>
      </c>
      <c r="F797" s="7" t="inlineStr">
        <is>
          <t>Desk Supplies</t>
        </is>
      </c>
      <c r="G797" s="7" t="inlineStr">
        <is>
          <t>West</t>
        </is>
      </c>
      <c r="H797" s="7" t="inlineStr">
        <is>
          <t>Oregon</t>
        </is>
      </c>
      <c r="I797" s="7" t="inlineStr">
        <is>
          <t>Wholesale</t>
        </is>
      </c>
      <c r="J797" s="7" t="inlineStr">
        <is>
          <t>Corporate</t>
        </is>
      </c>
      <c r="K797" s="12" t="n">
        <v>13</v>
      </c>
      <c r="L797" s="9" t="n">
        <v>21.99</v>
      </c>
      <c r="M797" s="10" t="n">
        <v>0.2</v>
      </c>
      <c r="N797" s="9" t="n">
        <v>10.56</v>
      </c>
      <c r="O797" s="9">
        <f>K797*L797</f>
        <v/>
      </c>
      <c r="P797" s="9">
        <f>O797*M797</f>
        <v/>
      </c>
      <c r="Q797" s="9">
        <f>O797-P797</f>
        <v/>
      </c>
      <c r="R797" s="9">
        <f>K797*N797</f>
        <v/>
      </c>
      <c r="S797" s="9">
        <f>Q797-R797</f>
        <v/>
      </c>
      <c r="T797" s="10">
        <f>IFERROR(S797/Q797, 0)</f>
        <v/>
      </c>
    </row>
    <row r="798">
      <c r="A798" s="11" t="inlineStr">
        <is>
          <t>ORD-2024-1019</t>
        </is>
      </c>
      <c r="B798" s="11" t="inlineStr">
        <is>
          <t>2024-11-13</t>
        </is>
      </c>
      <c r="C798" s="11" t="inlineStr">
        <is>
          <t>TEC-ACC-008</t>
        </is>
      </c>
      <c r="D798" s="7" t="inlineStr">
        <is>
          <t>Precision Laser Bluetooth Mouse</t>
        </is>
      </c>
      <c r="E798" s="7" t="inlineStr">
        <is>
          <t>Technology</t>
        </is>
      </c>
      <c r="F798" s="7" t="inlineStr">
        <is>
          <t>Audio &amp; Accessories</t>
        </is>
      </c>
      <c r="G798" s="7" t="inlineStr">
        <is>
          <t>West</t>
        </is>
      </c>
      <c r="H798" s="7" t="inlineStr">
        <is>
          <t>Oregon</t>
        </is>
      </c>
      <c r="I798" s="7" t="inlineStr">
        <is>
          <t>Wholesale</t>
        </is>
      </c>
      <c r="J798" s="7" t="inlineStr">
        <is>
          <t>Corporate</t>
        </is>
      </c>
      <c r="K798" s="12" t="n">
        <v>15</v>
      </c>
      <c r="L798" s="9" t="n">
        <v>49.99</v>
      </c>
      <c r="M798" s="10" t="n">
        <v>0.1</v>
      </c>
      <c r="N798" s="9" t="n">
        <v>27.49</v>
      </c>
      <c r="O798" s="9">
        <f>K798*L798</f>
        <v/>
      </c>
      <c r="P798" s="9">
        <f>O798*M798</f>
        <v/>
      </c>
      <c r="Q798" s="9">
        <f>O798-P798</f>
        <v/>
      </c>
      <c r="R798" s="9">
        <f>K798*N798</f>
        <v/>
      </c>
      <c r="S798" s="9">
        <f>Q798-R798</f>
        <v/>
      </c>
      <c r="T798" s="10">
        <f>IFERROR(S798/Q798, 0)</f>
        <v/>
      </c>
    </row>
    <row r="799">
      <c r="A799" s="11" t="inlineStr">
        <is>
          <t>ORD-2024-1059</t>
        </is>
      </c>
      <c r="B799" s="11" t="inlineStr">
        <is>
          <t>2024-11-13</t>
        </is>
      </c>
      <c r="C799" s="11" t="inlineStr">
        <is>
          <t>FUR-BOK-005</t>
        </is>
      </c>
      <c r="D799" s="7" t="inlineStr">
        <is>
          <t>Modular 5-Tier Steel Bookcase</t>
        </is>
      </c>
      <c r="E799" s="7" t="inlineStr">
        <is>
          <t>Furniture</t>
        </is>
      </c>
      <c r="F799" s="7" t="inlineStr">
        <is>
          <t>Bookcases</t>
        </is>
      </c>
      <c r="G799" s="7" t="inlineStr">
        <is>
          <t>West</t>
        </is>
      </c>
      <c r="H799" s="7" t="inlineStr">
        <is>
          <t>California</t>
        </is>
      </c>
      <c r="I799" s="7" t="inlineStr">
        <is>
          <t>Retail Partner</t>
        </is>
      </c>
      <c r="J799" s="7" t="inlineStr">
        <is>
          <t>Consumer</t>
        </is>
      </c>
      <c r="K799" s="12" t="n">
        <v>3</v>
      </c>
      <c r="L799" s="9" t="n">
        <v>189.99</v>
      </c>
      <c r="M799" s="10" t="n">
        <v>0.1</v>
      </c>
      <c r="N799" s="9" t="n">
        <v>142.49</v>
      </c>
      <c r="O799" s="9">
        <f>K799*L799</f>
        <v/>
      </c>
      <c r="P799" s="9">
        <f>O799*M799</f>
        <v/>
      </c>
      <c r="Q799" s="9">
        <f>O799-P799</f>
        <v/>
      </c>
      <c r="R799" s="9">
        <f>K799*N799</f>
        <v/>
      </c>
      <c r="S799" s="9">
        <f>Q799-R799</f>
        <v/>
      </c>
      <c r="T799" s="10">
        <f>IFERROR(S799/Q799, 0)</f>
        <v/>
      </c>
    </row>
    <row r="800">
      <c r="A800" s="11" t="inlineStr">
        <is>
          <t>ORD-2024-1534</t>
        </is>
      </c>
      <c r="B800" s="11" t="inlineStr">
        <is>
          <t>2024-11-13</t>
        </is>
      </c>
      <c r="C800" s="11" t="inlineStr">
        <is>
          <t>OFF-DSK-008</t>
        </is>
      </c>
      <c r="D800" s="7" t="inlineStr">
        <is>
          <t>Steel Desktop Mesh Organizer Caddy</t>
        </is>
      </c>
      <c r="E800" s="7" t="inlineStr">
        <is>
          <t>Office Supplies</t>
        </is>
      </c>
      <c r="F800" s="7" t="inlineStr">
        <is>
          <t>Desk Supplies</t>
        </is>
      </c>
      <c r="G800" s="7" t="inlineStr">
        <is>
          <t>West</t>
        </is>
      </c>
      <c r="H800" s="7" t="inlineStr">
        <is>
          <t>California</t>
        </is>
      </c>
      <c r="I800" s="7" t="inlineStr">
        <is>
          <t>Direct Sales</t>
        </is>
      </c>
      <c r="J800" s="7" t="inlineStr">
        <is>
          <t>Consumer</t>
        </is>
      </c>
      <c r="K800" s="12" t="n">
        <v>2</v>
      </c>
      <c r="L800" s="9" t="n">
        <v>18.99</v>
      </c>
      <c r="M800" s="10" t="n">
        <v>0.2</v>
      </c>
      <c r="N800" s="9" t="n">
        <v>8.550000000000001</v>
      </c>
      <c r="O800" s="9">
        <f>K800*L800</f>
        <v/>
      </c>
      <c r="P800" s="9">
        <f>O800*M800</f>
        <v/>
      </c>
      <c r="Q800" s="9">
        <f>O800-P800</f>
        <v/>
      </c>
      <c r="R800" s="9">
        <f>K800*N800</f>
        <v/>
      </c>
      <c r="S800" s="9">
        <f>Q800-R800</f>
        <v/>
      </c>
      <c r="T800" s="10">
        <f>IFERROR(S800/Q800, 0)</f>
        <v/>
      </c>
    </row>
    <row r="801">
      <c r="A801" s="11" t="inlineStr">
        <is>
          <t>ORD-2024-1642</t>
        </is>
      </c>
      <c r="B801" s="11" t="inlineStr">
        <is>
          <t>2024-11-13</t>
        </is>
      </c>
      <c r="C801" s="11" t="inlineStr">
        <is>
          <t>OFF-DSK-008</t>
        </is>
      </c>
      <c r="D801" s="7" t="inlineStr">
        <is>
          <t>Steel Desktop Mesh Organizer Caddy</t>
        </is>
      </c>
      <c r="E801" s="7" t="inlineStr">
        <is>
          <t>Office Supplies</t>
        </is>
      </c>
      <c r="F801" s="7" t="inlineStr">
        <is>
          <t>Desk Supplies</t>
        </is>
      </c>
      <c r="G801" s="7" t="inlineStr">
        <is>
          <t>West</t>
        </is>
      </c>
      <c r="H801" s="7" t="inlineStr">
        <is>
          <t>Colorado</t>
        </is>
      </c>
      <c r="I801" s="7" t="inlineStr">
        <is>
          <t>Online</t>
        </is>
      </c>
      <c r="J801" s="7" t="inlineStr">
        <is>
          <t>Consumer</t>
        </is>
      </c>
      <c r="K801" s="12" t="n">
        <v>2</v>
      </c>
      <c r="L801" s="9" t="n">
        <v>18.99</v>
      </c>
      <c r="M801" s="10" t="n">
        <v>0.15</v>
      </c>
      <c r="N801" s="9" t="n">
        <v>8.550000000000001</v>
      </c>
      <c r="O801" s="9">
        <f>K801*L801</f>
        <v/>
      </c>
      <c r="P801" s="9">
        <f>O801*M801</f>
        <v/>
      </c>
      <c r="Q801" s="9">
        <f>O801-P801</f>
        <v/>
      </c>
      <c r="R801" s="9">
        <f>K801*N801</f>
        <v/>
      </c>
      <c r="S801" s="9">
        <f>Q801-R801</f>
        <v/>
      </c>
      <c r="T801" s="10">
        <f>IFERROR(S801/Q801, 0)</f>
        <v/>
      </c>
    </row>
    <row r="802">
      <c r="A802" s="11" t="inlineStr">
        <is>
          <t>ORD-2024-1298</t>
        </is>
      </c>
      <c r="B802" s="11" t="inlineStr">
        <is>
          <t>2024-11-14</t>
        </is>
      </c>
      <c r="C802" s="11" t="inlineStr">
        <is>
          <t>OFF-DSK-008</t>
        </is>
      </c>
      <c r="D802" s="7" t="inlineStr">
        <is>
          <t>Steel Desktop Mesh Organizer Caddy</t>
        </is>
      </c>
      <c r="E802" s="7" t="inlineStr">
        <is>
          <t>Office Supplies</t>
        </is>
      </c>
      <c r="F802" s="7" t="inlineStr">
        <is>
          <t>Desk Supplies</t>
        </is>
      </c>
      <c r="G802" s="7" t="inlineStr">
        <is>
          <t>West</t>
        </is>
      </c>
      <c r="H802" s="7" t="inlineStr">
        <is>
          <t>Oregon</t>
        </is>
      </c>
      <c r="I802" s="7" t="inlineStr">
        <is>
          <t>Retail Partner</t>
        </is>
      </c>
      <c r="J802" s="7" t="inlineStr">
        <is>
          <t>Consumer</t>
        </is>
      </c>
      <c r="K802" s="12" t="n">
        <v>3</v>
      </c>
      <c r="L802" s="9" t="n">
        <v>18.99</v>
      </c>
      <c r="M802" s="10" t="n">
        <v>0.05</v>
      </c>
      <c r="N802" s="9" t="n">
        <v>8.550000000000001</v>
      </c>
      <c r="O802" s="9">
        <f>K802*L802</f>
        <v/>
      </c>
      <c r="P802" s="9">
        <f>O802*M802</f>
        <v/>
      </c>
      <c r="Q802" s="9">
        <f>O802-P802</f>
        <v/>
      </c>
      <c r="R802" s="9">
        <f>K802*N802</f>
        <v/>
      </c>
      <c r="S802" s="9">
        <f>Q802-R802</f>
        <v/>
      </c>
      <c r="T802" s="10">
        <f>IFERROR(S802/Q802, 0)</f>
        <v/>
      </c>
    </row>
    <row r="803">
      <c r="A803" s="11" t="inlineStr">
        <is>
          <t>ORD-2024-1298</t>
        </is>
      </c>
      <c r="B803" s="11" t="inlineStr">
        <is>
          <t>2024-11-14</t>
        </is>
      </c>
      <c r="C803" s="11" t="inlineStr">
        <is>
          <t>FUR-DSK-004</t>
        </is>
      </c>
      <c r="D803" s="7" t="inlineStr">
        <is>
          <t>Metro Compact Corner Workstation</t>
        </is>
      </c>
      <c r="E803" s="7" t="inlineStr">
        <is>
          <t>Furniture</t>
        </is>
      </c>
      <c r="F803" s="7" t="inlineStr">
        <is>
          <t>Desks &amp; Workstations</t>
        </is>
      </c>
      <c r="G803" s="7" t="inlineStr">
        <is>
          <t>West</t>
        </is>
      </c>
      <c r="H803" s="7" t="inlineStr">
        <is>
          <t>Oregon</t>
        </is>
      </c>
      <c r="I803" s="7" t="inlineStr">
        <is>
          <t>Retail Partner</t>
        </is>
      </c>
      <c r="J803" s="7" t="inlineStr">
        <is>
          <t>Consumer</t>
        </is>
      </c>
      <c r="K803" s="12" t="n">
        <v>2</v>
      </c>
      <c r="L803" s="9" t="n">
        <v>329.99</v>
      </c>
      <c r="M803" s="10" t="n">
        <v>0</v>
      </c>
      <c r="N803" s="9" t="n">
        <v>250.79</v>
      </c>
      <c r="O803" s="9">
        <f>K803*L803</f>
        <v/>
      </c>
      <c r="P803" s="9">
        <f>O803*M803</f>
        <v/>
      </c>
      <c r="Q803" s="9">
        <f>O803-P803</f>
        <v/>
      </c>
      <c r="R803" s="9">
        <f>K803*N803</f>
        <v/>
      </c>
      <c r="S803" s="9">
        <f>Q803-R803</f>
        <v/>
      </c>
      <c r="T803" s="10">
        <f>IFERROR(S803/Q803, 0)</f>
        <v/>
      </c>
    </row>
    <row r="804">
      <c r="A804" s="11" t="inlineStr">
        <is>
          <t>ORD-2024-1298</t>
        </is>
      </c>
      <c r="B804" s="11" t="inlineStr">
        <is>
          <t>2024-11-14</t>
        </is>
      </c>
      <c r="C804" s="11" t="inlineStr">
        <is>
          <t>OFF-DSK-008</t>
        </is>
      </c>
      <c r="D804" s="7" t="inlineStr">
        <is>
          <t>Steel Desktop Mesh Organizer Caddy</t>
        </is>
      </c>
      <c r="E804" s="7" t="inlineStr">
        <is>
          <t>Office Supplies</t>
        </is>
      </c>
      <c r="F804" s="7" t="inlineStr">
        <is>
          <t>Desk Supplies</t>
        </is>
      </c>
      <c r="G804" s="7" t="inlineStr">
        <is>
          <t>West</t>
        </is>
      </c>
      <c r="H804" s="7" t="inlineStr">
        <is>
          <t>Oregon</t>
        </is>
      </c>
      <c r="I804" s="7" t="inlineStr">
        <is>
          <t>Retail Partner</t>
        </is>
      </c>
      <c r="J804" s="7" t="inlineStr">
        <is>
          <t>Consumer</t>
        </is>
      </c>
      <c r="K804" s="12" t="n">
        <v>4</v>
      </c>
      <c r="L804" s="9" t="n">
        <v>18.99</v>
      </c>
      <c r="M804" s="10" t="n">
        <v>0</v>
      </c>
      <c r="N804" s="9" t="n">
        <v>8.550000000000001</v>
      </c>
      <c r="O804" s="9">
        <f>K804*L804</f>
        <v/>
      </c>
      <c r="P804" s="9">
        <f>O804*M804</f>
        <v/>
      </c>
      <c r="Q804" s="9">
        <f>O804-P804</f>
        <v/>
      </c>
      <c r="R804" s="9">
        <f>K804*N804</f>
        <v/>
      </c>
      <c r="S804" s="9">
        <f>Q804-R804</f>
        <v/>
      </c>
      <c r="T804" s="10">
        <f>IFERROR(S804/Q804, 0)</f>
        <v/>
      </c>
    </row>
    <row r="805">
      <c r="A805" s="11" t="inlineStr">
        <is>
          <t>ORD-2024-1165</t>
        </is>
      </c>
      <c r="B805" s="11" t="inlineStr">
        <is>
          <t>2024-11-15</t>
        </is>
      </c>
      <c r="C805" s="11" t="inlineStr">
        <is>
          <t>TEC-TAB-003</t>
        </is>
      </c>
      <c r="D805" s="7" t="inlineStr">
        <is>
          <t>VisionPad Pro 11"</t>
        </is>
      </c>
      <c r="E805" s="7" t="inlineStr">
        <is>
          <t>Technology</t>
        </is>
      </c>
      <c r="F805" s="7" t="inlineStr">
        <is>
          <t>Phones &amp; Tablets</t>
        </is>
      </c>
      <c r="G805" s="7" t="inlineStr">
        <is>
          <t>South</t>
        </is>
      </c>
      <c r="H805" s="7" t="inlineStr">
        <is>
          <t>Florida</t>
        </is>
      </c>
      <c r="I805" s="7" t="inlineStr">
        <is>
          <t>Online</t>
        </is>
      </c>
      <c r="J805" s="7" t="inlineStr">
        <is>
          <t>Corporate</t>
        </is>
      </c>
      <c r="K805" s="12" t="n">
        <v>4</v>
      </c>
      <c r="L805" s="9" t="n">
        <v>649.99</v>
      </c>
      <c r="M805" s="10" t="n">
        <v>0.05</v>
      </c>
      <c r="N805" s="9" t="n">
        <v>487.49</v>
      </c>
      <c r="O805" s="9">
        <f>K805*L805</f>
        <v/>
      </c>
      <c r="P805" s="9">
        <f>O805*M805</f>
        <v/>
      </c>
      <c r="Q805" s="9">
        <f>O805-P805</f>
        <v/>
      </c>
      <c r="R805" s="9">
        <f>K805*N805</f>
        <v/>
      </c>
      <c r="S805" s="9">
        <f>Q805-R805</f>
        <v/>
      </c>
      <c r="T805" s="10">
        <f>IFERROR(S805/Q805, 0)</f>
        <v/>
      </c>
    </row>
    <row r="806">
      <c r="A806" s="11" t="inlineStr">
        <is>
          <t>ORD-2024-1347</t>
        </is>
      </c>
      <c r="B806" s="11" t="inlineStr">
        <is>
          <t>2024-11-15</t>
        </is>
      </c>
      <c r="C806" s="11" t="inlineStr">
        <is>
          <t>FUR-DSK-003</t>
        </is>
      </c>
      <c r="D806" s="7" t="inlineStr">
        <is>
          <t>ApexMotor Dual-Motor Standing Desk</t>
        </is>
      </c>
      <c r="E806" s="7" t="inlineStr">
        <is>
          <t>Furniture</t>
        </is>
      </c>
      <c r="F806" s="7" t="inlineStr">
        <is>
          <t>Desks &amp; Workstations</t>
        </is>
      </c>
      <c r="G806" s="7" t="inlineStr">
        <is>
          <t>Central</t>
        </is>
      </c>
      <c r="H806" s="7" t="inlineStr">
        <is>
          <t>Texas</t>
        </is>
      </c>
      <c r="I806" s="7" t="inlineStr">
        <is>
          <t>Online</t>
        </is>
      </c>
      <c r="J806" s="7" t="inlineStr">
        <is>
          <t>Home Office</t>
        </is>
      </c>
      <c r="K806" s="12" t="n">
        <v>4</v>
      </c>
      <c r="L806" s="9" t="n">
        <v>549.99</v>
      </c>
      <c r="M806" s="10" t="n">
        <v>0</v>
      </c>
      <c r="N806" s="9" t="n">
        <v>439.99</v>
      </c>
      <c r="O806" s="9">
        <f>K806*L806</f>
        <v/>
      </c>
      <c r="P806" s="9">
        <f>O806*M806</f>
        <v/>
      </c>
      <c r="Q806" s="9">
        <f>O806-P806</f>
        <v/>
      </c>
      <c r="R806" s="9">
        <f>K806*N806</f>
        <v/>
      </c>
      <c r="S806" s="9">
        <f>Q806-R806</f>
        <v/>
      </c>
      <c r="T806" s="10">
        <f>IFERROR(S806/Q806, 0)</f>
        <v/>
      </c>
    </row>
    <row r="807">
      <c r="A807" s="11" t="inlineStr">
        <is>
          <t>ORD-2024-1040</t>
        </is>
      </c>
      <c r="B807" s="11" t="inlineStr">
        <is>
          <t>2024-11-16</t>
        </is>
      </c>
      <c r="C807" s="11" t="inlineStr">
        <is>
          <t>FUR-CHA-001</t>
        </is>
      </c>
      <c r="D807" s="7" t="inlineStr">
        <is>
          <t>ErgoFlex Executive Mesh Chair</t>
        </is>
      </c>
      <c r="E807" s="7" t="inlineStr">
        <is>
          <t>Furniture</t>
        </is>
      </c>
      <c r="F807" s="7" t="inlineStr">
        <is>
          <t>Chairs</t>
        </is>
      </c>
      <c r="G807" s="7" t="inlineStr">
        <is>
          <t>West</t>
        </is>
      </c>
      <c r="H807" s="7" t="inlineStr">
        <is>
          <t>Washington</t>
        </is>
      </c>
      <c r="I807" s="7" t="inlineStr">
        <is>
          <t>Online</t>
        </is>
      </c>
      <c r="J807" s="7" t="inlineStr">
        <is>
          <t>Corporate</t>
        </is>
      </c>
      <c r="K807" s="12" t="n">
        <v>6</v>
      </c>
      <c r="L807" s="9" t="n">
        <v>389.99</v>
      </c>
      <c r="M807" s="10" t="n">
        <v>0.15</v>
      </c>
      <c r="N807" s="9" t="n">
        <v>331.49</v>
      </c>
      <c r="O807" s="9">
        <f>K807*L807</f>
        <v/>
      </c>
      <c r="P807" s="9">
        <f>O807*M807</f>
        <v/>
      </c>
      <c r="Q807" s="9">
        <f>O807-P807</f>
        <v/>
      </c>
      <c r="R807" s="9">
        <f>K807*N807</f>
        <v/>
      </c>
      <c r="S807" s="9">
        <f>Q807-R807</f>
        <v/>
      </c>
      <c r="T807" s="10">
        <f>IFERROR(S807/Q807, 0)</f>
        <v/>
      </c>
    </row>
    <row r="808">
      <c r="A808" s="11" t="inlineStr">
        <is>
          <t>ORD-2024-1040</t>
        </is>
      </c>
      <c r="B808" s="11" t="inlineStr">
        <is>
          <t>2024-11-16</t>
        </is>
      </c>
      <c r="C808" s="11" t="inlineStr">
        <is>
          <t>OFF-ART-006</t>
        </is>
      </c>
      <c r="D808" s="7" t="inlineStr">
        <is>
          <t>Professional Presentation Dry Erase Board</t>
        </is>
      </c>
      <c r="E808" s="7" t="inlineStr">
        <is>
          <t>Office Supplies</t>
        </is>
      </c>
      <c r="F808" s="7" t="inlineStr">
        <is>
          <t>Presentation &amp; Art</t>
        </is>
      </c>
      <c r="G808" s="7" t="inlineStr">
        <is>
          <t>West</t>
        </is>
      </c>
      <c r="H808" s="7" t="inlineStr">
        <is>
          <t>Washington</t>
        </is>
      </c>
      <c r="I808" s="7" t="inlineStr">
        <is>
          <t>Online</t>
        </is>
      </c>
      <c r="J808" s="7" t="inlineStr">
        <is>
          <t>Corporate</t>
        </is>
      </c>
      <c r="K808" s="12" t="n">
        <v>5</v>
      </c>
      <c r="L808" s="9" t="n">
        <v>89.98999999999999</v>
      </c>
      <c r="M808" s="10" t="n">
        <v>0.05</v>
      </c>
      <c r="N808" s="9" t="n">
        <v>53.99</v>
      </c>
      <c r="O808" s="9">
        <f>K808*L808</f>
        <v/>
      </c>
      <c r="P808" s="9">
        <f>O808*M808</f>
        <v/>
      </c>
      <c r="Q808" s="9">
        <f>O808-P808</f>
        <v/>
      </c>
      <c r="R808" s="9">
        <f>K808*N808</f>
        <v/>
      </c>
      <c r="S808" s="9">
        <f>Q808-R808</f>
        <v/>
      </c>
      <c r="T808" s="10">
        <f>IFERROR(S808/Q808, 0)</f>
        <v/>
      </c>
    </row>
    <row r="809">
      <c r="A809" s="11" t="inlineStr">
        <is>
          <t>ORD-2024-1040</t>
        </is>
      </c>
      <c r="B809" s="11" t="inlineStr">
        <is>
          <t>2024-11-16</t>
        </is>
      </c>
      <c r="C809" s="11" t="inlineStr">
        <is>
          <t>TEC-ACC-007</t>
        </is>
      </c>
      <c r="D809" s="7" t="inlineStr">
        <is>
          <t>ErgoMechanical Wireless Keyboard</t>
        </is>
      </c>
      <c r="E809" s="7" t="inlineStr">
        <is>
          <t>Technology</t>
        </is>
      </c>
      <c r="F809" s="7" t="inlineStr">
        <is>
          <t>Audio &amp; Accessories</t>
        </is>
      </c>
      <c r="G809" s="7" t="inlineStr">
        <is>
          <t>West</t>
        </is>
      </c>
      <c r="H809" s="7" t="inlineStr">
        <is>
          <t>Washington</t>
        </is>
      </c>
      <c r="I809" s="7" t="inlineStr">
        <is>
          <t>Online</t>
        </is>
      </c>
      <c r="J809" s="7" t="inlineStr">
        <is>
          <t>Corporate</t>
        </is>
      </c>
      <c r="K809" s="12" t="n">
        <v>6</v>
      </c>
      <c r="L809" s="9" t="n">
        <v>109.99</v>
      </c>
      <c r="M809" s="10" t="n">
        <v>0</v>
      </c>
      <c r="N809" s="9" t="n">
        <v>65.98999999999999</v>
      </c>
      <c r="O809" s="9">
        <f>K809*L809</f>
        <v/>
      </c>
      <c r="P809" s="9">
        <f>O809*M809</f>
        <v/>
      </c>
      <c r="Q809" s="9">
        <f>O809-P809</f>
        <v/>
      </c>
      <c r="R809" s="9">
        <f>K809*N809</f>
        <v/>
      </c>
      <c r="S809" s="9">
        <f>Q809-R809</f>
        <v/>
      </c>
      <c r="T809" s="10">
        <f>IFERROR(S809/Q809, 0)</f>
        <v/>
      </c>
    </row>
    <row r="810">
      <c r="A810" s="11" t="inlineStr">
        <is>
          <t>ORD-2024-1346</t>
        </is>
      </c>
      <c r="B810" s="11" t="inlineStr">
        <is>
          <t>2024-11-17</t>
        </is>
      </c>
      <c r="C810" s="11" t="inlineStr">
        <is>
          <t>OFF-STR-001</t>
        </is>
      </c>
      <c r="D810" s="7" t="inlineStr">
        <is>
          <t>SteelLock 3-Drawer File Cabinet</t>
        </is>
      </c>
      <c r="E810" s="7" t="inlineStr">
        <is>
          <t>Office Supplies</t>
        </is>
      </c>
      <c r="F810" s="7" t="inlineStr">
        <is>
          <t>Storage &amp; Organizers</t>
        </is>
      </c>
      <c r="G810" s="7" t="inlineStr">
        <is>
          <t>South</t>
        </is>
      </c>
      <c r="H810" s="7" t="inlineStr">
        <is>
          <t>Virginia</t>
        </is>
      </c>
      <c r="I810" s="7" t="inlineStr">
        <is>
          <t>Online</t>
        </is>
      </c>
      <c r="J810" s="7" t="inlineStr">
        <is>
          <t>Home Office</t>
        </is>
      </c>
      <c r="K810" s="12" t="n">
        <v>1</v>
      </c>
      <c r="L810" s="9" t="n">
        <v>169.99</v>
      </c>
      <c r="M810" s="10" t="n">
        <v>0.15</v>
      </c>
      <c r="N810" s="9" t="n">
        <v>115.59</v>
      </c>
      <c r="O810" s="9">
        <f>K810*L810</f>
        <v/>
      </c>
      <c r="P810" s="9">
        <f>O810*M810</f>
        <v/>
      </c>
      <c r="Q810" s="9">
        <f>O810-P810</f>
        <v/>
      </c>
      <c r="R810" s="9">
        <f>K810*N810</f>
        <v/>
      </c>
      <c r="S810" s="9">
        <f>Q810-R810</f>
        <v/>
      </c>
      <c r="T810" s="10">
        <f>IFERROR(S810/Q810, 0)</f>
        <v/>
      </c>
    </row>
    <row r="811">
      <c r="A811" s="11" t="inlineStr">
        <is>
          <t>ORD-2024-1348</t>
        </is>
      </c>
      <c r="B811" s="11" t="inlineStr">
        <is>
          <t>2024-11-17</t>
        </is>
      </c>
      <c r="C811" s="11" t="inlineStr">
        <is>
          <t>TEC-LAP-002</t>
        </is>
      </c>
      <c r="D811" s="7" t="inlineStr">
        <is>
          <t>Apex Gaming Laptop 17"</t>
        </is>
      </c>
      <c r="E811" s="7" t="inlineStr">
        <is>
          <t>Technology</t>
        </is>
      </c>
      <c r="F811" s="7" t="inlineStr">
        <is>
          <t>Laptops</t>
        </is>
      </c>
      <c r="G811" s="7" t="inlineStr">
        <is>
          <t>West</t>
        </is>
      </c>
      <c r="H811" s="7" t="inlineStr">
        <is>
          <t>Washington</t>
        </is>
      </c>
      <c r="I811" s="7" t="inlineStr">
        <is>
          <t>Wholesale</t>
        </is>
      </c>
      <c r="J811" s="7" t="inlineStr">
        <is>
          <t>Consumer</t>
        </is>
      </c>
      <c r="K811" s="12" t="n">
        <v>12</v>
      </c>
      <c r="L811" s="9" t="n">
        <v>1499.99</v>
      </c>
      <c r="M811" s="10" t="n">
        <v>0.2</v>
      </c>
      <c r="N811" s="9" t="n">
        <v>1259.99</v>
      </c>
      <c r="O811" s="9">
        <f>K811*L811</f>
        <v/>
      </c>
      <c r="P811" s="9">
        <f>O811*M811</f>
        <v/>
      </c>
      <c r="Q811" s="9">
        <f>O811-P811</f>
        <v/>
      </c>
      <c r="R811" s="9">
        <f>K811*N811</f>
        <v/>
      </c>
      <c r="S811" s="9">
        <f>Q811-R811</f>
        <v/>
      </c>
      <c r="T811" s="10">
        <f>IFERROR(S811/Q811, 0)</f>
        <v/>
      </c>
    </row>
    <row r="812">
      <c r="A812" s="11" t="inlineStr">
        <is>
          <t>ORD-2024-1417</t>
        </is>
      </c>
      <c r="B812" s="11" t="inlineStr">
        <is>
          <t>2024-11-17</t>
        </is>
      </c>
      <c r="C812" s="11" t="inlineStr">
        <is>
          <t>FUR-BOK-005</t>
        </is>
      </c>
      <c r="D812" s="7" t="inlineStr">
        <is>
          <t>Modular 5-Tier Steel Bookcase</t>
        </is>
      </c>
      <c r="E812" s="7" t="inlineStr">
        <is>
          <t>Furniture</t>
        </is>
      </c>
      <c r="F812" s="7" t="inlineStr">
        <is>
          <t>Bookcases</t>
        </is>
      </c>
      <c r="G812" s="7" t="inlineStr">
        <is>
          <t>West</t>
        </is>
      </c>
      <c r="H812" s="7" t="inlineStr">
        <is>
          <t>Oregon</t>
        </is>
      </c>
      <c r="I812" s="7" t="inlineStr">
        <is>
          <t>Direct Sales</t>
        </is>
      </c>
      <c r="J812" s="7" t="inlineStr">
        <is>
          <t>Corporate</t>
        </is>
      </c>
      <c r="K812" s="12" t="n">
        <v>4</v>
      </c>
      <c r="L812" s="9" t="n">
        <v>189.99</v>
      </c>
      <c r="M812" s="10" t="n">
        <v>0</v>
      </c>
      <c r="N812" s="9" t="n">
        <v>142.49</v>
      </c>
      <c r="O812" s="9">
        <f>K812*L812</f>
        <v/>
      </c>
      <c r="P812" s="9">
        <f>O812*M812</f>
        <v/>
      </c>
      <c r="Q812" s="9">
        <f>O812-P812</f>
        <v/>
      </c>
      <c r="R812" s="9">
        <f>K812*N812</f>
        <v/>
      </c>
      <c r="S812" s="9">
        <f>Q812-R812</f>
        <v/>
      </c>
      <c r="T812" s="10">
        <f>IFERROR(S812/Q812, 0)</f>
        <v/>
      </c>
    </row>
    <row r="813">
      <c r="A813" s="11" t="inlineStr">
        <is>
          <t>ORD-2024-1417</t>
        </is>
      </c>
      <c r="B813" s="11" t="inlineStr">
        <is>
          <t>2024-11-17</t>
        </is>
      </c>
      <c r="C813" s="11" t="inlineStr">
        <is>
          <t>OFF-DSK-007</t>
        </is>
      </c>
      <c r="D813" s="7" t="inlineStr">
        <is>
          <t>Gel Ergo Mouse Pad &amp; Wrist Rest Combo</t>
        </is>
      </c>
      <c r="E813" s="7" t="inlineStr">
        <is>
          <t>Office Supplies</t>
        </is>
      </c>
      <c r="F813" s="7" t="inlineStr">
        <is>
          <t>Desk Supplies</t>
        </is>
      </c>
      <c r="G813" s="7" t="inlineStr">
        <is>
          <t>West</t>
        </is>
      </c>
      <c r="H813" s="7" t="inlineStr">
        <is>
          <t>Oregon</t>
        </is>
      </c>
      <c r="I813" s="7" t="inlineStr">
        <is>
          <t>Direct Sales</t>
        </is>
      </c>
      <c r="J813" s="7" t="inlineStr">
        <is>
          <t>Corporate</t>
        </is>
      </c>
      <c r="K813" s="12" t="n">
        <v>4</v>
      </c>
      <c r="L813" s="9" t="n">
        <v>21.99</v>
      </c>
      <c r="M813" s="10" t="n">
        <v>0.1</v>
      </c>
      <c r="N813" s="9" t="n">
        <v>10.56</v>
      </c>
      <c r="O813" s="9">
        <f>K813*L813</f>
        <v/>
      </c>
      <c r="P813" s="9">
        <f>O813*M813</f>
        <v/>
      </c>
      <c r="Q813" s="9">
        <f>O813-P813</f>
        <v/>
      </c>
      <c r="R813" s="9">
        <f>K813*N813</f>
        <v/>
      </c>
      <c r="S813" s="9">
        <f>Q813-R813</f>
        <v/>
      </c>
      <c r="T813" s="10">
        <f>IFERROR(S813/Q813, 0)</f>
        <v/>
      </c>
    </row>
    <row r="814">
      <c r="A814" s="11" t="inlineStr">
        <is>
          <t>ORD-2024-1520</t>
        </is>
      </c>
      <c r="B814" s="11" t="inlineStr">
        <is>
          <t>2024-11-17</t>
        </is>
      </c>
      <c r="C814" s="11" t="inlineStr">
        <is>
          <t>OFF-PAP-003</t>
        </is>
      </c>
      <c r="D814" s="7" t="inlineStr">
        <is>
          <t>UltraWhite Premium Multipurpose Paper (Case)</t>
        </is>
      </c>
      <c r="E814" s="7" t="inlineStr">
        <is>
          <t>Office Supplies</t>
        </is>
      </c>
      <c r="F814" s="7" t="inlineStr">
        <is>
          <t>Paper Products</t>
        </is>
      </c>
      <c r="G814" s="7" t="inlineStr">
        <is>
          <t>Central</t>
        </is>
      </c>
      <c r="H814" s="7" t="inlineStr">
        <is>
          <t>Michigan</t>
        </is>
      </c>
      <c r="I814" s="7" t="inlineStr">
        <is>
          <t>Retail Partner</t>
        </is>
      </c>
      <c r="J814" s="7" t="inlineStr">
        <is>
          <t>Consumer</t>
        </is>
      </c>
      <c r="K814" s="12" t="n">
        <v>3</v>
      </c>
      <c r="L814" s="9" t="n">
        <v>54.99</v>
      </c>
      <c r="M814" s="10" t="n">
        <v>0.1</v>
      </c>
      <c r="N814" s="9" t="n">
        <v>31.89</v>
      </c>
      <c r="O814" s="9">
        <f>K814*L814</f>
        <v/>
      </c>
      <c r="P814" s="9">
        <f>O814*M814</f>
        <v/>
      </c>
      <c r="Q814" s="9">
        <f>O814-P814</f>
        <v/>
      </c>
      <c r="R814" s="9">
        <f>K814*N814</f>
        <v/>
      </c>
      <c r="S814" s="9">
        <f>Q814-R814</f>
        <v/>
      </c>
      <c r="T814" s="10">
        <f>IFERROR(S814/Q814, 0)</f>
        <v/>
      </c>
    </row>
    <row r="815">
      <c r="A815" s="11" t="inlineStr">
        <is>
          <t>ORD-2024-1522</t>
        </is>
      </c>
      <c r="B815" s="11" t="inlineStr">
        <is>
          <t>2024-11-18</t>
        </is>
      </c>
      <c r="C815" s="11" t="inlineStr">
        <is>
          <t>OFF-BIN-005</t>
        </is>
      </c>
      <c r="D815" s="7" t="inlineStr">
        <is>
          <t>Heavy-Duty D-Ring Presentation Binder (6-Pk)</t>
        </is>
      </c>
      <c r="E815" s="7" t="inlineStr">
        <is>
          <t>Office Supplies</t>
        </is>
      </c>
      <c r="F815" s="7" t="inlineStr">
        <is>
          <t>Binders &amp; Fasteners</t>
        </is>
      </c>
      <c r="G815" s="7" t="inlineStr">
        <is>
          <t>East</t>
        </is>
      </c>
      <c r="H815" s="7" t="inlineStr">
        <is>
          <t>Pennsylvania</t>
        </is>
      </c>
      <c r="I815" s="7" t="inlineStr">
        <is>
          <t>Retail Partner</t>
        </is>
      </c>
      <c r="J815" s="7" t="inlineStr">
        <is>
          <t>Corporate</t>
        </is>
      </c>
      <c r="K815" s="12" t="n">
        <v>6</v>
      </c>
      <c r="L815" s="9" t="n">
        <v>27.99</v>
      </c>
      <c r="M815" s="10" t="n">
        <v>0.05</v>
      </c>
      <c r="N815" s="9" t="n">
        <v>13.99</v>
      </c>
      <c r="O815" s="9">
        <f>K815*L815</f>
        <v/>
      </c>
      <c r="P815" s="9">
        <f>O815*M815</f>
        <v/>
      </c>
      <c r="Q815" s="9">
        <f>O815-P815</f>
        <v/>
      </c>
      <c r="R815" s="9">
        <f>K815*N815</f>
        <v/>
      </c>
      <c r="S815" s="9">
        <f>Q815-R815</f>
        <v/>
      </c>
      <c r="T815" s="10">
        <f>IFERROR(S815/Q815, 0)</f>
        <v/>
      </c>
    </row>
    <row r="816">
      <c r="A816" s="11" t="inlineStr">
        <is>
          <t>ORD-2024-1522</t>
        </is>
      </c>
      <c r="B816" s="11" t="inlineStr">
        <is>
          <t>2024-11-18</t>
        </is>
      </c>
      <c r="C816" s="11" t="inlineStr">
        <is>
          <t>TEC-ACC-005</t>
        </is>
      </c>
      <c r="D816" s="7" t="inlineStr">
        <is>
          <t>UltraWireless Noise-Canceling Headset</t>
        </is>
      </c>
      <c r="E816" s="7" t="inlineStr">
        <is>
          <t>Technology</t>
        </is>
      </c>
      <c r="F816" s="7" t="inlineStr">
        <is>
          <t>Audio &amp; Accessories</t>
        </is>
      </c>
      <c r="G816" s="7" t="inlineStr">
        <is>
          <t>East</t>
        </is>
      </c>
      <c r="H816" s="7" t="inlineStr">
        <is>
          <t>Pennsylvania</t>
        </is>
      </c>
      <c r="I816" s="7" t="inlineStr">
        <is>
          <t>Retail Partner</t>
        </is>
      </c>
      <c r="J816" s="7" t="inlineStr">
        <is>
          <t>Corporate</t>
        </is>
      </c>
      <c r="K816" s="12" t="n">
        <v>3</v>
      </c>
      <c r="L816" s="9" t="n">
        <v>179.99</v>
      </c>
      <c r="M816" s="10" t="n">
        <v>0</v>
      </c>
      <c r="N816" s="9" t="n">
        <v>111.59</v>
      </c>
      <c r="O816" s="9">
        <f>K816*L816</f>
        <v/>
      </c>
      <c r="P816" s="9">
        <f>O816*M816</f>
        <v/>
      </c>
      <c r="Q816" s="9">
        <f>O816-P816</f>
        <v/>
      </c>
      <c r="R816" s="9">
        <f>K816*N816</f>
        <v/>
      </c>
      <c r="S816" s="9">
        <f>Q816-R816</f>
        <v/>
      </c>
      <c r="T816" s="10">
        <f>IFERROR(S816/Q816, 0)</f>
        <v/>
      </c>
    </row>
    <row r="817">
      <c r="A817" s="11" t="inlineStr">
        <is>
          <t>ORD-2024-1555</t>
        </is>
      </c>
      <c r="B817" s="11" t="inlineStr">
        <is>
          <t>2024-11-18</t>
        </is>
      </c>
      <c r="C817" s="11" t="inlineStr">
        <is>
          <t>FUR-LGT-006</t>
        </is>
      </c>
      <c r="D817" s="7" t="inlineStr">
        <is>
          <t>Architect LED Desk Task Lamp</t>
        </is>
      </c>
      <c r="E817" s="7" t="inlineStr">
        <is>
          <t>Furniture</t>
        </is>
      </c>
      <c r="F817" s="7" t="inlineStr">
        <is>
          <t>Lighting</t>
        </is>
      </c>
      <c r="G817" s="7" t="inlineStr">
        <is>
          <t>West</t>
        </is>
      </c>
      <c r="H817" s="7" t="inlineStr">
        <is>
          <t>Colorado</t>
        </is>
      </c>
      <c r="I817" s="7" t="inlineStr">
        <is>
          <t>Online</t>
        </is>
      </c>
      <c r="J817" s="7" t="inlineStr">
        <is>
          <t>Consumer</t>
        </is>
      </c>
      <c r="K817" s="12" t="n">
        <v>2</v>
      </c>
      <c r="L817" s="9" t="n">
        <v>69.98999999999999</v>
      </c>
      <c r="M817" s="10" t="n">
        <v>0</v>
      </c>
      <c r="N817" s="9" t="n">
        <v>43.39</v>
      </c>
      <c r="O817" s="9">
        <f>K817*L817</f>
        <v/>
      </c>
      <c r="P817" s="9">
        <f>O817*M817</f>
        <v/>
      </c>
      <c r="Q817" s="9">
        <f>O817-P817</f>
        <v/>
      </c>
      <c r="R817" s="9">
        <f>K817*N817</f>
        <v/>
      </c>
      <c r="S817" s="9">
        <f>Q817-R817</f>
        <v/>
      </c>
      <c r="T817" s="10">
        <f>IFERROR(S817/Q817, 0)</f>
        <v/>
      </c>
    </row>
    <row r="818">
      <c r="A818" s="11" t="inlineStr">
        <is>
          <t>ORD-2024-1558</t>
        </is>
      </c>
      <c r="B818" s="11" t="inlineStr">
        <is>
          <t>2024-11-18</t>
        </is>
      </c>
      <c r="C818" s="11" t="inlineStr">
        <is>
          <t>TEC-LAP-002</t>
        </is>
      </c>
      <c r="D818" s="7" t="inlineStr">
        <is>
          <t>Apex Gaming Laptop 17"</t>
        </is>
      </c>
      <c r="E818" s="7" t="inlineStr">
        <is>
          <t>Technology</t>
        </is>
      </c>
      <c r="F818" s="7" t="inlineStr">
        <is>
          <t>Laptops</t>
        </is>
      </c>
      <c r="G818" s="7" t="inlineStr">
        <is>
          <t>West</t>
        </is>
      </c>
      <c r="H818" s="7" t="inlineStr">
        <is>
          <t>Washington</t>
        </is>
      </c>
      <c r="I818" s="7" t="inlineStr">
        <is>
          <t>Direct Sales</t>
        </is>
      </c>
      <c r="J818" s="7" t="inlineStr">
        <is>
          <t>Corporate</t>
        </is>
      </c>
      <c r="K818" s="12" t="n">
        <v>4</v>
      </c>
      <c r="L818" s="9" t="n">
        <v>1499.99</v>
      </c>
      <c r="M818" s="10" t="n">
        <v>0.2</v>
      </c>
      <c r="N818" s="9" t="n">
        <v>1259.99</v>
      </c>
      <c r="O818" s="9">
        <f>K818*L818</f>
        <v/>
      </c>
      <c r="P818" s="9">
        <f>O818*M818</f>
        <v/>
      </c>
      <c r="Q818" s="9">
        <f>O818-P818</f>
        <v/>
      </c>
      <c r="R818" s="9">
        <f>K818*N818</f>
        <v/>
      </c>
      <c r="S818" s="9">
        <f>Q818-R818</f>
        <v/>
      </c>
      <c r="T818" s="10">
        <f>IFERROR(S818/Q818, 0)</f>
        <v/>
      </c>
    </row>
    <row r="819">
      <c r="A819" s="11" t="inlineStr">
        <is>
          <t>ORD-2024-1564</t>
        </is>
      </c>
      <c r="B819" s="11" t="inlineStr">
        <is>
          <t>2024-11-18</t>
        </is>
      </c>
      <c r="C819" s="11" t="inlineStr">
        <is>
          <t>FUR-CHA-002</t>
        </is>
      </c>
      <c r="D819" s="7" t="inlineStr">
        <is>
          <t>AeroTask Operator Task Chair</t>
        </is>
      </c>
      <c r="E819" s="7" t="inlineStr">
        <is>
          <t>Furniture</t>
        </is>
      </c>
      <c r="F819" s="7" t="inlineStr">
        <is>
          <t>Chairs</t>
        </is>
      </c>
      <c r="G819" s="7" t="inlineStr">
        <is>
          <t>West</t>
        </is>
      </c>
      <c r="H819" s="7" t="inlineStr">
        <is>
          <t>Oregon</t>
        </is>
      </c>
      <c r="I819" s="7" t="inlineStr">
        <is>
          <t>Online</t>
        </is>
      </c>
      <c r="J819" s="7" t="inlineStr">
        <is>
          <t>Home Office</t>
        </is>
      </c>
      <c r="K819" s="12" t="n">
        <v>4</v>
      </c>
      <c r="L819" s="9" t="n">
        <v>219.99</v>
      </c>
      <c r="M819" s="10" t="n">
        <v>0.05</v>
      </c>
      <c r="N819" s="9" t="n">
        <v>171.59</v>
      </c>
      <c r="O819" s="9">
        <f>K819*L819</f>
        <v/>
      </c>
      <c r="P819" s="9">
        <f>O819*M819</f>
        <v/>
      </c>
      <c r="Q819" s="9">
        <f>O819-P819</f>
        <v/>
      </c>
      <c r="R819" s="9">
        <f>K819*N819</f>
        <v/>
      </c>
      <c r="S819" s="9">
        <f>Q819-R819</f>
        <v/>
      </c>
      <c r="T819" s="10">
        <f>IFERROR(S819/Q819, 0)</f>
        <v/>
      </c>
    </row>
    <row r="820">
      <c r="A820" s="11" t="inlineStr">
        <is>
          <t>ORD-2024-1613</t>
        </is>
      </c>
      <c r="B820" s="11" t="inlineStr">
        <is>
          <t>2024-11-18</t>
        </is>
      </c>
      <c r="C820" s="11" t="inlineStr">
        <is>
          <t>TEC-TAB-004</t>
        </is>
      </c>
      <c r="D820" s="7" t="inlineStr">
        <is>
          <t>VisionPad Lite 8.5"</t>
        </is>
      </c>
      <c r="E820" s="7" t="inlineStr">
        <is>
          <t>Technology</t>
        </is>
      </c>
      <c r="F820" s="7" t="inlineStr">
        <is>
          <t>Phones &amp; Tablets</t>
        </is>
      </c>
      <c r="G820" s="7" t="inlineStr">
        <is>
          <t>West</t>
        </is>
      </c>
      <c r="H820" s="7" t="inlineStr">
        <is>
          <t>Colorado</t>
        </is>
      </c>
      <c r="I820" s="7" t="inlineStr">
        <is>
          <t>Retail Partner</t>
        </is>
      </c>
      <c r="J820" s="7" t="inlineStr">
        <is>
          <t>Corporate</t>
        </is>
      </c>
      <c r="K820" s="12" t="n">
        <v>2</v>
      </c>
      <c r="L820" s="9" t="n">
        <v>299.99</v>
      </c>
      <c r="M820" s="10" t="n">
        <v>0.05</v>
      </c>
      <c r="N820" s="9" t="n">
        <v>245.99</v>
      </c>
      <c r="O820" s="9">
        <f>K820*L820</f>
        <v/>
      </c>
      <c r="P820" s="9">
        <f>O820*M820</f>
        <v/>
      </c>
      <c r="Q820" s="9">
        <f>O820-P820</f>
        <v/>
      </c>
      <c r="R820" s="9">
        <f>K820*N820</f>
        <v/>
      </c>
      <c r="S820" s="9">
        <f>Q820-R820</f>
        <v/>
      </c>
      <c r="T820" s="10">
        <f>IFERROR(S820/Q820, 0)</f>
        <v/>
      </c>
    </row>
    <row r="821">
      <c r="A821" s="11" t="inlineStr">
        <is>
          <t>ORD-2024-1613</t>
        </is>
      </c>
      <c r="B821" s="11" t="inlineStr">
        <is>
          <t>2024-11-18</t>
        </is>
      </c>
      <c r="C821" s="11" t="inlineStr">
        <is>
          <t>TEC-TAB-003</t>
        </is>
      </c>
      <c r="D821" s="7" t="inlineStr">
        <is>
          <t>VisionPad Pro 11"</t>
        </is>
      </c>
      <c r="E821" s="7" t="inlineStr">
        <is>
          <t>Technology</t>
        </is>
      </c>
      <c r="F821" s="7" t="inlineStr">
        <is>
          <t>Phones &amp; Tablets</t>
        </is>
      </c>
      <c r="G821" s="7" t="inlineStr">
        <is>
          <t>West</t>
        </is>
      </c>
      <c r="H821" s="7" t="inlineStr">
        <is>
          <t>Colorado</t>
        </is>
      </c>
      <c r="I821" s="7" t="inlineStr">
        <is>
          <t>Retail Partner</t>
        </is>
      </c>
      <c r="J821" s="7" t="inlineStr">
        <is>
          <t>Corporate</t>
        </is>
      </c>
      <c r="K821" s="12" t="n">
        <v>4</v>
      </c>
      <c r="L821" s="9" t="n">
        <v>649.99</v>
      </c>
      <c r="M821" s="10" t="n">
        <v>0.05</v>
      </c>
      <c r="N821" s="9" t="n">
        <v>487.49</v>
      </c>
      <c r="O821" s="9">
        <f>K821*L821</f>
        <v/>
      </c>
      <c r="P821" s="9">
        <f>O821*M821</f>
        <v/>
      </c>
      <c r="Q821" s="9">
        <f>O821-P821</f>
        <v/>
      </c>
      <c r="R821" s="9">
        <f>K821*N821</f>
        <v/>
      </c>
      <c r="S821" s="9">
        <f>Q821-R821</f>
        <v/>
      </c>
      <c r="T821" s="10">
        <f>IFERROR(S821/Q821, 0)</f>
        <v/>
      </c>
    </row>
    <row r="822">
      <c r="A822" s="11" t="inlineStr">
        <is>
          <t>ORD-2024-1012</t>
        </is>
      </c>
      <c r="B822" s="11" t="inlineStr">
        <is>
          <t>2024-11-19</t>
        </is>
      </c>
      <c r="C822" s="11" t="inlineStr">
        <is>
          <t>TEC-TAB-003</t>
        </is>
      </c>
      <c r="D822" s="7" t="inlineStr">
        <is>
          <t>VisionPad Pro 11"</t>
        </is>
      </c>
      <c r="E822" s="7" t="inlineStr">
        <is>
          <t>Technology</t>
        </is>
      </c>
      <c r="F822" s="7" t="inlineStr">
        <is>
          <t>Phones &amp; Tablets</t>
        </is>
      </c>
      <c r="G822" s="7" t="inlineStr">
        <is>
          <t>Central</t>
        </is>
      </c>
      <c r="H822" s="7" t="inlineStr">
        <is>
          <t>Texas</t>
        </is>
      </c>
      <c r="I822" s="7" t="inlineStr">
        <is>
          <t>Retail Partner</t>
        </is>
      </c>
      <c r="J822" s="7" t="inlineStr">
        <is>
          <t>Corporate</t>
        </is>
      </c>
      <c r="K822" s="12" t="n">
        <v>2</v>
      </c>
      <c r="L822" s="9" t="n">
        <v>649.99</v>
      </c>
      <c r="M822" s="10" t="n">
        <v>0.05</v>
      </c>
      <c r="N822" s="9" t="n">
        <v>487.49</v>
      </c>
      <c r="O822" s="9">
        <f>K822*L822</f>
        <v/>
      </c>
      <c r="P822" s="9">
        <f>O822*M822</f>
        <v/>
      </c>
      <c r="Q822" s="9">
        <f>O822-P822</f>
        <v/>
      </c>
      <c r="R822" s="9">
        <f>K822*N822</f>
        <v/>
      </c>
      <c r="S822" s="9">
        <f>Q822-R822</f>
        <v/>
      </c>
      <c r="T822" s="10">
        <f>IFERROR(S822/Q822, 0)</f>
        <v/>
      </c>
    </row>
    <row r="823">
      <c r="A823" s="11" t="inlineStr">
        <is>
          <t>ORD-2024-1568</t>
        </is>
      </c>
      <c r="B823" s="11" t="inlineStr">
        <is>
          <t>2024-11-19</t>
        </is>
      </c>
      <c r="C823" s="11" t="inlineStr">
        <is>
          <t>TEC-ACC-005</t>
        </is>
      </c>
      <c r="D823" s="7" t="inlineStr">
        <is>
          <t>UltraWireless Noise-Canceling Headset</t>
        </is>
      </c>
      <c r="E823" s="7" t="inlineStr">
        <is>
          <t>Technology</t>
        </is>
      </c>
      <c r="F823" s="7" t="inlineStr">
        <is>
          <t>Audio &amp; Accessories</t>
        </is>
      </c>
      <c r="G823" s="7" t="inlineStr">
        <is>
          <t>East</t>
        </is>
      </c>
      <c r="H823" s="7" t="inlineStr">
        <is>
          <t>Pennsylvania</t>
        </is>
      </c>
      <c r="I823" s="7" t="inlineStr">
        <is>
          <t>Online</t>
        </is>
      </c>
      <c r="J823" s="7" t="inlineStr">
        <is>
          <t>Corporate</t>
        </is>
      </c>
      <c r="K823" s="12" t="n">
        <v>2</v>
      </c>
      <c r="L823" s="9" t="n">
        <v>179.99</v>
      </c>
      <c r="M823" s="10" t="n">
        <v>0.1</v>
      </c>
      <c r="N823" s="9" t="n">
        <v>111.59</v>
      </c>
      <c r="O823" s="9">
        <f>K823*L823</f>
        <v/>
      </c>
      <c r="P823" s="9">
        <f>O823*M823</f>
        <v/>
      </c>
      <c r="Q823" s="9">
        <f>O823-P823</f>
        <v/>
      </c>
      <c r="R823" s="9">
        <f>K823*N823</f>
        <v/>
      </c>
      <c r="S823" s="9">
        <f>Q823-R823</f>
        <v/>
      </c>
      <c r="T823" s="10">
        <f>IFERROR(S823/Q823, 0)</f>
        <v/>
      </c>
    </row>
    <row r="824">
      <c r="A824" s="11" t="inlineStr">
        <is>
          <t>ORD-2024-1568</t>
        </is>
      </c>
      <c r="B824" s="11" t="inlineStr">
        <is>
          <t>2024-11-19</t>
        </is>
      </c>
      <c r="C824" s="11" t="inlineStr">
        <is>
          <t>FUR-CHA-001</t>
        </is>
      </c>
      <c r="D824" s="7" t="inlineStr">
        <is>
          <t>ErgoFlex Executive Mesh Chair</t>
        </is>
      </c>
      <c r="E824" s="7" t="inlineStr">
        <is>
          <t>Furniture</t>
        </is>
      </c>
      <c r="F824" s="7" t="inlineStr">
        <is>
          <t>Chairs</t>
        </is>
      </c>
      <c r="G824" s="7" t="inlineStr">
        <is>
          <t>East</t>
        </is>
      </c>
      <c r="H824" s="7" t="inlineStr">
        <is>
          <t>Pennsylvania</t>
        </is>
      </c>
      <c r="I824" s="7" t="inlineStr">
        <is>
          <t>Online</t>
        </is>
      </c>
      <c r="J824" s="7" t="inlineStr">
        <is>
          <t>Corporate</t>
        </is>
      </c>
      <c r="K824" s="12" t="n">
        <v>6</v>
      </c>
      <c r="L824" s="9" t="n">
        <v>389.99</v>
      </c>
      <c r="M824" s="10" t="n">
        <v>0.05</v>
      </c>
      <c r="N824" s="9" t="n">
        <v>331.49</v>
      </c>
      <c r="O824" s="9">
        <f>K824*L824</f>
        <v/>
      </c>
      <c r="P824" s="9">
        <f>O824*M824</f>
        <v/>
      </c>
      <c r="Q824" s="9">
        <f>O824-P824</f>
        <v/>
      </c>
      <c r="R824" s="9">
        <f>K824*N824</f>
        <v/>
      </c>
      <c r="S824" s="9">
        <f>Q824-R824</f>
        <v/>
      </c>
      <c r="T824" s="10">
        <f>IFERROR(S824/Q824, 0)</f>
        <v/>
      </c>
    </row>
    <row r="825">
      <c r="A825" s="11" t="inlineStr">
        <is>
          <t>ORD-2024-1085</t>
        </is>
      </c>
      <c r="B825" s="11" t="inlineStr">
        <is>
          <t>2024-11-20</t>
        </is>
      </c>
      <c r="C825" s="11" t="inlineStr">
        <is>
          <t>TEC-ACC-008</t>
        </is>
      </c>
      <c r="D825" s="7" t="inlineStr">
        <is>
          <t>Precision Laser Bluetooth Mouse</t>
        </is>
      </c>
      <c r="E825" s="7" t="inlineStr">
        <is>
          <t>Technology</t>
        </is>
      </c>
      <c r="F825" s="7" t="inlineStr">
        <is>
          <t>Audio &amp; Accessories</t>
        </is>
      </c>
      <c r="G825" s="7" t="inlineStr">
        <is>
          <t>East</t>
        </is>
      </c>
      <c r="H825" s="7" t="inlineStr">
        <is>
          <t>Pennsylvania</t>
        </is>
      </c>
      <c r="I825" s="7" t="inlineStr">
        <is>
          <t>Retail Partner</t>
        </is>
      </c>
      <c r="J825" s="7" t="inlineStr">
        <is>
          <t>Corporate</t>
        </is>
      </c>
      <c r="K825" s="12" t="n">
        <v>8</v>
      </c>
      <c r="L825" s="9" t="n">
        <v>49.99</v>
      </c>
      <c r="M825" s="10" t="n">
        <v>0.15</v>
      </c>
      <c r="N825" s="9" t="n">
        <v>27.49</v>
      </c>
      <c r="O825" s="9">
        <f>K825*L825</f>
        <v/>
      </c>
      <c r="P825" s="9">
        <f>O825*M825</f>
        <v/>
      </c>
      <c r="Q825" s="9">
        <f>O825-P825</f>
        <v/>
      </c>
      <c r="R825" s="9">
        <f>K825*N825</f>
        <v/>
      </c>
      <c r="S825" s="9">
        <f>Q825-R825</f>
        <v/>
      </c>
      <c r="T825" s="10">
        <f>IFERROR(S825/Q825, 0)</f>
        <v/>
      </c>
    </row>
    <row r="826">
      <c r="A826" s="11" t="inlineStr">
        <is>
          <t>ORD-2024-1309</t>
        </is>
      </c>
      <c r="B826" s="11" t="inlineStr">
        <is>
          <t>2024-11-20</t>
        </is>
      </c>
      <c r="C826" s="11" t="inlineStr">
        <is>
          <t>TEC-LAP-001</t>
        </is>
      </c>
      <c r="D826" s="7" t="inlineStr">
        <is>
          <t>ProBook Elite 15.6"</t>
        </is>
      </c>
      <c r="E826" s="7" t="inlineStr">
        <is>
          <t>Technology</t>
        </is>
      </c>
      <c r="F826" s="7" t="inlineStr">
        <is>
          <t>Laptops</t>
        </is>
      </c>
      <c r="G826" s="7" t="inlineStr">
        <is>
          <t>West</t>
        </is>
      </c>
      <c r="H826" s="7" t="inlineStr">
        <is>
          <t>Oregon</t>
        </is>
      </c>
      <c r="I826" s="7" t="inlineStr">
        <is>
          <t>Direct Sales</t>
        </is>
      </c>
      <c r="J826" s="7" t="inlineStr">
        <is>
          <t>Consumer</t>
        </is>
      </c>
      <c r="K826" s="12" t="n">
        <v>2</v>
      </c>
      <c r="L826" s="9" t="n">
        <v>1199.99</v>
      </c>
      <c r="M826" s="10" t="n">
        <v>0</v>
      </c>
      <c r="N826" s="9" t="n">
        <v>863.99</v>
      </c>
      <c r="O826" s="9">
        <f>K826*L826</f>
        <v/>
      </c>
      <c r="P826" s="9">
        <f>O826*M826</f>
        <v/>
      </c>
      <c r="Q826" s="9">
        <f>O826-P826</f>
        <v/>
      </c>
      <c r="R826" s="9">
        <f>K826*N826</f>
        <v/>
      </c>
      <c r="S826" s="9">
        <f>Q826-R826</f>
        <v/>
      </c>
      <c r="T826" s="10">
        <f>IFERROR(S826/Q826, 0)</f>
        <v/>
      </c>
    </row>
    <row r="827">
      <c r="A827" s="11" t="inlineStr">
        <is>
          <t>ORD-2024-1309</t>
        </is>
      </c>
      <c r="B827" s="11" t="inlineStr">
        <is>
          <t>2024-11-20</t>
        </is>
      </c>
      <c r="C827" s="11" t="inlineStr">
        <is>
          <t>FUR-CHA-001</t>
        </is>
      </c>
      <c r="D827" s="7" t="inlineStr">
        <is>
          <t>ErgoFlex Executive Mesh Chair</t>
        </is>
      </c>
      <c r="E827" s="7" t="inlineStr">
        <is>
          <t>Furniture</t>
        </is>
      </c>
      <c r="F827" s="7" t="inlineStr">
        <is>
          <t>Chairs</t>
        </is>
      </c>
      <c r="G827" s="7" t="inlineStr">
        <is>
          <t>West</t>
        </is>
      </c>
      <c r="H827" s="7" t="inlineStr">
        <is>
          <t>Oregon</t>
        </is>
      </c>
      <c r="I827" s="7" t="inlineStr">
        <is>
          <t>Direct Sales</t>
        </is>
      </c>
      <c r="J827" s="7" t="inlineStr">
        <is>
          <t>Consumer</t>
        </is>
      </c>
      <c r="K827" s="12" t="n">
        <v>3</v>
      </c>
      <c r="L827" s="9" t="n">
        <v>389.99</v>
      </c>
      <c r="M827" s="10" t="n">
        <v>0.1</v>
      </c>
      <c r="N827" s="9" t="n">
        <v>331.49</v>
      </c>
      <c r="O827" s="9">
        <f>K827*L827</f>
        <v/>
      </c>
      <c r="P827" s="9">
        <f>O827*M827</f>
        <v/>
      </c>
      <c r="Q827" s="9">
        <f>O827-P827</f>
        <v/>
      </c>
      <c r="R827" s="9">
        <f>K827*N827</f>
        <v/>
      </c>
      <c r="S827" s="9">
        <f>Q827-R827</f>
        <v/>
      </c>
      <c r="T827" s="10">
        <f>IFERROR(S827/Q827, 0)</f>
        <v/>
      </c>
    </row>
    <row r="828">
      <c r="A828" s="11" t="inlineStr">
        <is>
          <t>ORD-2024-1309</t>
        </is>
      </c>
      <c r="B828" s="11" t="inlineStr">
        <is>
          <t>2024-11-20</t>
        </is>
      </c>
      <c r="C828" s="11" t="inlineStr">
        <is>
          <t>FUR-DSK-003</t>
        </is>
      </c>
      <c r="D828" s="7" t="inlineStr">
        <is>
          <t>ApexMotor Dual-Motor Standing Desk</t>
        </is>
      </c>
      <c r="E828" s="7" t="inlineStr">
        <is>
          <t>Furniture</t>
        </is>
      </c>
      <c r="F828" s="7" t="inlineStr">
        <is>
          <t>Desks &amp; Workstations</t>
        </is>
      </c>
      <c r="G828" s="7" t="inlineStr">
        <is>
          <t>West</t>
        </is>
      </c>
      <c r="H828" s="7" t="inlineStr">
        <is>
          <t>Oregon</t>
        </is>
      </c>
      <c r="I828" s="7" t="inlineStr">
        <is>
          <t>Direct Sales</t>
        </is>
      </c>
      <c r="J828" s="7" t="inlineStr">
        <is>
          <t>Consumer</t>
        </is>
      </c>
      <c r="K828" s="12" t="n">
        <v>3</v>
      </c>
      <c r="L828" s="9" t="n">
        <v>549.99</v>
      </c>
      <c r="M828" s="10" t="n">
        <v>0.15</v>
      </c>
      <c r="N828" s="9" t="n">
        <v>439.99</v>
      </c>
      <c r="O828" s="9">
        <f>K828*L828</f>
        <v/>
      </c>
      <c r="P828" s="9">
        <f>O828*M828</f>
        <v/>
      </c>
      <c r="Q828" s="9">
        <f>O828-P828</f>
        <v/>
      </c>
      <c r="R828" s="9">
        <f>K828*N828</f>
        <v/>
      </c>
      <c r="S828" s="9">
        <f>Q828-R828</f>
        <v/>
      </c>
      <c r="T828" s="10">
        <f>IFERROR(S828/Q828, 0)</f>
        <v/>
      </c>
    </row>
    <row r="829">
      <c r="A829" s="11" t="inlineStr">
        <is>
          <t>ORD-2024-1079</t>
        </is>
      </c>
      <c r="B829" s="11" t="inlineStr">
        <is>
          <t>2024-11-21</t>
        </is>
      </c>
      <c r="C829" s="11" t="inlineStr">
        <is>
          <t>TEC-ACC-006</t>
        </is>
      </c>
      <c r="D829" s="7" t="inlineStr">
        <is>
          <t>MultiPort Thunderbolt 4 Dock</t>
        </is>
      </c>
      <c r="E829" s="7" t="inlineStr">
        <is>
          <t>Technology</t>
        </is>
      </c>
      <c r="F829" s="7" t="inlineStr">
        <is>
          <t>Audio &amp; Accessories</t>
        </is>
      </c>
      <c r="G829" s="7" t="inlineStr">
        <is>
          <t>East</t>
        </is>
      </c>
      <c r="H829" s="7" t="inlineStr">
        <is>
          <t>Massachusetts</t>
        </is>
      </c>
      <c r="I829" s="7" t="inlineStr">
        <is>
          <t>Online</t>
        </is>
      </c>
      <c r="J829" s="7" t="inlineStr">
        <is>
          <t>Home Office</t>
        </is>
      </c>
      <c r="K829" s="12" t="n">
        <v>4</v>
      </c>
      <c r="L829" s="9" t="n">
        <v>149.99</v>
      </c>
      <c r="M829" s="10" t="n">
        <v>0</v>
      </c>
      <c r="N829" s="9" t="n">
        <v>98.98999999999999</v>
      </c>
      <c r="O829" s="9">
        <f>K829*L829</f>
        <v/>
      </c>
      <c r="P829" s="9">
        <f>O829*M829</f>
        <v/>
      </c>
      <c r="Q829" s="9">
        <f>O829-P829</f>
        <v/>
      </c>
      <c r="R829" s="9">
        <f>K829*N829</f>
        <v/>
      </c>
      <c r="S829" s="9">
        <f>Q829-R829</f>
        <v/>
      </c>
      <c r="T829" s="10">
        <f>IFERROR(S829/Q829, 0)</f>
        <v/>
      </c>
    </row>
    <row r="830">
      <c r="A830" s="11" t="inlineStr">
        <is>
          <t>ORD-2024-1079</t>
        </is>
      </c>
      <c r="B830" s="11" t="inlineStr">
        <is>
          <t>2024-11-21</t>
        </is>
      </c>
      <c r="C830" s="11" t="inlineStr">
        <is>
          <t>OFF-PAP-004</t>
        </is>
      </c>
      <c r="D830" s="7" t="inlineStr">
        <is>
          <t>EcoRecycled Copy Paper (5 Reams)</t>
        </is>
      </c>
      <c r="E830" s="7" t="inlineStr">
        <is>
          <t>Office Supplies</t>
        </is>
      </c>
      <c r="F830" s="7" t="inlineStr">
        <is>
          <t>Paper Products</t>
        </is>
      </c>
      <c r="G830" s="7" t="inlineStr">
        <is>
          <t>East</t>
        </is>
      </c>
      <c r="H830" s="7" t="inlineStr">
        <is>
          <t>Massachusetts</t>
        </is>
      </c>
      <c r="I830" s="7" t="inlineStr">
        <is>
          <t>Online</t>
        </is>
      </c>
      <c r="J830" s="7" t="inlineStr">
        <is>
          <t>Home Office</t>
        </is>
      </c>
      <c r="K830" s="12" t="n">
        <v>4</v>
      </c>
      <c r="L830" s="9" t="n">
        <v>32.99</v>
      </c>
      <c r="M830" s="10" t="n">
        <v>0</v>
      </c>
      <c r="N830" s="9" t="n">
        <v>19.79</v>
      </c>
      <c r="O830" s="9">
        <f>K830*L830</f>
        <v/>
      </c>
      <c r="P830" s="9">
        <f>O830*M830</f>
        <v/>
      </c>
      <c r="Q830" s="9">
        <f>O830-P830</f>
        <v/>
      </c>
      <c r="R830" s="9">
        <f>K830*N830</f>
        <v/>
      </c>
      <c r="S830" s="9">
        <f>Q830-R830</f>
        <v/>
      </c>
      <c r="T830" s="10">
        <f>IFERROR(S830/Q830, 0)</f>
        <v/>
      </c>
    </row>
    <row r="831">
      <c r="A831" s="11" t="inlineStr">
        <is>
          <t>ORD-2024-1237</t>
        </is>
      </c>
      <c r="B831" s="11" t="inlineStr">
        <is>
          <t>2024-11-21</t>
        </is>
      </c>
      <c r="C831" s="11" t="inlineStr">
        <is>
          <t>OFF-STR-001</t>
        </is>
      </c>
      <c r="D831" s="7" t="inlineStr">
        <is>
          <t>SteelLock 3-Drawer File Cabinet</t>
        </is>
      </c>
      <c r="E831" s="7" t="inlineStr">
        <is>
          <t>Office Supplies</t>
        </is>
      </c>
      <c r="F831" s="7" t="inlineStr">
        <is>
          <t>Storage &amp; Organizers</t>
        </is>
      </c>
      <c r="G831" s="7" t="inlineStr">
        <is>
          <t>Central</t>
        </is>
      </c>
      <c r="H831" s="7" t="inlineStr">
        <is>
          <t>Illinois</t>
        </is>
      </c>
      <c r="I831" s="7" t="inlineStr">
        <is>
          <t>Retail Partner</t>
        </is>
      </c>
      <c r="J831" s="7" t="inlineStr">
        <is>
          <t>Home Office</t>
        </is>
      </c>
      <c r="K831" s="12" t="n">
        <v>2</v>
      </c>
      <c r="L831" s="9" t="n">
        <v>169.99</v>
      </c>
      <c r="M831" s="10" t="n">
        <v>0</v>
      </c>
      <c r="N831" s="9" t="n">
        <v>115.59</v>
      </c>
      <c r="O831" s="9">
        <f>K831*L831</f>
        <v/>
      </c>
      <c r="P831" s="9">
        <f>O831*M831</f>
        <v/>
      </c>
      <c r="Q831" s="9">
        <f>O831-P831</f>
        <v/>
      </c>
      <c r="R831" s="9">
        <f>K831*N831</f>
        <v/>
      </c>
      <c r="S831" s="9">
        <f>Q831-R831</f>
        <v/>
      </c>
      <c r="T831" s="10">
        <f>IFERROR(S831/Q831, 0)</f>
        <v/>
      </c>
    </row>
    <row r="832">
      <c r="A832" s="11" t="inlineStr">
        <is>
          <t>ORD-2024-1436</t>
        </is>
      </c>
      <c r="B832" s="11" t="inlineStr">
        <is>
          <t>2024-11-21</t>
        </is>
      </c>
      <c r="C832" s="11" t="inlineStr">
        <is>
          <t>TEC-ACC-005</t>
        </is>
      </c>
      <c r="D832" s="7" t="inlineStr">
        <is>
          <t>UltraWireless Noise-Canceling Headset</t>
        </is>
      </c>
      <c r="E832" s="7" t="inlineStr">
        <is>
          <t>Technology</t>
        </is>
      </c>
      <c r="F832" s="7" t="inlineStr">
        <is>
          <t>Audio &amp; Accessories</t>
        </is>
      </c>
      <c r="G832" s="7" t="inlineStr">
        <is>
          <t>South</t>
        </is>
      </c>
      <c r="H832" s="7" t="inlineStr">
        <is>
          <t>North Carolina</t>
        </is>
      </c>
      <c r="I832" s="7" t="inlineStr">
        <is>
          <t>Retail Partner</t>
        </is>
      </c>
      <c r="J832" s="7" t="inlineStr">
        <is>
          <t>Home Office</t>
        </is>
      </c>
      <c r="K832" s="12" t="n">
        <v>3</v>
      </c>
      <c r="L832" s="9" t="n">
        <v>179.99</v>
      </c>
      <c r="M832" s="10" t="n">
        <v>0.2</v>
      </c>
      <c r="N832" s="9" t="n">
        <v>111.59</v>
      </c>
      <c r="O832" s="9">
        <f>K832*L832</f>
        <v/>
      </c>
      <c r="P832" s="9">
        <f>O832*M832</f>
        <v/>
      </c>
      <c r="Q832" s="9">
        <f>O832-P832</f>
        <v/>
      </c>
      <c r="R832" s="9">
        <f>K832*N832</f>
        <v/>
      </c>
      <c r="S832" s="9">
        <f>Q832-R832</f>
        <v/>
      </c>
      <c r="T832" s="10">
        <f>IFERROR(S832/Q832, 0)</f>
        <v/>
      </c>
    </row>
    <row r="833">
      <c r="A833" s="11" t="inlineStr">
        <is>
          <t>ORD-2024-1550</t>
        </is>
      </c>
      <c r="B833" s="11" t="inlineStr">
        <is>
          <t>2024-11-21</t>
        </is>
      </c>
      <c r="C833" s="11" t="inlineStr">
        <is>
          <t>OFF-PAP-004</t>
        </is>
      </c>
      <c r="D833" s="7" t="inlineStr">
        <is>
          <t>EcoRecycled Copy Paper (5 Reams)</t>
        </is>
      </c>
      <c r="E833" s="7" t="inlineStr">
        <is>
          <t>Office Supplies</t>
        </is>
      </c>
      <c r="F833" s="7" t="inlineStr">
        <is>
          <t>Paper Products</t>
        </is>
      </c>
      <c r="G833" s="7" t="inlineStr">
        <is>
          <t>West</t>
        </is>
      </c>
      <c r="H833" s="7" t="inlineStr">
        <is>
          <t>Colorado</t>
        </is>
      </c>
      <c r="I833" s="7" t="inlineStr">
        <is>
          <t>Retail Partner</t>
        </is>
      </c>
      <c r="J833" s="7" t="inlineStr">
        <is>
          <t>Home Office</t>
        </is>
      </c>
      <c r="K833" s="12" t="n">
        <v>4</v>
      </c>
      <c r="L833" s="9" t="n">
        <v>32.99</v>
      </c>
      <c r="M833" s="10" t="n">
        <v>0.15</v>
      </c>
      <c r="N833" s="9" t="n">
        <v>19.79</v>
      </c>
      <c r="O833" s="9">
        <f>K833*L833</f>
        <v/>
      </c>
      <c r="P833" s="9">
        <f>O833*M833</f>
        <v/>
      </c>
      <c r="Q833" s="9">
        <f>O833-P833</f>
        <v/>
      </c>
      <c r="R833" s="9">
        <f>K833*N833</f>
        <v/>
      </c>
      <c r="S833" s="9">
        <f>Q833-R833</f>
        <v/>
      </c>
      <c r="T833" s="10">
        <f>IFERROR(S833/Q833, 0)</f>
        <v/>
      </c>
    </row>
    <row r="834">
      <c r="A834" s="11" t="inlineStr">
        <is>
          <t>ORD-2024-1167</t>
        </is>
      </c>
      <c r="B834" s="11" t="inlineStr">
        <is>
          <t>2024-11-22</t>
        </is>
      </c>
      <c r="C834" s="11" t="inlineStr">
        <is>
          <t>OFF-STR-002</t>
        </is>
      </c>
      <c r="D834" s="7" t="inlineStr">
        <is>
          <t>Stackable Heavy-Duty Storage Bins (4-Pk)</t>
        </is>
      </c>
      <c r="E834" s="7" t="inlineStr">
        <is>
          <t>Office Supplies</t>
        </is>
      </c>
      <c r="F834" s="7" t="inlineStr">
        <is>
          <t>Storage &amp; Organizers</t>
        </is>
      </c>
      <c r="G834" s="7" t="inlineStr">
        <is>
          <t>West</t>
        </is>
      </c>
      <c r="H834" s="7" t="inlineStr">
        <is>
          <t>Oregon</t>
        </is>
      </c>
      <c r="I834" s="7" t="inlineStr">
        <is>
          <t>Online</t>
        </is>
      </c>
      <c r="J834" s="7" t="inlineStr">
        <is>
          <t>Consumer</t>
        </is>
      </c>
      <c r="K834" s="12" t="n">
        <v>3</v>
      </c>
      <c r="L834" s="9" t="n">
        <v>44.99</v>
      </c>
      <c r="M834" s="10" t="n">
        <v>0</v>
      </c>
      <c r="N834" s="9" t="n">
        <v>24.74</v>
      </c>
      <c r="O834" s="9">
        <f>K834*L834</f>
        <v/>
      </c>
      <c r="P834" s="9">
        <f>O834*M834</f>
        <v/>
      </c>
      <c r="Q834" s="9">
        <f>O834-P834</f>
        <v/>
      </c>
      <c r="R834" s="9">
        <f>K834*N834</f>
        <v/>
      </c>
      <c r="S834" s="9">
        <f>Q834-R834</f>
        <v/>
      </c>
      <c r="T834" s="10">
        <f>IFERROR(S834/Q834, 0)</f>
        <v/>
      </c>
    </row>
    <row r="835">
      <c r="A835" s="11" t="inlineStr">
        <is>
          <t>ORD-2024-1271</t>
        </is>
      </c>
      <c r="B835" s="11" t="inlineStr">
        <is>
          <t>2024-11-22</t>
        </is>
      </c>
      <c r="C835" s="11" t="inlineStr">
        <is>
          <t>OFF-BIN-005</t>
        </is>
      </c>
      <c r="D835" s="7" t="inlineStr">
        <is>
          <t>Heavy-Duty D-Ring Presentation Binder (6-Pk)</t>
        </is>
      </c>
      <c r="E835" s="7" t="inlineStr">
        <is>
          <t>Office Supplies</t>
        </is>
      </c>
      <c r="F835" s="7" t="inlineStr">
        <is>
          <t>Binders &amp; Fasteners</t>
        </is>
      </c>
      <c r="G835" s="7" t="inlineStr">
        <is>
          <t>East</t>
        </is>
      </c>
      <c r="H835" s="7" t="inlineStr">
        <is>
          <t>New Jersey</t>
        </is>
      </c>
      <c r="I835" s="7" t="inlineStr">
        <is>
          <t>Online</t>
        </is>
      </c>
      <c r="J835" s="7" t="inlineStr">
        <is>
          <t>Corporate</t>
        </is>
      </c>
      <c r="K835" s="12" t="n">
        <v>7</v>
      </c>
      <c r="L835" s="9" t="n">
        <v>27.99</v>
      </c>
      <c r="M835" s="10" t="n">
        <v>0.05</v>
      </c>
      <c r="N835" s="9" t="n">
        <v>13.99</v>
      </c>
      <c r="O835" s="9">
        <f>K835*L835</f>
        <v/>
      </c>
      <c r="P835" s="9">
        <f>O835*M835</f>
        <v/>
      </c>
      <c r="Q835" s="9">
        <f>O835-P835</f>
        <v/>
      </c>
      <c r="R835" s="9">
        <f>K835*N835</f>
        <v/>
      </c>
      <c r="S835" s="9">
        <f>Q835-R835</f>
        <v/>
      </c>
      <c r="T835" s="10">
        <f>IFERROR(S835/Q835, 0)</f>
        <v/>
      </c>
    </row>
    <row r="836">
      <c r="A836" s="11" t="inlineStr">
        <is>
          <t>ORD-2024-1515</t>
        </is>
      </c>
      <c r="B836" s="11" t="inlineStr">
        <is>
          <t>2024-11-22</t>
        </is>
      </c>
      <c r="C836" s="11" t="inlineStr">
        <is>
          <t>TEC-TAB-004</t>
        </is>
      </c>
      <c r="D836" s="7" t="inlineStr">
        <is>
          <t>VisionPad Lite 8.5"</t>
        </is>
      </c>
      <c r="E836" s="7" t="inlineStr">
        <is>
          <t>Technology</t>
        </is>
      </c>
      <c r="F836" s="7" t="inlineStr">
        <is>
          <t>Phones &amp; Tablets</t>
        </is>
      </c>
      <c r="G836" s="7" t="inlineStr">
        <is>
          <t>East</t>
        </is>
      </c>
      <c r="H836" s="7" t="inlineStr">
        <is>
          <t>Massachusetts</t>
        </is>
      </c>
      <c r="I836" s="7" t="inlineStr">
        <is>
          <t>Online</t>
        </is>
      </c>
      <c r="J836" s="7" t="inlineStr">
        <is>
          <t>Home Office</t>
        </is>
      </c>
      <c r="K836" s="12" t="n">
        <v>3</v>
      </c>
      <c r="L836" s="9" t="n">
        <v>299.99</v>
      </c>
      <c r="M836" s="10" t="n">
        <v>0.05</v>
      </c>
      <c r="N836" s="9" t="n">
        <v>245.99</v>
      </c>
      <c r="O836" s="9">
        <f>K836*L836</f>
        <v/>
      </c>
      <c r="P836" s="9">
        <f>O836*M836</f>
        <v/>
      </c>
      <c r="Q836" s="9">
        <f>O836-P836</f>
        <v/>
      </c>
      <c r="R836" s="9">
        <f>K836*N836</f>
        <v/>
      </c>
      <c r="S836" s="9">
        <f>Q836-R836</f>
        <v/>
      </c>
      <c r="T836" s="10">
        <f>IFERROR(S836/Q836, 0)</f>
        <v/>
      </c>
    </row>
    <row r="837">
      <c r="A837" s="11" t="inlineStr">
        <is>
          <t>ORD-2024-1515</t>
        </is>
      </c>
      <c r="B837" s="11" t="inlineStr">
        <is>
          <t>2024-11-22</t>
        </is>
      </c>
      <c r="C837" s="11" t="inlineStr">
        <is>
          <t>FUR-DSK-004</t>
        </is>
      </c>
      <c r="D837" s="7" t="inlineStr">
        <is>
          <t>Metro Compact Corner Workstation</t>
        </is>
      </c>
      <c r="E837" s="7" t="inlineStr">
        <is>
          <t>Furniture</t>
        </is>
      </c>
      <c r="F837" s="7" t="inlineStr">
        <is>
          <t>Desks &amp; Workstations</t>
        </is>
      </c>
      <c r="G837" s="7" t="inlineStr">
        <is>
          <t>East</t>
        </is>
      </c>
      <c r="H837" s="7" t="inlineStr">
        <is>
          <t>Massachusetts</t>
        </is>
      </c>
      <c r="I837" s="7" t="inlineStr">
        <is>
          <t>Online</t>
        </is>
      </c>
      <c r="J837" s="7" t="inlineStr">
        <is>
          <t>Home Office</t>
        </is>
      </c>
      <c r="K837" s="12" t="n">
        <v>2</v>
      </c>
      <c r="L837" s="9" t="n">
        <v>329.99</v>
      </c>
      <c r="M837" s="10" t="n">
        <v>0</v>
      </c>
      <c r="N837" s="9" t="n">
        <v>250.79</v>
      </c>
      <c r="O837" s="9">
        <f>K837*L837</f>
        <v/>
      </c>
      <c r="P837" s="9">
        <f>O837*M837</f>
        <v/>
      </c>
      <c r="Q837" s="9">
        <f>O837-P837</f>
        <v/>
      </c>
      <c r="R837" s="9">
        <f>K837*N837</f>
        <v/>
      </c>
      <c r="S837" s="9">
        <f>Q837-R837</f>
        <v/>
      </c>
      <c r="T837" s="10">
        <f>IFERROR(S837/Q837, 0)</f>
        <v/>
      </c>
    </row>
    <row r="838">
      <c r="A838" s="11" t="inlineStr">
        <is>
          <t>ORD-2024-1659</t>
        </is>
      </c>
      <c r="B838" s="11" t="inlineStr">
        <is>
          <t>2024-11-22</t>
        </is>
      </c>
      <c r="C838" s="11" t="inlineStr">
        <is>
          <t>OFF-PAP-003</t>
        </is>
      </c>
      <c r="D838" s="7" t="inlineStr">
        <is>
          <t>UltraWhite Premium Multipurpose Paper (Case)</t>
        </is>
      </c>
      <c r="E838" s="7" t="inlineStr">
        <is>
          <t>Office Supplies</t>
        </is>
      </c>
      <c r="F838" s="7" t="inlineStr">
        <is>
          <t>Paper Products</t>
        </is>
      </c>
      <c r="G838" s="7" t="inlineStr">
        <is>
          <t>South</t>
        </is>
      </c>
      <c r="H838" s="7" t="inlineStr">
        <is>
          <t>Virginia</t>
        </is>
      </c>
      <c r="I838" s="7" t="inlineStr">
        <is>
          <t>Direct Sales</t>
        </is>
      </c>
      <c r="J838" s="7" t="inlineStr">
        <is>
          <t>Corporate</t>
        </is>
      </c>
      <c r="K838" s="12" t="n">
        <v>7</v>
      </c>
      <c r="L838" s="9" t="n">
        <v>54.99</v>
      </c>
      <c r="M838" s="10" t="n">
        <v>0</v>
      </c>
      <c r="N838" s="9" t="n">
        <v>31.89</v>
      </c>
      <c r="O838" s="9">
        <f>K838*L838</f>
        <v/>
      </c>
      <c r="P838" s="9">
        <f>O838*M838</f>
        <v/>
      </c>
      <c r="Q838" s="9">
        <f>O838-P838</f>
        <v/>
      </c>
      <c r="R838" s="9">
        <f>K838*N838</f>
        <v/>
      </c>
      <c r="S838" s="9">
        <f>Q838-R838</f>
        <v/>
      </c>
      <c r="T838" s="10">
        <f>IFERROR(S838/Q838, 0)</f>
        <v/>
      </c>
    </row>
    <row r="839">
      <c r="A839" s="11" t="inlineStr">
        <is>
          <t>ORD-2024-1061</t>
        </is>
      </c>
      <c r="B839" s="11" t="inlineStr">
        <is>
          <t>2024-11-23</t>
        </is>
      </c>
      <c r="C839" s="11" t="inlineStr">
        <is>
          <t>TEC-ACC-005</t>
        </is>
      </c>
      <c r="D839" s="7" t="inlineStr">
        <is>
          <t>UltraWireless Noise-Canceling Headset</t>
        </is>
      </c>
      <c r="E839" s="7" t="inlineStr">
        <is>
          <t>Technology</t>
        </is>
      </c>
      <c r="F839" s="7" t="inlineStr">
        <is>
          <t>Audio &amp; Accessories</t>
        </is>
      </c>
      <c r="G839" s="7" t="inlineStr">
        <is>
          <t>Central</t>
        </is>
      </c>
      <c r="H839" s="7" t="inlineStr">
        <is>
          <t>Michigan</t>
        </is>
      </c>
      <c r="I839" s="7" t="inlineStr">
        <is>
          <t>Wholesale</t>
        </is>
      </c>
      <c r="J839" s="7" t="inlineStr">
        <is>
          <t>Consumer</t>
        </is>
      </c>
      <c r="K839" s="12" t="n">
        <v>8</v>
      </c>
      <c r="L839" s="9" t="n">
        <v>179.99</v>
      </c>
      <c r="M839" s="10" t="n">
        <v>0.15</v>
      </c>
      <c r="N839" s="9" t="n">
        <v>111.59</v>
      </c>
      <c r="O839" s="9">
        <f>K839*L839</f>
        <v/>
      </c>
      <c r="P839" s="9">
        <f>O839*M839</f>
        <v/>
      </c>
      <c r="Q839" s="9">
        <f>O839-P839</f>
        <v/>
      </c>
      <c r="R839" s="9">
        <f>K839*N839</f>
        <v/>
      </c>
      <c r="S839" s="9">
        <f>Q839-R839</f>
        <v/>
      </c>
      <c r="T839" s="10">
        <f>IFERROR(S839/Q839, 0)</f>
        <v/>
      </c>
    </row>
    <row r="840">
      <c r="A840" s="11" t="inlineStr">
        <is>
          <t>ORD-2024-1327</t>
        </is>
      </c>
      <c r="B840" s="11" t="inlineStr">
        <is>
          <t>2024-11-23</t>
        </is>
      </c>
      <c r="C840" s="11" t="inlineStr">
        <is>
          <t>FUR-CHA-002</t>
        </is>
      </c>
      <c r="D840" s="7" t="inlineStr">
        <is>
          <t>AeroTask Operator Task Chair</t>
        </is>
      </c>
      <c r="E840" s="7" t="inlineStr">
        <is>
          <t>Furniture</t>
        </is>
      </c>
      <c r="F840" s="7" t="inlineStr">
        <is>
          <t>Chairs</t>
        </is>
      </c>
      <c r="G840" s="7" t="inlineStr">
        <is>
          <t>East</t>
        </is>
      </c>
      <c r="H840" s="7" t="inlineStr">
        <is>
          <t>New Jersey</t>
        </is>
      </c>
      <c r="I840" s="7" t="inlineStr">
        <is>
          <t>Retail Partner</t>
        </is>
      </c>
      <c r="J840" s="7" t="inlineStr">
        <is>
          <t>Home Office</t>
        </is>
      </c>
      <c r="K840" s="12" t="n">
        <v>1</v>
      </c>
      <c r="L840" s="9" t="n">
        <v>219.99</v>
      </c>
      <c r="M840" s="10" t="n">
        <v>0.05</v>
      </c>
      <c r="N840" s="9" t="n">
        <v>171.59</v>
      </c>
      <c r="O840" s="9">
        <f>K840*L840</f>
        <v/>
      </c>
      <c r="P840" s="9">
        <f>O840*M840</f>
        <v/>
      </c>
      <c r="Q840" s="9">
        <f>O840-P840</f>
        <v/>
      </c>
      <c r="R840" s="9">
        <f>K840*N840</f>
        <v/>
      </c>
      <c r="S840" s="9">
        <f>Q840-R840</f>
        <v/>
      </c>
      <c r="T840" s="10">
        <f>IFERROR(S840/Q840, 0)</f>
        <v/>
      </c>
    </row>
    <row r="841">
      <c r="A841" s="11" t="inlineStr">
        <is>
          <t>ORD-2024-1524</t>
        </is>
      </c>
      <c r="B841" s="11" t="inlineStr">
        <is>
          <t>2024-11-23</t>
        </is>
      </c>
      <c r="C841" s="11" t="inlineStr">
        <is>
          <t>TEC-TAB-003</t>
        </is>
      </c>
      <c r="D841" s="7" t="inlineStr">
        <is>
          <t>VisionPad Pro 11"</t>
        </is>
      </c>
      <c r="E841" s="7" t="inlineStr">
        <is>
          <t>Technology</t>
        </is>
      </c>
      <c r="F841" s="7" t="inlineStr">
        <is>
          <t>Phones &amp; Tablets</t>
        </is>
      </c>
      <c r="G841" s="7" t="inlineStr">
        <is>
          <t>South</t>
        </is>
      </c>
      <c r="H841" s="7" t="inlineStr">
        <is>
          <t>Virginia</t>
        </is>
      </c>
      <c r="I841" s="7" t="inlineStr">
        <is>
          <t>Retail Partner</t>
        </is>
      </c>
      <c r="J841" s="7" t="inlineStr">
        <is>
          <t>Corporate</t>
        </is>
      </c>
      <c r="K841" s="12" t="n">
        <v>6</v>
      </c>
      <c r="L841" s="9" t="n">
        <v>649.99</v>
      </c>
      <c r="M841" s="10" t="n">
        <v>0.15</v>
      </c>
      <c r="N841" s="9" t="n">
        <v>487.49</v>
      </c>
      <c r="O841" s="9">
        <f>K841*L841</f>
        <v/>
      </c>
      <c r="P841" s="9">
        <f>O841*M841</f>
        <v/>
      </c>
      <c r="Q841" s="9">
        <f>O841-P841</f>
        <v/>
      </c>
      <c r="R841" s="9">
        <f>K841*N841</f>
        <v/>
      </c>
      <c r="S841" s="9">
        <f>Q841-R841</f>
        <v/>
      </c>
      <c r="T841" s="10">
        <f>IFERROR(S841/Q841, 0)</f>
        <v/>
      </c>
    </row>
    <row r="842">
      <c r="A842" s="11" t="inlineStr">
        <is>
          <t>ORD-2024-1563</t>
        </is>
      </c>
      <c r="B842" s="11" t="inlineStr">
        <is>
          <t>2024-11-23</t>
        </is>
      </c>
      <c r="C842" s="11" t="inlineStr">
        <is>
          <t>FUR-BOK-005</t>
        </is>
      </c>
      <c r="D842" s="7" t="inlineStr">
        <is>
          <t>Modular 5-Tier Steel Bookcase</t>
        </is>
      </c>
      <c r="E842" s="7" t="inlineStr">
        <is>
          <t>Furniture</t>
        </is>
      </c>
      <c r="F842" s="7" t="inlineStr">
        <is>
          <t>Bookcases</t>
        </is>
      </c>
      <c r="G842" s="7" t="inlineStr">
        <is>
          <t>East</t>
        </is>
      </c>
      <c r="H842" s="7" t="inlineStr">
        <is>
          <t>Pennsylvania</t>
        </is>
      </c>
      <c r="I842" s="7" t="inlineStr">
        <is>
          <t>Retail Partner</t>
        </is>
      </c>
      <c r="J842" s="7" t="inlineStr">
        <is>
          <t>Consumer</t>
        </is>
      </c>
      <c r="K842" s="12" t="n">
        <v>2</v>
      </c>
      <c r="L842" s="9" t="n">
        <v>189.99</v>
      </c>
      <c r="M842" s="10" t="n">
        <v>0.05</v>
      </c>
      <c r="N842" s="9" t="n">
        <v>142.49</v>
      </c>
      <c r="O842" s="9">
        <f>K842*L842</f>
        <v/>
      </c>
      <c r="P842" s="9">
        <f>O842*M842</f>
        <v/>
      </c>
      <c r="Q842" s="9">
        <f>O842-P842</f>
        <v/>
      </c>
      <c r="R842" s="9">
        <f>K842*N842</f>
        <v/>
      </c>
      <c r="S842" s="9">
        <f>Q842-R842</f>
        <v/>
      </c>
      <c r="T842" s="10">
        <f>IFERROR(S842/Q842, 0)</f>
        <v/>
      </c>
    </row>
    <row r="843">
      <c r="A843" s="11" t="inlineStr">
        <is>
          <t>ORD-2024-1101</t>
        </is>
      </c>
      <c r="B843" s="11" t="inlineStr">
        <is>
          <t>2024-11-24</t>
        </is>
      </c>
      <c r="C843" s="11" t="inlineStr">
        <is>
          <t>OFF-PAP-003</t>
        </is>
      </c>
      <c r="D843" s="7" t="inlineStr">
        <is>
          <t>UltraWhite Premium Multipurpose Paper (Case)</t>
        </is>
      </c>
      <c r="E843" s="7" t="inlineStr">
        <is>
          <t>Office Supplies</t>
        </is>
      </c>
      <c r="F843" s="7" t="inlineStr">
        <is>
          <t>Paper Products</t>
        </is>
      </c>
      <c r="G843" s="7" t="inlineStr">
        <is>
          <t>East</t>
        </is>
      </c>
      <c r="H843" s="7" t="inlineStr">
        <is>
          <t>Massachusetts</t>
        </is>
      </c>
      <c r="I843" s="7" t="inlineStr">
        <is>
          <t>Online</t>
        </is>
      </c>
      <c r="J843" s="7" t="inlineStr">
        <is>
          <t>Corporate</t>
        </is>
      </c>
      <c r="K843" s="12" t="n">
        <v>4</v>
      </c>
      <c r="L843" s="9" t="n">
        <v>54.99</v>
      </c>
      <c r="M843" s="10" t="n">
        <v>0.1</v>
      </c>
      <c r="N843" s="9" t="n">
        <v>31.89</v>
      </c>
      <c r="O843" s="9">
        <f>K843*L843</f>
        <v/>
      </c>
      <c r="P843" s="9">
        <f>O843*M843</f>
        <v/>
      </c>
      <c r="Q843" s="9">
        <f>O843-P843</f>
        <v/>
      </c>
      <c r="R843" s="9">
        <f>K843*N843</f>
        <v/>
      </c>
      <c r="S843" s="9">
        <f>Q843-R843</f>
        <v/>
      </c>
      <c r="T843" s="10">
        <f>IFERROR(S843/Q843, 0)</f>
        <v/>
      </c>
    </row>
    <row r="844">
      <c r="A844" s="11" t="inlineStr">
        <is>
          <t>ORD-2024-1163</t>
        </is>
      </c>
      <c r="B844" s="11" t="inlineStr">
        <is>
          <t>2024-11-24</t>
        </is>
      </c>
      <c r="C844" s="11" t="inlineStr">
        <is>
          <t>OFF-STR-002</t>
        </is>
      </c>
      <c r="D844" s="7" t="inlineStr">
        <is>
          <t>Stackable Heavy-Duty Storage Bins (4-Pk)</t>
        </is>
      </c>
      <c r="E844" s="7" t="inlineStr">
        <is>
          <t>Office Supplies</t>
        </is>
      </c>
      <c r="F844" s="7" t="inlineStr">
        <is>
          <t>Storage &amp; Organizers</t>
        </is>
      </c>
      <c r="G844" s="7" t="inlineStr">
        <is>
          <t>West</t>
        </is>
      </c>
      <c r="H844" s="7" t="inlineStr">
        <is>
          <t>Colorado</t>
        </is>
      </c>
      <c r="I844" s="7" t="inlineStr">
        <is>
          <t>Direct Sales</t>
        </is>
      </c>
      <c r="J844" s="7" t="inlineStr">
        <is>
          <t>Home Office</t>
        </is>
      </c>
      <c r="K844" s="12" t="n">
        <v>2</v>
      </c>
      <c r="L844" s="9" t="n">
        <v>44.99</v>
      </c>
      <c r="M844" s="10" t="n">
        <v>0</v>
      </c>
      <c r="N844" s="9" t="n">
        <v>24.74</v>
      </c>
      <c r="O844" s="9">
        <f>K844*L844</f>
        <v/>
      </c>
      <c r="P844" s="9">
        <f>O844*M844</f>
        <v/>
      </c>
      <c r="Q844" s="9">
        <f>O844-P844</f>
        <v/>
      </c>
      <c r="R844" s="9">
        <f>K844*N844</f>
        <v/>
      </c>
      <c r="S844" s="9">
        <f>Q844-R844</f>
        <v/>
      </c>
      <c r="T844" s="10">
        <f>IFERROR(S844/Q844, 0)</f>
        <v/>
      </c>
    </row>
    <row r="845">
      <c r="A845" s="11" t="inlineStr">
        <is>
          <t>ORD-2024-1256</t>
        </is>
      </c>
      <c r="B845" s="11" t="inlineStr">
        <is>
          <t>2024-11-24</t>
        </is>
      </c>
      <c r="C845" s="11" t="inlineStr">
        <is>
          <t>TEC-ACC-006</t>
        </is>
      </c>
      <c r="D845" s="7" t="inlineStr">
        <is>
          <t>MultiPort Thunderbolt 4 Dock</t>
        </is>
      </c>
      <c r="E845" s="7" t="inlineStr">
        <is>
          <t>Technology</t>
        </is>
      </c>
      <c r="F845" s="7" t="inlineStr">
        <is>
          <t>Audio &amp; Accessories</t>
        </is>
      </c>
      <c r="G845" s="7" t="inlineStr">
        <is>
          <t>South</t>
        </is>
      </c>
      <c r="H845" s="7" t="inlineStr">
        <is>
          <t>Virginia</t>
        </is>
      </c>
      <c r="I845" s="7" t="inlineStr">
        <is>
          <t>Online</t>
        </is>
      </c>
      <c r="J845" s="7" t="inlineStr">
        <is>
          <t>Consumer</t>
        </is>
      </c>
      <c r="K845" s="12" t="n">
        <v>2</v>
      </c>
      <c r="L845" s="9" t="n">
        <v>149.99</v>
      </c>
      <c r="M845" s="10" t="n">
        <v>0.2</v>
      </c>
      <c r="N845" s="9" t="n">
        <v>98.98999999999999</v>
      </c>
      <c r="O845" s="9">
        <f>K845*L845</f>
        <v/>
      </c>
      <c r="P845" s="9">
        <f>O845*M845</f>
        <v/>
      </c>
      <c r="Q845" s="9">
        <f>O845-P845</f>
        <v/>
      </c>
      <c r="R845" s="9">
        <f>K845*N845</f>
        <v/>
      </c>
      <c r="S845" s="9">
        <f>Q845-R845</f>
        <v/>
      </c>
      <c r="T845" s="10">
        <f>IFERROR(S845/Q845, 0)</f>
        <v/>
      </c>
    </row>
    <row r="846">
      <c r="A846" s="11" t="inlineStr">
        <is>
          <t>ORD-2024-1288</t>
        </is>
      </c>
      <c r="B846" s="11" t="inlineStr">
        <is>
          <t>2024-11-24</t>
        </is>
      </c>
      <c r="C846" s="11" t="inlineStr">
        <is>
          <t>OFF-STR-002</t>
        </is>
      </c>
      <c r="D846" s="7" t="inlineStr">
        <is>
          <t>Stackable Heavy-Duty Storage Bins (4-Pk)</t>
        </is>
      </c>
      <c r="E846" s="7" t="inlineStr">
        <is>
          <t>Office Supplies</t>
        </is>
      </c>
      <c r="F846" s="7" t="inlineStr">
        <is>
          <t>Storage &amp; Organizers</t>
        </is>
      </c>
      <c r="G846" s="7" t="inlineStr">
        <is>
          <t>Central</t>
        </is>
      </c>
      <c r="H846" s="7" t="inlineStr">
        <is>
          <t>Illinois</t>
        </is>
      </c>
      <c r="I846" s="7" t="inlineStr">
        <is>
          <t>Online</t>
        </is>
      </c>
      <c r="J846" s="7" t="inlineStr">
        <is>
          <t>Consumer</t>
        </is>
      </c>
      <c r="K846" s="12" t="n">
        <v>4</v>
      </c>
      <c r="L846" s="9" t="n">
        <v>44.99</v>
      </c>
      <c r="M846" s="10" t="n">
        <v>0</v>
      </c>
      <c r="N846" s="9" t="n">
        <v>24.74</v>
      </c>
      <c r="O846" s="9">
        <f>K846*L846</f>
        <v/>
      </c>
      <c r="P846" s="9">
        <f>O846*M846</f>
        <v/>
      </c>
      <c r="Q846" s="9">
        <f>O846-P846</f>
        <v/>
      </c>
      <c r="R846" s="9">
        <f>K846*N846</f>
        <v/>
      </c>
      <c r="S846" s="9">
        <f>Q846-R846</f>
        <v/>
      </c>
      <c r="T846" s="10">
        <f>IFERROR(S846/Q846, 0)</f>
        <v/>
      </c>
    </row>
    <row r="847">
      <c r="A847" s="11" t="inlineStr">
        <is>
          <t>ORD-2024-1288</t>
        </is>
      </c>
      <c r="B847" s="11" t="inlineStr">
        <is>
          <t>2024-11-24</t>
        </is>
      </c>
      <c r="C847" s="11" t="inlineStr">
        <is>
          <t>FUR-DSK-004</t>
        </is>
      </c>
      <c r="D847" s="7" t="inlineStr">
        <is>
          <t>Metro Compact Corner Workstation</t>
        </is>
      </c>
      <c r="E847" s="7" t="inlineStr">
        <is>
          <t>Furniture</t>
        </is>
      </c>
      <c r="F847" s="7" t="inlineStr">
        <is>
          <t>Desks &amp; Workstations</t>
        </is>
      </c>
      <c r="G847" s="7" t="inlineStr">
        <is>
          <t>Central</t>
        </is>
      </c>
      <c r="H847" s="7" t="inlineStr">
        <is>
          <t>Illinois</t>
        </is>
      </c>
      <c r="I847" s="7" t="inlineStr">
        <is>
          <t>Online</t>
        </is>
      </c>
      <c r="J847" s="7" t="inlineStr">
        <is>
          <t>Consumer</t>
        </is>
      </c>
      <c r="K847" s="12" t="n">
        <v>1</v>
      </c>
      <c r="L847" s="9" t="n">
        <v>329.99</v>
      </c>
      <c r="M847" s="10" t="n">
        <v>0.05</v>
      </c>
      <c r="N847" s="9" t="n">
        <v>250.79</v>
      </c>
      <c r="O847" s="9">
        <f>K847*L847</f>
        <v/>
      </c>
      <c r="P847" s="9">
        <f>O847*M847</f>
        <v/>
      </c>
      <c r="Q847" s="9">
        <f>O847-P847</f>
        <v/>
      </c>
      <c r="R847" s="9">
        <f>K847*N847</f>
        <v/>
      </c>
      <c r="S847" s="9">
        <f>Q847-R847</f>
        <v/>
      </c>
      <c r="T847" s="10">
        <f>IFERROR(S847/Q847, 0)</f>
        <v/>
      </c>
    </row>
    <row r="848">
      <c r="A848" s="11" t="inlineStr">
        <is>
          <t>ORD-2024-1729</t>
        </is>
      </c>
      <c r="B848" s="11" t="inlineStr">
        <is>
          <t>2024-11-24</t>
        </is>
      </c>
      <c r="C848" s="11" t="inlineStr">
        <is>
          <t>TEC-LAP-002</t>
        </is>
      </c>
      <c r="D848" s="7" t="inlineStr">
        <is>
          <t>Apex Gaming Laptop 17"</t>
        </is>
      </c>
      <c r="E848" s="7" t="inlineStr">
        <is>
          <t>Technology</t>
        </is>
      </c>
      <c r="F848" s="7" t="inlineStr">
        <is>
          <t>Laptops</t>
        </is>
      </c>
      <c r="G848" s="7" t="inlineStr">
        <is>
          <t>South</t>
        </is>
      </c>
      <c r="H848" s="7" t="inlineStr">
        <is>
          <t>Georgia</t>
        </is>
      </c>
      <c r="I848" s="7" t="inlineStr">
        <is>
          <t>Online</t>
        </is>
      </c>
      <c r="J848" s="7" t="inlineStr">
        <is>
          <t>Home Office</t>
        </is>
      </c>
      <c r="K848" s="12" t="n">
        <v>2</v>
      </c>
      <c r="L848" s="9" t="n">
        <v>1499.99</v>
      </c>
      <c r="M848" s="10" t="n">
        <v>0.2</v>
      </c>
      <c r="N848" s="9" t="n">
        <v>1259.99</v>
      </c>
      <c r="O848" s="9">
        <f>K848*L848</f>
        <v/>
      </c>
      <c r="P848" s="9">
        <f>O848*M848</f>
        <v/>
      </c>
      <c r="Q848" s="9">
        <f>O848-P848</f>
        <v/>
      </c>
      <c r="R848" s="9">
        <f>K848*N848</f>
        <v/>
      </c>
      <c r="S848" s="9">
        <f>Q848-R848</f>
        <v/>
      </c>
      <c r="T848" s="10">
        <f>IFERROR(S848/Q848, 0)</f>
        <v/>
      </c>
    </row>
    <row r="849">
      <c r="A849" s="11" t="inlineStr">
        <is>
          <t>ORD-2024-1121</t>
        </is>
      </c>
      <c r="B849" s="11" t="inlineStr">
        <is>
          <t>2024-11-25</t>
        </is>
      </c>
      <c r="C849" s="11" t="inlineStr">
        <is>
          <t>OFF-DSK-007</t>
        </is>
      </c>
      <c r="D849" s="7" t="inlineStr">
        <is>
          <t>Gel Ergo Mouse Pad &amp; Wrist Rest Combo</t>
        </is>
      </c>
      <c r="E849" s="7" t="inlineStr">
        <is>
          <t>Office Supplies</t>
        </is>
      </c>
      <c r="F849" s="7" t="inlineStr">
        <is>
          <t>Desk Supplies</t>
        </is>
      </c>
      <c r="G849" s="7" t="inlineStr">
        <is>
          <t>West</t>
        </is>
      </c>
      <c r="H849" s="7" t="inlineStr">
        <is>
          <t>Washington</t>
        </is>
      </c>
      <c r="I849" s="7" t="inlineStr">
        <is>
          <t>Online</t>
        </is>
      </c>
      <c r="J849" s="7" t="inlineStr">
        <is>
          <t>Corporate</t>
        </is>
      </c>
      <c r="K849" s="12" t="n">
        <v>4</v>
      </c>
      <c r="L849" s="9" t="n">
        <v>21.99</v>
      </c>
      <c r="M849" s="10" t="n">
        <v>0.1</v>
      </c>
      <c r="N849" s="9" t="n">
        <v>10.56</v>
      </c>
      <c r="O849" s="9">
        <f>K849*L849</f>
        <v/>
      </c>
      <c r="P849" s="9">
        <f>O849*M849</f>
        <v/>
      </c>
      <c r="Q849" s="9">
        <f>O849-P849</f>
        <v/>
      </c>
      <c r="R849" s="9">
        <f>K849*N849</f>
        <v/>
      </c>
      <c r="S849" s="9">
        <f>Q849-R849</f>
        <v/>
      </c>
      <c r="T849" s="10">
        <f>IFERROR(S849/Q849, 0)</f>
        <v/>
      </c>
    </row>
    <row r="850">
      <c r="A850" s="11" t="inlineStr">
        <is>
          <t>ORD-2024-1353</t>
        </is>
      </c>
      <c r="B850" s="11" t="inlineStr">
        <is>
          <t>2024-11-25</t>
        </is>
      </c>
      <c r="C850" s="11" t="inlineStr">
        <is>
          <t>OFF-DSK-008</t>
        </is>
      </c>
      <c r="D850" s="7" t="inlineStr">
        <is>
          <t>Steel Desktop Mesh Organizer Caddy</t>
        </is>
      </c>
      <c r="E850" s="7" t="inlineStr">
        <is>
          <t>Office Supplies</t>
        </is>
      </c>
      <c r="F850" s="7" t="inlineStr">
        <is>
          <t>Desk Supplies</t>
        </is>
      </c>
      <c r="G850" s="7" t="inlineStr">
        <is>
          <t>East</t>
        </is>
      </c>
      <c r="H850" s="7" t="inlineStr">
        <is>
          <t>Massachusetts</t>
        </is>
      </c>
      <c r="I850" s="7" t="inlineStr">
        <is>
          <t>Online</t>
        </is>
      </c>
      <c r="J850" s="7" t="inlineStr">
        <is>
          <t>Consumer</t>
        </is>
      </c>
      <c r="K850" s="12" t="n">
        <v>1</v>
      </c>
      <c r="L850" s="9" t="n">
        <v>18.99</v>
      </c>
      <c r="M850" s="10" t="n">
        <v>0.1</v>
      </c>
      <c r="N850" s="9" t="n">
        <v>8.550000000000001</v>
      </c>
      <c r="O850" s="9">
        <f>K850*L850</f>
        <v/>
      </c>
      <c r="P850" s="9">
        <f>O850*M850</f>
        <v/>
      </c>
      <c r="Q850" s="9">
        <f>O850-P850</f>
        <v/>
      </c>
      <c r="R850" s="9">
        <f>K850*N850</f>
        <v/>
      </c>
      <c r="S850" s="9">
        <f>Q850-R850</f>
        <v/>
      </c>
      <c r="T850" s="10">
        <f>IFERROR(S850/Q850, 0)</f>
        <v/>
      </c>
    </row>
    <row r="851">
      <c r="A851" s="11" t="inlineStr">
        <is>
          <t>ORD-2024-1353</t>
        </is>
      </c>
      <c r="B851" s="11" t="inlineStr">
        <is>
          <t>2024-11-25</t>
        </is>
      </c>
      <c r="C851" s="11" t="inlineStr">
        <is>
          <t>OFF-DSK-007</t>
        </is>
      </c>
      <c r="D851" s="7" t="inlineStr">
        <is>
          <t>Gel Ergo Mouse Pad &amp; Wrist Rest Combo</t>
        </is>
      </c>
      <c r="E851" s="7" t="inlineStr">
        <is>
          <t>Office Supplies</t>
        </is>
      </c>
      <c r="F851" s="7" t="inlineStr">
        <is>
          <t>Desk Supplies</t>
        </is>
      </c>
      <c r="G851" s="7" t="inlineStr">
        <is>
          <t>East</t>
        </is>
      </c>
      <c r="H851" s="7" t="inlineStr">
        <is>
          <t>Massachusetts</t>
        </is>
      </c>
      <c r="I851" s="7" t="inlineStr">
        <is>
          <t>Online</t>
        </is>
      </c>
      <c r="J851" s="7" t="inlineStr">
        <is>
          <t>Consumer</t>
        </is>
      </c>
      <c r="K851" s="12" t="n">
        <v>3</v>
      </c>
      <c r="L851" s="9" t="n">
        <v>21.99</v>
      </c>
      <c r="M851" s="10" t="n">
        <v>0.15</v>
      </c>
      <c r="N851" s="9" t="n">
        <v>10.56</v>
      </c>
      <c r="O851" s="9">
        <f>K851*L851</f>
        <v/>
      </c>
      <c r="P851" s="9">
        <f>O851*M851</f>
        <v/>
      </c>
      <c r="Q851" s="9">
        <f>O851-P851</f>
        <v/>
      </c>
      <c r="R851" s="9">
        <f>K851*N851</f>
        <v/>
      </c>
      <c r="S851" s="9">
        <f>Q851-R851</f>
        <v/>
      </c>
      <c r="T851" s="10">
        <f>IFERROR(S851/Q851, 0)</f>
        <v/>
      </c>
    </row>
    <row r="852">
      <c r="A852" s="11" t="inlineStr">
        <is>
          <t>ORD-2024-1487</t>
        </is>
      </c>
      <c r="B852" s="11" t="inlineStr">
        <is>
          <t>2024-11-25</t>
        </is>
      </c>
      <c r="C852" s="11" t="inlineStr">
        <is>
          <t>FUR-CHA-002</t>
        </is>
      </c>
      <c r="D852" s="7" t="inlineStr">
        <is>
          <t>AeroTask Operator Task Chair</t>
        </is>
      </c>
      <c r="E852" s="7" t="inlineStr">
        <is>
          <t>Furniture</t>
        </is>
      </c>
      <c r="F852" s="7" t="inlineStr">
        <is>
          <t>Chairs</t>
        </is>
      </c>
      <c r="G852" s="7" t="inlineStr">
        <is>
          <t>West</t>
        </is>
      </c>
      <c r="H852" s="7" t="inlineStr">
        <is>
          <t>Washington</t>
        </is>
      </c>
      <c r="I852" s="7" t="inlineStr">
        <is>
          <t>Direct Sales</t>
        </is>
      </c>
      <c r="J852" s="7" t="inlineStr">
        <is>
          <t>Corporate</t>
        </is>
      </c>
      <c r="K852" s="12" t="n">
        <v>2</v>
      </c>
      <c r="L852" s="9" t="n">
        <v>219.99</v>
      </c>
      <c r="M852" s="10" t="n">
        <v>0</v>
      </c>
      <c r="N852" s="9" t="n">
        <v>171.59</v>
      </c>
      <c r="O852" s="9">
        <f>K852*L852</f>
        <v/>
      </c>
      <c r="P852" s="9">
        <f>O852*M852</f>
        <v/>
      </c>
      <c r="Q852" s="9">
        <f>O852-P852</f>
        <v/>
      </c>
      <c r="R852" s="9">
        <f>K852*N852</f>
        <v/>
      </c>
      <c r="S852" s="9">
        <f>Q852-R852</f>
        <v/>
      </c>
      <c r="T852" s="10">
        <f>IFERROR(S852/Q852, 0)</f>
        <v/>
      </c>
    </row>
    <row r="853">
      <c r="A853" s="11" t="inlineStr">
        <is>
          <t>ORD-2024-1576</t>
        </is>
      </c>
      <c r="B853" s="11" t="inlineStr">
        <is>
          <t>2024-11-25</t>
        </is>
      </c>
      <c r="C853" s="11" t="inlineStr">
        <is>
          <t>FUR-LGT-006</t>
        </is>
      </c>
      <c r="D853" s="7" t="inlineStr">
        <is>
          <t>Architect LED Desk Task Lamp</t>
        </is>
      </c>
      <c r="E853" s="7" t="inlineStr">
        <is>
          <t>Furniture</t>
        </is>
      </c>
      <c r="F853" s="7" t="inlineStr">
        <is>
          <t>Lighting</t>
        </is>
      </c>
      <c r="G853" s="7" t="inlineStr">
        <is>
          <t>West</t>
        </is>
      </c>
      <c r="H853" s="7" t="inlineStr">
        <is>
          <t>California</t>
        </is>
      </c>
      <c r="I853" s="7" t="inlineStr">
        <is>
          <t>Online</t>
        </is>
      </c>
      <c r="J853" s="7" t="inlineStr">
        <is>
          <t>Consumer</t>
        </is>
      </c>
      <c r="K853" s="12" t="n">
        <v>2</v>
      </c>
      <c r="L853" s="9" t="n">
        <v>69.98999999999999</v>
      </c>
      <c r="M853" s="10" t="n">
        <v>0</v>
      </c>
      <c r="N853" s="9" t="n">
        <v>43.39</v>
      </c>
      <c r="O853" s="9">
        <f>K853*L853</f>
        <v/>
      </c>
      <c r="P853" s="9">
        <f>O853*M853</f>
        <v/>
      </c>
      <c r="Q853" s="9">
        <f>O853-P853</f>
        <v/>
      </c>
      <c r="R853" s="9">
        <f>K853*N853</f>
        <v/>
      </c>
      <c r="S853" s="9">
        <f>Q853-R853</f>
        <v/>
      </c>
      <c r="T853" s="10">
        <f>IFERROR(S853/Q853, 0)</f>
        <v/>
      </c>
    </row>
    <row r="854">
      <c r="A854" s="11" t="inlineStr">
        <is>
          <t>ORD-2024-1026</t>
        </is>
      </c>
      <c r="B854" s="11" t="inlineStr">
        <is>
          <t>2024-11-26</t>
        </is>
      </c>
      <c r="C854" s="11" t="inlineStr">
        <is>
          <t>OFF-ART-006</t>
        </is>
      </c>
      <c r="D854" s="7" t="inlineStr">
        <is>
          <t>Professional Presentation Dry Erase Board</t>
        </is>
      </c>
      <c r="E854" s="7" t="inlineStr">
        <is>
          <t>Office Supplies</t>
        </is>
      </c>
      <c r="F854" s="7" t="inlineStr">
        <is>
          <t>Presentation &amp; Art</t>
        </is>
      </c>
      <c r="G854" s="7" t="inlineStr">
        <is>
          <t>West</t>
        </is>
      </c>
      <c r="H854" s="7" t="inlineStr">
        <is>
          <t>Colorado</t>
        </is>
      </c>
      <c r="I854" s="7" t="inlineStr">
        <is>
          <t>Online</t>
        </is>
      </c>
      <c r="J854" s="7" t="inlineStr">
        <is>
          <t>Consumer</t>
        </is>
      </c>
      <c r="K854" s="12" t="n">
        <v>1</v>
      </c>
      <c r="L854" s="9" t="n">
        <v>89.98999999999999</v>
      </c>
      <c r="M854" s="10" t="n">
        <v>0.1</v>
      </c>
      <c r="N854" s="9" t="n">
        <v>53.99</v>
      </c>
      <c r="O854" s="9">
        <f>K854*L854</f>
        <v/>
      </c>
      <c r="P854" s="9">
        <f>O854*M854</f>
        <v/>
      </c>
      <c r="Q854" s="9">
        <f>O854-P854</f>
        <v/>
      </c>
      <c r="R854" s="9">
        <f>K854*N854</f>
        <v/>
      </c>
      <c r="S854" s="9">
        <f>Q854-R854</f>
        <v/>
      </c>
      <c r="T854" s="10">
        <f>IFERROR(S854/Q854, 0)</f>
        <v/>
      </c>
    </row>
    <row r="855">
      <c r="A855" s="11" t="inlineStr">
        <is>
          <t>ORD-2024-1393</t>
        </is>
      </c>
      <c r="B855" s="11" t="inlineStr">
        <is>
          <t>2024-11-26</t>
        </is>
      </c>
      <c r="C855" s="11" t="inlineStr">
        <is>
          <t>FUR-DSK-004</t>
        </is>
      </c>
      <c r="D855" s="7" t="inlineStr">
        <is>
          <t>Metro Compact Corner Workstation</t>
        </is>
      </c>
      <c r="E855" s="7" t="inlineStr">
        <is>
          <t>Furniture</t>
        </is>
      </c>
      <c r="F855" s="7" t="inlineStr">
        <is>
          <t>Desks &amp; Workstations</t>
        </is>
      </c>
      <c r="G855" s="7" t="inlineStr">
        <is>
          <t>East</t>
        </is>
      </c>
      <c r="H855" s="7" t="inlineStr">
        <is>
          <t>New York</t>
        </is>
      </c>
      <c r="I855" s="7" t="inlineStr">
        <is>
          <t>Wholesale</t>
        </is>
      </c>
      <c r="J855" s="7" t="inlineStr">
        <is>
          <t>Consumer</t>
        </is>
      </c>
      <c r="K855" s="12" t="n">
        <v>8</v>
      </c>
      <c r="L855" s="9" t="n">
        <v>329.99</v>
      </c>
      <c r="M855" s="10" t="n">
        <v>0.2</v>
      </c>
      <c r="N855" s="9" t="n">
        <v>250.79</v>
      </c>
      <c r="O855" s="9">
        <f>K855*L855</f>
        <v/>
      </c>
      <c r="P855" s="9">
        <f>O855*M855</f>
        <v/>
      </c>
      <c r="Q855" s="9">
        <f>O855-P855</f>
        <v/>
      </c>
      <c r="R855" s="9">
        <f>K855*N855</f>
        <v/>
      </c>
      <c r="S855" s="9">
        <f>Q855-R855</f>
        <v/>
      </c>
      <c r="T855" s="10">
        <f>IFERROR(S855/Q855, 0)</f>
        <v/>
      </c>
    </row>
    <row r="856">
      <c r="A856" s="11" t="inlineStr">
        <is>
          <t>ORD-2024-1398</t>
        </is>
      </c>
      <c r="B856" s="11" t="inlineStr">
        <is>
          <t>2024-11-26</t>
        </is>
      </c>
      <c r="C856" s="11" t="inlineStr">
        <is>
          <t>TEC-LAP-002</t>
        </is>
      </c>
      <c r="D856" s="7" t="inlineStr">
        <is>
          <t>Apex Gaming Laptop 17"</t>
        </is>
      </c>
      <c r="E856" s="7" t="inlineStr">
        <is>
          <t>Technology</t>
        </is>
      </c>
      <c r="F856" s="7" t="inlineStr">
        <is>
          <t>Laptops</t>
        </is>
      </c>
      <c r="G856" s="7" t="inlineStr">
        <is>
          <t>Central</t>
        </is>
      </c>
      <c r="H856" s="7" t="inlineStr">
        <is>
          <t>Texas</t>
        </is>
      </c>
      <c r="I856" s="7" t="inlineStr">
        <is>
          <t>Retail Partner</t>
        </is>
      </c>
      <c r="J856" s="7" t="inlineStr">
        <is>
          <t>Consumer</t>
        </is>
      </c>
      <c r="K856" s="12" t="n">
        <v>3</v>
      </c>
      <c r="L856" s="9" t="n">
        <v>1499.99</v>
      </c>
      <c r="M856" s="10" t="n">
        <v>0.2</v>
      </c>
      <c r="N856" s="9" t="n">
        <v>1259.99</v>
      </c>
      <c r="O856" s="9">
        <f>K856*L856</f>
        <v/>
      </c>
      <c r="P856" s="9">
        <f>O856*M856</f>
        <v/>
      </c>
      <c r="Q856" s="9">
        <f>O856-P856</f>
        <v/>
      </c>
      <c r="R856" s="9">
        <f>K856*N856</f>
        <v/>
      </c>
      <c r="S856" s="9">
        <f>Q856-R856</f>
        <v/>
      </c>
      <c r="T856" s="10">
        <f>IFERROR(S856/Q856, 0)</f>
        <v/>
      </c>
    </row>
    <row r="857">
      <c r="A857" s="11" t="inlineStr">
        <is>
          <t>ORD-2024-1398</t>
        </is>
      </c>
      <c r="B857" s="11" t="inlineStr">
        <is>
          <t>2024-11-26</t>
        </is>
      </c>
      <c r="C857" s="11" t="inlineStr">
        <is>
          <t>FUR-CHA-002</t>
        </is>
      </c>
      <c r="D857" s="7" t="inlineStr">
        <is>
          <t>AeroTask Operator Task Chair</t>
        </is>
      </c>
      <c r="E857" s="7" t="inlineStr">
        <is>
          <t>Furniture</t>
        </is>
      </c>
      <c r="F857" s="7" t="inlineStr">
        <is>
          <t>Chairs</t>
        </is>
      </c>
      <c r="G857" s="7" t="inlineStr">
        <is>
          <t>Central</t>
        </is>
      </c>
      <c r="H857" s="7" t="inlineStr">
        <is>
          <t>Texas</t>
        </is>
      </c>
      <c r="I857" s="7" t="inlineStr">
        <is>
          <t>Retail Partner</t>
        </is>
      </c>
      <c r="J857" s="7" t="inlineStr">
        <is>
          <t>Consumer</t>
        </is>
      </c>
      <c r="K857" s="12" t="n">
        <v>4</v>
      </c>
      <c r="L857" s="9" t="n">
        <v>219.99</v>
      </c>
      <c r="M857" s="10" t="n">
        <v>0.1</v>
      </c>
      <c r="N857" s="9" t="n">
        <v>171.59</v>
      </c>
      <c r="O857" s="9">
        <f>K857*L857</f>
        <v/>
      </c>
      <c r="P857" s="9">
        <f>O857*M857</f>
        <v/>
      </c>
      <c r="Q857" s="9">
        <f>O857-P857</f>
        <v/>
      </c>
      <c r="R857" s="9">
        <f>K857*N857</f>
        <v/>
      </c>
      <c r="S857" s="9">
        <f>Q857-R857</f>
        <v/>
      </c>
      <c r="T857" s="10">
        <f>IFERROR(S857/Q857, 0)</f>
        <v/>
      </c>
    </row>
    <row r="858">
      <c r="A858" s="11" t="inlineStr">
        <is>
          <t>ORD-2024-1425</t>
        </is>
      </c>
      <c r="B858" s="11" t="inlineStr">
        <is>
          <t>2024-11-26</t>
        </is>
      </c>
      <c r="C858" s="11" t="inlineStr">
        <is>
          <t>OFF-PAP-003</t>
        </is>
      </c>
      <c r="D858" s="7" t="inlineStr">
        <is>
          <t>UltraWhite Premium Multipurpose Paper (Case)</t>
        </is>
      </c>
      <c r="E858" s="7" t="inlineStr">
        <is>
          <t>Office Supplies</t>
        </is>
      </c>
      <c r="F858" s="7" t="inlineStr">
        <is>
          <t>Paper Products</t>
        </is>
      </c>
      <c r="G858" s="7" t="inlineStr">
        <is>
          <t>East</t>
        </is>
      </c>
      <c r="H858" s="7" t="inlineStr">
        <is>
          <t>Massachusetts</t>
        </is>
      </c>
      <c r="I858" s="7" t="inlineStr">
        <is>
          <t>Online</t>
        </is>
      </c>
      <c r="J858" s="7" t="inlineStr">
        <is>
          <t>Consumer</t>
        </is>
      </c>
      <c r="K858" s="12" t="n">
        <v>2</v>
      </c>
      <c r="L858" s="9" t="n">
        <v>54.99</v>
      </c>
      <c r="M858" s="10" t="n">
        <v>0</v>
      </c>
      <c r="N858" s="9" t="n">
        <v>31.89</v>
      </c>
      <c r="O858" s="9">
        <f>K858*L858</f>
        <v/>
      </c>
      <c r="P858" s="9">
        <f>O858*M858</f>
        <v/>
      </c>
      <c r="Q858" s="9">
        <f>O858-P858</f>
        <v/>
      </c>
      <c r="R858" s="9">
        <f>K858*N858</f>
        <v/>
      </c>
      <c r="S858" s="9">
        <f>Q858-R858</f>
        <v/>
      </c>
      <c r="T858" s="10">
        <f>IFERROR(S858/Q858, 0)</f>
        <v/>
      </c>
    </row>
    <row r="859">
      <c r="A859" s="11" t="inlineStr">
        <is>
          <t>ORD-2024-1466</t>
        </is>
      </c>
      <c r="B859" s="11" t="inlineStr">
        <is>
          <t>2024-11-26</t>
        </is>
      </c>
      <c r="C859" s="11" t="inlineStr">
        <is>
          <t>OFF-PAP-003</t>
        </is>
      </c>
      <c r="D859" s="7" t="inlineStr">
        <is>
          <t>UltraWhite Premium Multipurpose Paper (Case)</t>
        </is>
      </c>
      <c r="E859" s="7" t="inlineStr">
        <is>
          <t>Office Supplies</t>
        </is>
      </c>
      <c r="F859" s="7" t="inlineStr">
        <is>
          <t>Paper Products</t>
        </is>
      </c>
      <c r="G859" s="7" t="inlineStr">
        <is>
          <t>East</t>
        </is>
      </c>
      <c r="H859" s="7" t="inlineStr">
        <is>
          <t>New Jersey</t>
        </is>
      </c>
      <c r="I859" s="7" t="inlineStr">
        <is>
          <t>Online</t>
        </is>
      </c>
      <c r="J859" s="7" t="inlineStr">
        <is>
          <t>Home Office</t>
        </is>
      </c>
      <c r="K859" s="12" t="n">
        <v>4</v>
      </c>
      <c r="L859" s="9" t="n">
        <v>54.99</v>
      </c>
      <c r="M859" s="10" t="n">
        <v>0.1</v>
      </c>
      <c r="N859" s="9" t="n">
        <v>31.89</v>
      </c>
      <c r="O859" s="9">
        <f>K859*L859</f>
        <v/>
      </c>
      <c r="P859" s="9">
        <f>O859*M859</f>
        <v/>
      </c>
      <c r="Q859" s="9">
        <f>O859-P859</f>
        <v/>
      </c>
      <c r="R859" s="9">
        <f>K859*N859</f>
        <v/>
      </c>
      <c r="S859" s="9">
        <f>Q859-R859</f>
        <v/>
      </c>
      <c r="T859" s="10">
        <f>IFERROR(S859/Q859, 0)</f>
        <v/>
      </c>
    </row>
    <row r="860">
      <c r="A860" s="11" t="inlineStr">
        <is>
          <t>ORD-2024-1273</t>
        </is>
      </c>
      <c r="B860" s="11" t="inlineStr">
        <is>
          <t>2024-11-27</t>
        </is>
      </c>
      <c r="C860" s="11" t="inlineStr">
        <is>
          <t>OFF-ART-006</t>
        </is>
      </c>
      <c r="D860" s="7" t="inlineStr">
        <is>
          <t>Professional Presentation Dry Erase Board</t>
        </is>
      </c>
      <c r="E860" s="7" t="inlineStr">
        <is>
          <t>Office Supplies</t>
        </is>
      </c>
      <c r="F860" s="7" t="inlineStr">
        <is>
          <t>Presentation &amp; Art</t>
        </is>
      </c>
      <c r="G860" s="7" t="inlineStr">
        <is>
          <t>Central</t>
        </is>
      </c>
      <c r="H860" s="7" t="inlineStr">
        <is>
          <t>Michigan</t>
        </is>
      </c>
      <c r="I860" s="7" t="inlineStr">
        <is>
          <t>Retail Partner</t>
        </is>
      </c>
      <c r="J860" s="7" t="inlineStr">
        <is>
          <t>Consumer</t>
        </is>
      </c>
      <c r="K860" s="12" t="n">
        <v>4</v>
      </c>
      <c r="L860" s="9" t="n">
        <v>89.98999999999999</v>
      </c>
      <c r="M860" s="10" t="n">
        <v>0.05</v>
      </c>
      <c r="N860" s="9" t="n">
        <v>53.99</v>
      </c>
      <c r="O860" s="9">
        <f>K860*L860</f>
        <v/>
      </c>
      <c r="P860" s="9">
        <f>O860*M860</f>
        <v/>
      </c>
      <c r="Q860" s="9">
        <f>O860-P860</f>
        <v/>
      </c>
      <c r="R860" s="9">
        <f>K860*N860</f>
        <v/>
      </c>
      <c r="S860" s="9">
        <f>Q860-R860</f>
        <v/>
      </c>
      <c r="T860" s="10">
        <f>IFERROR(S860/Q860, 0)</f>
        <v/>
      </c>
    </row>
    <row r="861">
      <c r="A861" s="11" t="inlineStr">
        <is>
          <t>ORD-2024-1399</t>
        </is>
      </c>
      <c r="B861" s="11" t="inlineStr">
        <is>
          <t>2024-11-27</t>
        </is>
      </c>
      <c r="C861" s="11" t="inlineStr">
        <is>
          <t>FUR-CHA-001</t>
        </is>
      </c>
      <c r="D861" s="7" t="inlineStr">
        <is>
          <t>ErgoFlex Executive Mesh Chair</t>
        </is>
      </c>
      <c r="E861" s="7" t="inlineStr">
        <is>
          <t>Furniture</t>
        </is>
      </c>
      <c r="F861" s="7" t="inlineStr">
        <is>
          <t>Chairs</t>
        </is>
      </c>
      <c r="G861" s="7" t="inlineStr">
        <is>
          <t>Central</t>
        </is>
      </c>
      <c r="H861" s="7" t="inlineStr">
        <is>
          <t>Michigan</t>
        </is>
      </c>
      <c r="I861" s="7" t="inlineStr">
        <is>
          <t>Direct Sales</t>
        </is>
      </c>
      <c r="J861" s="7" t="inlineStr">
        <is>
          <t>Consumer</t>
        </is>
      </c>
      <c r="K861" s="12" t="n">
        <v>1</v>
      </c>
      <c r="L861" s="9" t="n">
        <v>389.99</v>
      </c>
      <c r="M861" s="10" t="n">
        <v>0.05</v>
      </c>
      <c r="N861" s="9" t="n">
        <v>331.49</v>
      </c>
      <c r="O861" s="9">
        <f>K861*L861</f>
        <v/>
      </c>
      <c r="P861" s="9">
        <f>O861*M861</f>
        <v/>
      </c>
      <c r="Q861" s="9">
        <f>O861-P861</f>
        <v/>
      </c>
      <c r="R861" s="9">
        <f>K861*N861</f>
        <v/>
      </c>
      <c r="S861" s="9">
        <f>Q861-R861</f>
        <v/>
      </c>
      <c r="T861" s="10">
        <f>IFERROR(S861/Q861, 0)</f>
        <v/>
      </c>
    </row>
    <row r="862">
      <c r="A862" s="11" t="inlineStr">
        <is>
          <t>ORD-2024-1577</t>
        </is>
      </c>
      <c r="B862" s="11" t="inlineStr">
        <is>
          <t>2024-11-27</t>
        </is>
      </c>
      <c r="C862" s="11" t="inlineStr">
        <is>
          <t>TEC-TAB-003</t>
        </is>
      </c>
      <c r="D862" s="7" t="inlineStr">
        <is>
          <t>VisionPad Pro 11"</t>
        </is>
      </c>
      <c r="E862" s="7" t="inlineStr">
        <is>
          <t>Technology</t>
        </is>
      </c>
      <c r="F862" s="7" t="inlineStr">
        <is>
          <t>Phones &amp; Tablets</t>
        </is>
      </c>
      <c r="G862" s="7" t="inlineStr">
        <is>
          <t>West</t>
        </is>
      </c>
      <c r="H862" s="7" t="inlineStr">
        <is>
          <t>Washington</t>
        </is>
      </c>
      <c r="I862" s="7" t="inlineStr">
        <is>
          <t>Direct Sales</t>
        </is>
      </c>
      <c r="J862" s="7" t="inlineStr">
        <is>
          <t>Consumer</t>
        </is>
      </c>
      <c r="K862" s="12" t="n">
        <v>2</v>
      </c>
      <c r="L862" s="9" t="n">
        <v>649.99</v>
      </c>
      <c r="M862" s="10" t="n">
        <v>0.05</v>
      </c>
      <c r="N862" s="9" t="n">
        <v>487.49</v>
      </c>
      <c r="O862" s="9">
        <f>K862*L862</f>
        <v/>
      </c>
      <c r="P862" s="9">
        <f>O862*M862</f>
        <v/>
      </c>
      <c r="Q862" s="9">
        <f>O862-P862</f>
        <v/>
      </c>
      <c r="R862" s="9">
        <f>K862*N862</f>
        <v/>
      </c>
      <c r="S862" s="9">
        <f>Q862-R862</f>
        <v/>
      </c>
      <c r="T862" s="10">
        <f>IFERROR(S862/Q862, 0)</f>
        <v/>
      </c>
    </row>
    <row r="863">
      <c r="A863" s="11" t="inlineStr">
        <is>
          <t>ORD-2024-1633</t>
        </is>
      </c>
      <c r="B863" s="11" t="inlineStr">
        <is>
          <t>2024-11-27</t>
        </is>
      </c>
      <c r="C863" s="11" t="inlineStr">
        <is>
          <t>OFF-DSK-008</t>
        </is>
      </c>
      <c r="D863" s="7" t="inlineStr">
        <is>
          <t>Steel Desktop Mesh Organizer Caddy</t>
        </is>
      </c>
      <c r="E863" s="7" t="inlineStr">
        <is>
          <t>Office Supplies</t>
        </is>
      </c>
      <c r="F863" s="7" t="inlineStr">
        <is>
          <t>Desk Supplies</t>
        </is>
      </c>
      <c r="G863" s="7" t="inlineStr">
        <is>
          <t>Central</t>
        </is>
      </c>
      <c r="H863" s="7" t="inlineStr">
        <is>
          <t>Michigan</t>
        </is>
      </c>
      <c r="I863" s="7" t="inlineStr">
        <is>
          <t>Retail Partner</t>
        </is>
      </c>
      <c r="J863" s="7" t="inlineStr">
        <is>
          <t>Consumer</t>
        </is>
      </c>
      <c r="K863" s="12" t="n">
        <v>4</v>
      </c>
      <c r="L863" s="9" t="n">
        <v>18.99</v>
      </c>
      <c r="M863" s="10" t="n">
        <v>0.1</v>
      </c>
      <c r="N863" s="9" t="n">
        <v>8.550000000000001</v>
      </c>
      <c r="O863" s="9">
        <f>K863*L863</f>
        <v/>
      </c>
      <c r="P863" s="9">
        <f>O863*M863</f>
        <v/>
      </c>
      <c r="Q863" s="9">
        <f>O863-P863</f>
        <v/>
      </c>
      <c r="R863" s="9">
        <f>K863*N863</f>
        <v/>
      </c>
      <c r="S863" s="9">
        <f>Q863-R863</f>
        <v/>
      </c>
      <c r="T863" s="10">
        <f>IFERROR(S863/Q863, 0)</f>
        <v/>
      </c>
    </row>
    <row r="864">
      <c r="A864" s="11" t="inlineStr">
        <is>
          <t>ORD-2024-1227</t>
        </is>
      </c>
      <c r="B864" s="11" t="inlineStr">
        <is>
          <t>2024-11-28</t>
        </is>
      </c>
      <c r="C864" s="11" t="inlineStr">
        <is>
          <t>OFF-STR-001</t>
        </is>
      </c>
      <c r="D864" s="7" t="inlineStr">
        <is>
          <t>SteelLock 3-Drawer File Cabinet</t>
        </is>
      </c>
      <c r="E864" s="7" t="inlineStr">
        <is>
          <t>Office Supplies</t>
        </is>
      </c>
      <c r="F864" s="7" t="inlineStr">
        <is>
          <t>Storage &amp; Organizers</t>
        </is>
      </c>
      <c r="G864" s="7" t="inlineStr">
        <is>
          <t>South</t>
        </is>
      </c>
      <c r="H864" s="7" t="inlineStr">
        <is>
          <t>Florida</t>
        </is>
      </c>
      <c r="I864" s="7" t="inlineStr">
        <is>
          <t>Retail Partner</t>
        </is>
      </c>
      <c r="J864" s="7" t="inlineStr">
        <is>
          <t>Corporate</t>
        </is>
      </c>
      <c r="K864" s="12" t="n">
        <v>2</v>
      </c>
      <c r="L864" s="9" t="n">
        <v>169.99</v>
      </c>
      <c r="M864" s="10" t="n">
        <v>0.15</v>
      </c>
      <c r="N864" s="9" t="n">
        <v>115.59</v>
      </c>
      <c r="O864" s="9">
        <f>K864*L864</f>
        <v/>
      </c>
      <c r="P864" s="9">
        <f>O864*M864</f>
        <v/>
      </c>
      <c r="Q864" s="9">
        <f>O864-P864</f>
        <v/>
      </c>
      <c r="R864" s="9">
        <f>K864*N864</f>
        <v/>
      </c>
      <c r="S864" s="9">
        <f>Q864-R864</f>
        <v/>
      </c>
      <c r="T864" s="10">
        <f>IFERROR(S864/Q864, 0)</f>
        <v/>
      </c>
    </row>
    <row r="865">
      <c r="A865" s="11" t="inlineStr">
        <is>
          <t>ORD-2024-1261</t>
        </is>
      </c>
      <c r="B865" s="11" t="inlineStr">
        <is>
          <t>2024-11-28</t>
        </is>
      </c>
      <c r="C865" s="11" t="inlineStr">
        <is>
          <t>TEC-TAB-003</t>
        </is>
      </c>
      <c r="D865" s="7" t="inlineStr">
        <is>
          <t>VisionPad Pro 11"</t>
        </is>
      </c>
      <c r="E865" s="7" t="inlineStr">
        <is>
          <t>Technology</t>
        </is>
      </c>
      <c r="F865" s="7" t="inlineStr">
        <is>
          <t>Phones &amp; Tablets</t>
        </is>
      </c>
      <c r="G865" s="7" t="inlineStr">
        <is>
          <t>West</t>
        </is>
      </c>
      <c r="H865" s="7" t="inlineStr">
        <is>
          <t>Oregon</t>
        </is>
      </c>
      <c r="I865" s="7" t="inlineStr">
        <is>
          <t>Wholesale</t>
        </is>
      </c>
      <c r="J865" s="7" t="inlineStr">
        <is>
          <t>Consumer</t>
        </is>
      </c>
      <c r="K865" s="12" t="n">
        <v>11</v>
      </c>
      <c r="L865" s="9" t="n">
        <v>649.99</v>
      </c>
      <c r="M865" s="10" t="n">
        <v>0.1</v>
      </c>
      <c r="N865" s="9" t="n">
        <v>487.49</v>
      </c>
      <c r="O865" s="9">
        <f>K865*L865</f>
        <v/>
      </c>
      <c r="P865" s="9">
        <f>O865*M865</f>
        <v/>
      </c>
      <c r="Q865" s="9">
        <f>O865-P865</f>
        <v/>
      </c>
      <c r="R865" s="9">
        <f>K865*N865</f>
        <v/>
      </c>
      <c r="S865" s="9">
        <f>Q865-R865</f>
        <v/>
      </c>
      <c r="T865" s="10">
        <f>IFERROR(S865/Q865, 0)</f>
        <v/>
      </c>
    </row>
    <row r="866">
      <c r="A866" s="11" t="inlineStr">
        <is>
          <t>ORD-2024-1261</t>
        </is>
      </c>
      <c r="B866" s="11" t="inlineStr">
        <is>
          <t>2024-11-28</t>
        </is>
      </c>
      <c r="C866" s="11" t="inlineStr">
        <is>
          <t>TEC-LAP-001</t>
        </is>
      </c>
      <c r="D866" s="7" t="inlineStr">
        <is>
          <t>ProBook Elite 15.6"</t>
        </is>
      </c>
      <c r="E866" s="7" t="inlineStr">
        <is>
          <t>Technology</t>
        </is>
      </c>
      <c r="F866" s="7" t="inlineStr">
        <is>
          <t>Laptops</t>
        </is>
      </c>
      <c r="G866" s="7" t="inlineStr">
        <is>
          <t>West</t>
        </is>
      </c>
      <c r="H866" s="7" t="inlineStr">
        <is>
          <t>Oregon</t>
        </is>
      </c>
      <c r="I866" s="7" t="inlineStr">
        <is>
          <t>Wholesale</t>
        </is>
      </c>
      <c r="J866" s="7" t="inlineStr">
        <is>
          <t>Consumer</t>
        </is>
      </c>
      <c r="K866" s="12" t="n">
        <v>9</v>
      </c>
      <c r="L866" s="9" t="n">
        <v>1199.99</v>
      </c>
      <c r="M866" s="10" t="n">
        <v>0.2</v>
      </c>
      <c r="N866" s="9" t="n">
        <v>863.99</v>
      </c>
      <c r="O866" s="9">
        <f>K866*L866</f>
        <v/>
      </c>
      <c r="P866" s="9">
        <f>O866*M866</f>
        <v/>
      </c>
      <c r="Q866" s="9">
        <f>O866-P866</f>
        <v/>
      </c>
      <c r="R866" s="9">
        <f>K866*N866</f>
        <v/>
      </c>
      <c r="S866" s="9">
        <f>Q866-R866</f>
        <v/>
      </c>
      <c r="T866" s="10">
        <f>IFERROR(S866/Q866, 0)</f>
        <v/>
      </c>
    </row>
    <row r="867">
      <c r="A867" s="11" t="inlineStr">
        <is>
          <t>ORD-2024-1457</t>
        </is>
      </c>
      <c r="B867" s="11" t="inlineStr">
        <is>
          <t>2024-11-28</t>
        </is>
      </c>
      <c r="C867" s="11" t="inlineStr">
        <is>
          <t>FUR-LGT-006</t>
        </is>
      </c>
      <c r="D867" s="7" t="inlineStr">
        <is>
          <t>Architect LED Desk Task Lamp</t>
        </is>
      </c>
      <c r="E867" s="7" t="inlineStr">
        <is>
          <t>Furniture</t>
        </is>
      </c>
      <c r="F867" s="7" t="inlineStr">
        <is>
          <t>Lighting</t>
        </is>
      </c>
      <c r="G867" s="7" t="inlineStr">
        <is>
          <t>Central</t>
        </is>
      </c>
      <c r="H867" s="7" t="inlineStr">
        <is>
          <t>Illinois</t>
        </is>
      </c>
      <c r="I867" s="7" t="inlineStr">
        <is>
          <t>Direct Sales</t>
        </is>
      </c>
      <c r="J867" s="7" t="inlineStr">
        <is>
          <t>Consumer</t>
        </is>
      </c>
      <c r="K867" s="12" t="n">
        <v>2</v>
      </c>
      <c r="L867" s="9" t="n">
        <v>69.98999999999999</v>
      </c>
      <c r="M867" s="10" t="n">
        <v>0.1</v>
      </c>
      <c r="N867" s="9" t="n">
        <v>43.39</v>
      </c>
      <c r="O867" s="9">
        <f>K867*L867</f>
        <v/>
      </c>
      <c r="P867" s="9">
        <f>O867*M867</f>
        <v/>
      </c>
      <c r="Q867" s="9">
        <f>O867-P867</f>
        <v/>
      </c>
      <c r="R867" s="9">
        <f>K867*N867</f>
        <v/>
      </c>
      <c r="S867" s="9">
        <f>Q867-R867</f>
        <v/>
      </c>
      <c r="T867" s="10">
        <f>IFERROR(S867/Q867, 0)</f>
        <v/>
      </c>
    </row>
    <row r="868">
      <c r="A868" s="11" t="inlineStr">
        <is>
          <t>ORD-2024-1561</t>
        </is>
      </c>
      <c r="B868" s="11" t="inlineStr">
        <is>
          <t>2024-11-28</t>
        </is>
      </c>
      <c r="C868" s="11" t="inlineStr">
        <is>
          <t>FUR-CHA-002</t>
        </is>
      </c>
      <c r="D868" s="7" t="inlineStr">
        <is>
          <t>AeroTask Operator Task Chair</t>
        </is>
      </c>
      <c r="E868" s="7" t="inlineStr">
        <is>
          <t>Furniture</t>
        </is>
      </c>
      <c r="F868" s="7" t="inlineStr">
        <is>
          <t>Chairs</t>
        </is>
      </c>
      <c r="G868" s="7" t="inlineStr">
        <is>
          <t>South</t>
        </is>
      </c>
      <c r="H868" s="7" t="inlineStr">
        <is>
          <t>North Carolina</t>
        </is>
      </c>
      <c r="I868" s="7" t="inlineStr">
        <is>
          <t>Online</t>
        </is>
      </c>
      <c r="J868" s="7" t="inlineStr">
        <is>
          <t>Corporate</t>
        </is>
      </c>
      <c r="K868" s="12" t="n">
        <v>2</v>
      </c>
      <c r="L868" s="9" t="n">
        <v>219.99</v>
      </c>
      <c r="M868" s="10" t="n">
        <v>0.2</v>
      </c>
      <c r="N868" s="9" t="n">
        <v>171.59</v>
      </c>
      <c r="O868" s="9">
        <f>K868*L868</f>
        <v/>
      </c>
      <c r="P868" s="9">
        <f>O868*M868</f>
        <v/>
      </c>
      <c r="Q868" s="9">
        <f>O868-P868</f>
        <v/>
      </c>
      <c r="R868" s="9">
        <f>K868*N868</f>
        <v/>
      </c>
      <c r="S868" s="9">
        <f>Q868-R868</f>
        <v/>
      </c>
      <c r="T868" s="10">
        <f>IFERROR(S868/Q868, 0)</f>
        <v/>
      </c>
    </row>
    <row r="869">
      <c r="A869" s="11" t="inlineStr">
        <is>
          <t>ORD-2024-1561</t>
        </is>
      </c>
      <c r="B869" s="11" t="inlineStr">
        <is>
          <t>2024-11-28</t>
        </is>
      </c>
      <c r="C869" s="11" t="inlineStr">
        <is>
          <t>TEC-ACC-007</t>
        </is>
      </c>
      <c r="D869" s="7" t="inlineStr">
        <is>
          <t>ErgoMechanical Wireless Keyboard</t>
        </is>
      </c>
      <c r="E869" s="7" t="inlineStr">
        <is>
          <t>Technology</t>
        </is>
      </c>
      <c r="F869" s="7" t="inlineStr">
        <is>
          <t>Audio &amp; Accessories</t>
        </is>
      </c>
      <c r="G869" s="7" t="inlineStr">
        <is>
          <t>South</t>
        </is>
      </c>
      <c r="H869" s="7" t="inlineStr">
        <is>
          <t>North Carolina</t>
        </is>
      </c>
      <c r="I869" s="7" t="inlineStr">
        <is>
          <t>Online</t>
        </is>
      </c>
      <c r="J869" s="7" t="inlineStr">
        <is>
          <t>Corporate</t>
        </is>
      </c>
      <c r="K869" s="12" t="n">
        <v>3</v>
      </c>
      <c r="L869" s="9" t="n">
        <v>109.99</v>
      </c>
      <c r="M869" s="10" t="n">
        <v>0.15</v>
      </c>
      <c r="N869" s="9" t="n">
        <v>65.98999999999999</v>
      </c>
      <c r="O869" s="9">
        <f>K869*L869</f>
        <v/>
      </c>
      <c r="P869" s="9">
        <f>O869*M869</f>
        <v/>
      </c>
      <c r="Q869" s="9">
        <f>O869-P869</f>
        <v/>
      </c>
      <c r="R869" s="9">
        <f>K869*N869</f>
        <v/>
      </c>
      <c r="S869" s="9">
        <f>Q869-R869</f>
        <v/>
      </c>
      <c r="T869" s="10">
        <f>IFERROR(S869/Q869, 0)</f>
        <v/>
      </c>
    </row>
    <row r="870">
      <c r="A870" s="11" t="inlineStr">
        <is>
          <t>ORD-2024-1129</t>
        </is>
      </c>
      <c r="B870" s="11" t="inlineStr">
        <is>
          <t>2024-11-29</t>
        </is>
      </c>
      <c r="C870" s="11" t="inlineStr">
        <is>
          <t>OFF-PAP-004</t>
        </is>
      </c>
      <c r="D870" s="7" t="inlineStr">
        <is>
          <t>EcoRecycled Copy Paper (5 Reams)</t>
        </is>
      </c>
      <c r="E870" s="7" t="inlineStr">
        <is>
          <t>Office Supplies</t>
        </is>
      </c>
      <c r="F870" s="7" t="inlineStr">
        <is>
          <t>Paper Products</t>
        </is>
      </c>
      <c r="G870" s="7" t="inlineStr">
        <is>
          <t>East</t>
        </is>
      </c>
      <c r="H870" s="7" t="inlineStr">
        <is>
          <t>New Jersey</t>
        </is>
      </c>
      <c r="I870" s="7" t="inlineStr">
        <is>
          <t>Online</t>
        </is>
      </c>
      <c r="J870" s="7" t="inlineStr">
        <is>
          <t>Corporate</t>
        </is>
      </c>
      <c r="K870" s="12" t="n">
        <v>7</v>
      </c>
      <c r="L870" s="9" t="n">
        <v>32.99</v>
      </c>
      <c r="M870" s="10" t="n">
        <v>0</v>
      </c>
      <c r="N870" s="9" t="n">
        <v>19.79</v>
      </c>
      <c r="O870" s="9">
        <f>K870*L870</f>
        <v/>
      </c>
      <c r="P870" s="9">
        <f>O870*M870</f>
        <v/>
      </c>
      <c r="Q870" s="9">
        <f>O870-P870</f>
        <v/>
      </c>
      <c r="R870" s="9">
        <f>K870*N870</f>
        <v/>
      </c>
      <c r="S870" s="9">
        <f>Q870-R870</f>
        <v/>
      </c>
      <c r="T870" s="10">
        <f>IFERROR(S870/Q870, 0)</f>
        <v/>
      </c>
    </row>
    <row r="871">
      <c r="A871" s="11" t="inlineStr">
        <is>
          <t>ORD-2024-1296</t>
        </is>
      </c>
      <c r="B871" s="11" t="inlineStr">
        <is>
          <t>2024-11-29</t>
        </is>
      </c>
      <c r="C871" s="11" t="inlineStr">
        <is>
          <t>FUR-LGT-006</t>
        </is>
      </c>
      <c r="D871" s="7" t="inlineStr">
        <is>
          <t>Architect LED Desk Task Lamp</t>
        </is>
      </c>
      <c r="E871" s="7" t="inlineStr">
        <is>
          <t>Furniture</t>
        </is>
      </c>
      <c r="F871" s="7" t="inlineStr">
        <is>
          <t>Lighting</t>
        </is>
      </c>
      <c r="G871" s="7" t="inlineStr">
        <is>
          <t>South</t>
        </is>
      </c>
      <c r="H871" s="7" t="inlineStr">
        <is>
          <t>Georgia</t>
        </is>
      </c>
      <c r="I871" s="7" t="inlineStr">
        <is>
          <t>Online</t>
        </is>
      </c>
      <c r="J871" s="7" t="inlineStr">
        <is>
          <t>Consumer</t>
        </is>
      </c>
      <c r="K871" s="12" t="n">
        <v>4</v>
      </c>
      <c r="L871" s="9" t="n">
        <v>69.98999999999999</v>
      </c>
      <c r="M871" s="10" t="n">
        <v>0</v>
      </c>
      <c r="N871" s="9" t="n">
        <v>43.39</v>
      </c>
      <c r="O871" s="9">
        <f>K871*L871</f>
        <v/>
      </c>
      <c r="P871" s="9">
        <f>O871*M871</f>
        <v/>
      </c>
      <c r="Q871" s="9">
        <f>O871-P871</f>
        <v/>
      </c>
      <c r="R871" s="9">
        <f>K871*N871</f>
        <v/>
      </c>
      <c r="S871" s="9">
        <f>Q871-R871</f>
        <v/>
      </c>
      <c r="T871" s="10">
        <f>IFERROR(S871/Q871, 0)</f>
        <v/>
      </c>
    </row>
    <row r="872">
      <c r="A872" s="11" t="inlineStr">
        <is>
          <t>ORD-2024-1296</t>
        </is>
      </c>
      <c r="B872" s="11" t="inlineStr">
        <is>
          <t>2024-11-29</t>
        </is>
      </c>
      <c r="C872" s="11" t="inlineStr">
        <is>
          <t>TEC-ACC-008</t>
        </is>
      </c>
      <c r="D872" s="7" t="inlineStr">
        <is>
          <t>Precision Laser Bluetooth Mouse</t>
        </is>
      </c>
      <c r="E872" s="7" t="inlineStr">
        <is>
          <t>Technology</t>
        </is>
      </c>
      <c r="F872" s="7" t="inlineStr">
        <is>
          <t>Audio &amp; Accessories</t>
        </is>
      </c>
      <c r="G872" s="7" t="inlineStr">
        <is>
          <t>South</t>
        </is>
      </c>
      <c r="H872" s="7" t="inlineStr">
        <is>
          <t>Georgia</t>
        </is>
      </c>
      <c r="I872" s="7" t="inlineStr">
        <is>
          <t>Online</t>
        </is>
      </c>
      <c r="J872" s="7" t="inlineStr">
        <is>
          <t>Consumer</t>
        </is>
      </c>
      <c r="K872" s="12" t="n">
        <v>4</v>
      </c>
      <c r="L872" s="9" t="n">
        <v>49.99</v>
      </c>
      <c r="M872" s="10" t="n">
        <v>0.05</v>
      </c>
      <c r="N872" s="9" t="n">
        <v>27.49</v>
      </c>
      <c r="O872" s="9">
        <f>K872*L872</f>
        <v/>
      </c>
      <c r="P872" s="9">
        <f>O872*M872</f>
        <v/>
      </c>
      <c r="Q872" s="9">
        <f>O872-P872</f>
        <v/>
      </c>
      <c r="R872" s="9">
        <f>K872*N872</f>
        <v/>
      </c>
      <c r="S872" s="9">
        <f>Q872-R872</f>
        <v/>
      </c>
      <c r="T872" s="10">
        <f>IFERROR(S872/Q872, 0)</f>
        <v/>
      </c>
    </row>
    <row r="873">
      <c r="A873" s="11" t="inlineStr">
        <is>
          <t>ORD-2024-1424</t>
        </is>
      </c>
      <c r="B873" s="11" t="inlineStr">
        <is>
          <t>2024-11-29</t>
        </is>
      </c>
      <c r="C873" s="11" t="inlineStr">
        <is>
          <t>TEC-ACC-006</t>
        </is>
      </c>
      <c r="D873" s="7" t="inlineStr">
        <is>
          <t>MultiPort Thunderbolt 4 Dock</t>
        </is>
      </c>
      <c r="E873" s="7" t="inlineStr">
        <is>
          <t>Technology</t>
        </is>
      </c>
      <c r="F873" s="7" t="inlineStr">
        <is>
          <t>Audio &amp; Accessories</t>
        </is>
      </c>
      <c r="G873" s="7" t="inlineStr">
        <is>
          <t>Central</t>
        </is>
      </c>
      <c r="H873" s="7" t="inlineStr">
        <is>
          <t>Ohio</t>
        </is>
      </c>
      <c r="I873" s="7" t="inlineStr">
        <is>
          <t>Online</t>
        </is>
      </c>
      <c r="J873" s="7" t="inlineStr">
        <is>
          <t>Consumer</t>
        </is>
      </c>
      <c r="K873" s="12" t="n">
        <v>2</v>
      </c>
      <c r="L873" s="9" t="n">
        <v>149.99</v>
      </c>
      <c r="M873" s="10" t="n">
        <v>0</v>
      </c>
      <c r="N873" s="9" t="n">
        <v>98.98999999999999</v>
      </c>
      <c r="O873" s="9">
        <f>K873*L873</f>
        <v/>
      </c>
      <c r="P873" s="9">
        <f>O873*M873</f>
        <v/>
      </c>
      <c r="Q873" s="9">
        <f>O873-P873</f>
        <v/>
      </c>
      <c r="R873" s="9">
        <f>K873*N873</f>
        <v/>
      </c>
      <c r="S873" s="9">
        <f>Q873-R873</f>
        <v/>
      </c>
      <c r="T873" s="10">
        <f>IFERROR(S873/Q873, 0)</f>
        <v/>
      </c>
    </row>
    <row r="874">
      <c r="A874" s="11" t="inlineStr">
        <is>
          <t>ORD-2024-1458</t>
        </is>
      </c>
      <c r="B874" s="11" t="inlineStr">
        <is>
          <t>2024-11-29</t>
        </is>
      </c>
      <c r="C874" s="11" t="inlineStr">
        <is>
          <t>FUR-DSK-004</t>
        </is>
      </c>
      <c r="D874" s="7" t="inlineStr">
        <is>
          <t>Metro Compact Corner Workstation</t>
        </is>
      </c>
      <c r="E874" s="7" t="inlineStr">
        <is>
          <t>Furniture</t>
        </is>
      </c>
      <c r="F874" s="7" t="inlineStr">
        <is>
          <t>Desks &amp; Workstations</t>
        </is>
      </c>
      <c r="G874" s="7" t="inlineStr">
        <is>
          <t>West</t>
        </is>
      </c>
      <c r="H874" s="7" t="inlineStr">
        <is>
          <t>Oregon</t>
        </is>
      </c>
      <c r="I874" s="7" t="inlineStr">
        <is>
          <t>Online</t>
        </is>
      </c>
      <c r="J874" s="7" t="inlineStr">
        <is>
          <t>Home Office</t>
        </is>
      </c>
      <c r="K874" s="12" t="n">
        <v>4</v>
      </c>
      <c r="L874" s="9" t="n">
        <v>329.99</v>
      </c>
      <c r="M874" s="10" t="n">
        <v>0.2</v>
      </c>
      <c r="N874" s="9" t="n">
        <v>250.79</v>
      </c>
      <c r="O874" s="9">
        <f>K874*L874</f>
        <v/>
      </c>
      <c r="P874" s="9">
        <f>O874*M874</f>
        <v/>
      </c>
      <c r="Q874" s="9">
        <f>O874-P874</f>
        <v/>
      </c>
      <c r="R874" s="9">
        <f>K874*N874</f>
        <v/>
      </c>
      <c r="S874" s="9">
        <f>Q874-R874</f>
        <v/>
      </c>
      <c r="T874" s="10">
        <f>IFERROR(S874/Q874, 0)</f>
        <v/>
      </c>
    </row>
    <row r="875">
      <c r="A875" s="11" t="inlineStr">
        <is>
          <t>ORD-2024-1458</t>
        </is>
      </c>
      <c r="B875" s="11" t="inlineStr">
        <is>
          <t>2024-11-29</t>
        </is>
      </c>
      <c r="C875" s="11" t="inlineStr">
        <is>
          <t>FUR-DSK-004</t>
        </is>
      </c>
      <c r="D875" s="7" t="inlineStr">
        <is>
          <t>Metro Compact Corner Workstation</t>
        </is>
      </c>
      <c r="E875" s="7" t="inlineStr">
        <is>
          <t>Furniture</t>
        </is>
      </c>
      <c r="F875" s="7" t="inlineStr">
        <is>
          <t>Desks &amp; Workstations</t>
        </is>
      </c>
      <c r="G875" s="7" t="inlineStr">
        <is>
          <t>West</t>
        </is>
      </c>
      <c r="H875" s="7" t="inlineStr">
        <is>
          <t>Oregon</t>
        </is>
      </c>
      <c r="I875" s="7" t="inlineStr">
        <is>
          <t>Online</t>
        </is>
      </c>
      <c r="J875" s="7" t="inlineStr">
        <is>
          <t>Home Office</t>
        </is>
      </c>
      <c r="K875" s="12" t="n">
        <v>1</v>
      </c>
      <c r="L875" s="9" t="n">
        <v>329.99</v>
      </c>
      <c r="M875" s="10" t="n">
        <v>0.1</v>
      </c>
      <c r="N875" s="9" t="n">
        <v>250.79</v>
      </c>
      <c r="O875" s="9">
        <f>K875*L875</f>
        <v/>
      </c>
      <c r="P875" s="9">
        <f>O875*M875</f>
        <v/>
      </c>
      <c r="Q875" s="9">
        <f>O875-P875</f>
        <v/>
      </c>
      <c r="R875" s="9">
        <f>K875*N875</f>
        <v/>
      </c>
      <c r="S875" s="9">
        <f>Q875-R875</f>
        <v/>
      </c>
      <c r="T875" s="10">
        <f>IFERROR(S875/Q875, 0)</f>
        <v/>
      </c>
    </row>
    <row r="876">
      <c r="A876" s="11" t="inlineStr">
        <is>
          <t>ORD-2024-1715</t>
        </is>
      </c>
      <c r="B876" s="11" t="inlineStr">
        <is>
          <t>2024-11-29</t>
        </is>
      </c>
      <c r="C876" s="11" t="inlineStr">
        <is>
          <t>TEC-ACC-005</t>
        </is>
      </c>
      <c r="D876" s="7" t="inlineStr">
        <is>
          <t>UltraWireless Noise-Canceling Headset</t>
        </is>
      </c>
      <c r="E876" s="7" t="inlineStr">
        <is>
          <t>Technology</t>
        </is>
      </c>
      <c r="F876" s="7" t="inlineStr">
        <is>
          <t>Audio &amp; Accessories</t>
        </is>
      </c>
      <c r="G876" s="7" t="inlineStr">
        <is>
          <t>West</t>
        </is>
      </c>
      <c r="H876" s="7" t="inlineStr">
        <is>
          <t>California</t>
        </is>
      </c>
      <c r="I876" s="7" t="inlineStr">
        <is>
          <t>Direct Sales</t>
        </is>
      </c>
      <c r="J876" s="7" t="inlineStr">
        <is>
          <t>Corporate</t>
        </is>
      </c>
      <c r="K876" s="12" t="n">
        <v>8</v>
      </c>
      <c r="L876" s="9" t="n">
        <v>179.99</v>
      </c>
      <c r="M876" s="10" t="n">
        <v>0.2</v>
      </c>
      <c r="N876" s="9" t="n">
        <v>111.59</v>
      </c>
      <c r="O876" s="9">
        <f>K876*L876</f>
        <v/>
      </c>
      <c r="P876" s="9">
        <f>O876*M876</f>
        <v/>
      </c>
      <c r="Q876" s="9">
        <f>O876-P876</f>
        <v/>
      </c>
      <c r="R876" s="9">
        <f>K876*N876</f>
        <v/>
      </c>
      <c r="S876" s="9">
        <f>Q876-R876</f>
        <v/>
      </c>
      <c r="T876" s="10">
        <f>IFERROR(S876/Q876, 0)</f>
        <v/>
      </c>
    </row>
    <row r="877">
      <c r="A877" s="11" t="inlineStr">
        <is>
          <t>ORD-2024-1715</t>
        </is>
      </c>
      <c r="B877" s="11" t="inlineStr">
        <is>
          <t>2024-11-29</t>
        </is>
      </c>
      <c r="C877" s="11" t="inlineStr">
        <is>
          <t>TEC-TAB-004</t>
        </is>
      </c>
      <c r="D877" s="7" t="inlineStr">
        <is>
          <t>VisionPad Lite 8.5"</t>
        </is>
      </c>
      <c r="E877" s="7" t="inlineStr">
        <is>
          <t>Technology</t>
        </is>
      </c>
      <c r="F877" s="7" t="inlineStr">
        <is>
          <t>Phones &amp; Tablets</t>
        </is>
      </c>
      <c r="G877" s="7" t="inlineStr">
        <is>
          <t>West</t>
        </is>
      </c>
      <c r="H877" s="7" t="inlineStr">
        <is>
          <t>California</t>
        </is>
      </c>
      <c r="I877" s="7" t="inlineStr">
        <is>
          <t>Direct Sales</t>
        </is>
      </c>
      <c r="J877" s="7" t="inlineStr">
        <is>
          <t>Corporate</t>
        </is>
      </c>
      <c r="K877" s="12" t="n">
        <v>6</v>
      </c>
      <c r="L877" s="9" t="n">
        <v>299.99</v>
      </c>
      <c r="M877" s="10" t="n">
        <v>0</v>
      </c>
      <c r="N877" s="9" t="n">
        <v>245.99</v>
      </c>
      <c r="O877" s="9">
        <f>K877*L877</f>
        <v/>
      </c>
      <c r="P877" s="9">
        <f>O877*M877</f>
        <v/>
      </c>
      <c r="Q877" s="9">
        <f>O877-P877</f>
        <v/>
      </c>
      <c r="R877" s="9">
        <f>K877*N877</f>
        <v/>
      </c>
      <c r="S877" s="9">
        <f>Q877-R877</f>
        <v/>
      </c>
      <c r="T877" s="10">
        <f>IFERROR(S877/Q877, 0)</f>
        <v/>
      </c>
    </row>
    <row r="878">
      <c r="A878" s="11" t="inlineStr">
        <is>
          <t>ORD-2024-1217</t>
        </is>
      </c>
      <c r="B878" s="11" t="inlineStr">
        <is>
          <t>2024-11-30</t>
        </is>
      </c>
      <c r="C878" s="11" t="inlineStr">
        <is>
          <t>TEC-TAB-003</t>
        </is>
      </c>
      <c r="D878" s="7" t="inlineStr">
        <is>
          <t>VisionPad Pro 11"</t>
        </is>
      </c>
      <c r="E878" s="7" t="inlineStr">
        <is>
          <t>Technology</t>
        </is>
      </c>
      <c r="F878" s="7" t="inlineStr">
        <is>
          <t>Phones &amp; Tablets</t>
        </is>
      </c>
      <c r="G878" s="7" t="inlineStr">
        <is>
          <t>West</t>
        </is>
      </c>
      <c r="H878" s="7" t="inlineStr">
        <is>
          <t>Washington</t>
        </is>
      </c>
      <c r="I878" s="7" t="inlineStr">
        <is>
          <t>Wholesale</t>
        </is>
      </c>
      <c r="J878" s="7" t="inlineStr">
        <is>
          <t>Corporate</t>
        </is>
      </c>
      <c r="K878" s="12" t="n">
        <v>9</v>
      </c>
      <c r="L878" s="9" t="n">
        <v>649.99</v>
      </c>
      <c r="M878" s="10" t="n">
        <v>0.1</v>
      </c>
      <c r="N878" s="9" t="n">
        <v>487.49</v>
      </c>
      <c r="O878" s="9">
        <f>K878*L878</f>
        <v/>
      </c>
      <c r="P878" s="9">
        <f>O878*M878</f>
        <v/>
      </c>
      <c r="Q878" s="9">
        <f>O878-P878</f>
        <v/>
      </c>
      <c r="R878" s="9">
        <f>K878*N878</f>
        <v/>
      </c>
      <c r="S878" s="9">
        <f>Q878-R878</f>
        <v/>
      </c>
      <c r="T878" s="10">
        <f>IFERROR(S878/Q878, 0)</f>
        <v/>
      </c>
    </row>
    <row r="879">
      <c r="A879" s="11" t="inlineStr">
        <is>
          <t>ORD-2024-1258</t>
        </is>
      </c>
      <c r="B879" s="11" t="inlineStr">
        <is>
          <t>2024-11-30</t>
        </is>
      </c>
      <c r="C879" s="11" t="inlineStr">
        <is>
          <t>TEC-ACC-006</t>
        </is>
      </c>
      <c r="D879" s="7" t="inlineStr">
        <is>
          <t>MultiPort Thunderbolt 4 Dock</t>
        </is>
      </c>
      <c r="E879" s="7" t="inlineStr">
        <is>
          <t>Technology</t>
        </is>
      </c>
      <c r="F879" s="7" t="inlineStr">
        <is>
          <t>Audio &amp; Accessories</t>
        </is>
      </c>
      <c r="G879" s="7" t="inlineStr">
        <is>
          <t>West</t>
        </is>
      </c>
      <c r="H879" s="7" t="inlineStr">
        <is>
          <t>Oregon</t>
        </is>
      </c>
      <c r="I879" s="7" t="inlineStr">
        <is>
          <t>Retail Partner</t>
        </is>
      </c>
      <c r="J879" s="7" t="inlineStr">
        <is>
          <t>Corporate</t>
        </is>
      </c>
      <c r="K879" s="12" t="n">
        <v>4</v>
      </c>
      <c r="L879" s="9" t="n">
        <v>149.99</v>
      </c>
      <c r="M879" s="10" t="n">
        <v>0</v>
      </c>
      <c r="N879" s="9" t="n">
        <v>98.98999999999999</v>
      </c>
      <c r="O879" s="9">
        <f>K879*L879</f>
        <v/>
      </c>
      <c r="P879" s="9">
        <f>O879*M879</f>
        <v/>
      </c>
      <c r="Q879" s="9">
        <f>O879-P879</f>
        <v/>
      </c>
      <c r="R879" s="9">
        <f>K879*N879</f>
        <v/>
      </c>
      <c r="S879" s="9">
        <f>Q879-R879</f>
        <v/>
      </c>
      <c r="T879" s="10">
        <f>IFERROR(S879/Q879, 0)</f>
        <v/>
      </c>
    </row>
    <row r="880">
      <c r="A880" s="11" t="inlineStr">
        <is>
          <t>ORD-2024-1698</t>
        </is>
      </c>
      <c r="B880" s="11" t="inlineStr">
        <is>
          <t>2024-12-01</t>
        </is>
      </c>
      <c r="C880" s="11" t="inlineStr">
        <is>
          <t>TEC-ACC-006</t>
        </is>
      </c>
      <c r="D880" s="7" t="inlineStr">
        <is>
          <t>MultiPort Thunderbolt 4 Dock</t>
        </is>
      </c>
      <c r="E880" s="7" t="inlineStr">
        <is>
          <t>Technology</t>
        </is>
      </c>
      <c r="F880" s="7" t="inlineStr">
        <is>
          <t>Audio &amp; Accessories</t>
        </is>
      </c>
      <c r="G880" s="7" t="inlineStr">
        <is>
          <t>West</t>
        </is>
      </c>
      <c r="H880" s="7" t="inlineStr">
        <is>
          <t>California</t>
        </is>
      </c>
      <c r="I880" s="7" t="inlineStr">
        <is>
          <t>Wholesale</t>
        </is>
      </c>
      <c r="J880" s="7" t="inlineStr">
        <is>
          <t>Home Office</t>
        </is>
      </c>
      <c r="K880" s="12" t="n">
        <v>12</v>
      </c>
      <c r="L880" s="9" t="n">
        <v>149.99</v>
      </c>
      <c r="M880" s="10" t="n">
        <v>0.1</v>
      </c>
      <c r="N880" s="9" t="n">
        <v>98.98999999999999</v>
      </c>
      <c r="O880" s="9">
        <f>K880*L880</f>
        <v/>
      </c>
      <c r="P880" s="9">
        <f>O880*M880</f>
        <v/>
      </c>
      <c r="Q880" s="9">
        <f>O880-P880</f>
        <v/>
      </c>
      <c r="R880" s="9">
        <f>K880*N880</f>
        <v/>
      </c>
      <c r="S880" s="9">
        <f>Q880-R880</f>
        <v/>
      </c>
      <c r="T880" s="10">
        <f>IFERROR(S880/Q880, 0)</f>
        <v/>
      </c>
    </row>
    <row r="881">
      <c r="A881" s="11" t="inlineStr">
        <is>
          <t>ORD-2024-1063</t>
        </is>
      </c>
      <c r="B881" s="11" t="inlineStr">
        <is>
          <t>2024-12-02</t>
        </is>
      </c>
      <c r="C881" s="11" t="inlineStr">
        <is>
          <t>OFF-PAP-003</t>
        </is>
      </c>
      <c r="D881" s="7" t="inlineStr">
        <is>
          <t>UltraWhite Premium Multipurpose Paper (Case)</t>
        </is>
      </c>
      <c r="E881" s="7" t="inlineStr">
        <is>
          <t>Office Supplies</t>
        </is>
      </c>
      <c r="F881" s="7" t="inlineStr">
        <is>
          <t>Paper Products</t>
        </is>
      </c>
      <c r="G881" s="7" t="inlineStr">
        <is>
          <t>East</t>
        </is>
      </c>
      <c r="H881" s="7" t="inlineStr">
        <is>
          <t>New Jersey</t>
        </is>
      </c>
      <c r="I881" s="7" t="inlineStr">
        <is>
          <t>Retail Partner</t>
        </is>
      </c>
      <c r="J881" s="7" t="inlineStr">
        <is>
          <t>Consumer</t>
        </is>
      </c>
      <c r="K881" s="12" t="n">
        <v>2</v>
      </c>
      <c r="L881" s="9" t="n">
        <v>54.99</v>
      </c>
      <c r="M881" s="10" t="n">
        <v>0.05</v>
      </c>
      <c r="N881" s="9" t="n">
        <v>31.89</v>
      </c>
      <c r="O881" s="9">
        <f>K881*L881</f>
        <v/>
      </c>
      <c r="P881" s="9">
        <f>O881*M881</f>
        <v/>
      </c>
      <c r="Q881" s="9">
        <f>O881-P881</f>
        <v/>
      </c>
      <c r="R881" s="9">
        <f>K881*N881</f>
        <v/>
      </c>
      <c r="S881" s="9">
        <f>Q881-R881</f>
        <v/>
      </c>
      <c r="T881" s="10">
        <f>IFERROR(S881/Q881, 0)</f>
        <v/>
      </c>
    </row>
    <row r="882">
      <c r="A882" s="11" t="inlineStr">
        <is>
          <t>ORD-2024-1063</t>
        </is>
      </c>
      <c r="B882" s="11" t="inlineStr">
        <is>
          <t>2024-12-02</t>
        </is>
      </c>
      <c r="C882" s="11" t="inlineStr">
        <is>
          <t>TEC-LAP-002</t>
        </is>
      </c>
      <c r="D882" s="7" t="inlineStr">
        <is>
          <t>Apex Gaming Laptop 17"</t>
        </is>
      </c>
      <c r="E882" s="7" t="inlineStr">
        <is>
          <t>Technology</t>
        </is>
      </c>
      <c r="F882" s="7" t="inlineStr">
        <is>
          <t>Laptops</t>
        </is>
      </c>
      <c r="G882" s="7" t="inlineStr">
        <is>
          <t>East</t>
        </is>
      </c>
      <c r="H882" s="7" t="inlineStr">
        <is>
          <t>New Jersey</t>
        </is>
      </c>
      <c r="I882" s="7" t="inlineStr">
        <is>
          <t>Retail Partner</t>
        </is>
      </c>
      <c r="J882" s="7" t="inlineStr">
        <is>
          <t>Consumer</t>
        </is>
      </c>
      <c r="K882" s="12" t="n">
        <v>1</v>
      </c>
      <c r="L882" s="9" t="n">
        <v>1499.99</v>
      </c>
      <c r="M882" s="10" t="n">
        <v>0.1</v>
      </c>
      <c r="N882" s="9" t="n">
        <v>1259.99</v>
      </c>
      <c r="O882" s="9">
        <f>K882*L882</f>
        <v/>
      </c>
      <c r="P882" s="9">
        <f>O882*M882</f>
        <v/>
      </c>
      <c r="Q882" s="9">
        <f>O882-P882</f>
        <v/>
      </c>
      <c r="R882" s="9">
        <f>K882*N882</f>
        <v/>
      </c>
      <c r="S882" s="9">
        <f>Q882-R882</f>
        <v/>
      </c>
      <c r="T882" s="10">
        <f>IFERROR(S882/Q882, 0)</f>
        <v/>
      </c>
    </row>
    <row r="883">
      <c r="A883" s="11" t="inlineStr">
        <is>
          <t>ORD-2024-1117</t>
        </is>
      </c>
      <c r="B883" s="11" t="inlineStr">
        <is>
          <t>2024-12-02</t>
        </is>
      </c>
      <c r="C883" s="11" t="inlineStr">
        <is>
          <t>TEC-TAB-004</t>
        </is>
      </c>
      <c r="D883" s="7" t="inlineStr">
        <is>
          <t>VisionPad Lite 8.5"</t>
        </is>
      </c>
      <c r="E883" s="7" t="inlineStr">
        <is>
          <t>Technology</t>
        </is>
      </c>
      <c r="F883" s="7" t="inlineStr">
        <is>
          <t>Phones &amp; Tablets</t>
        </is>
      </c>
      <c r="G883" s="7" t="inlineStr">
        <is>
          <t>East</t>
        </is>
      </c>
      <c r="H883" s="7" t="inlineStr">
        <is>
          <t>Pennsylvania</t>
        </is>
      </c>
      <c r="I883" s="7" t="inlineStr">
        <is>
          <t>Online</t>
        </is>
      </c>
      <c r="J883" s="7" t="inlineStr">
        <is>
          <t>Home Office</t>
        </is>
      </c>
      <c r="K883" s="12" t="n">
        <v>4</v>
      </c>
      <c r="L883" s="9" t="n">
        <v>299.99</v>
      </c>
      <c r="M883" s="10" t="n">
        <v>0</v>
      </c>
      <c r="N883" s="9" t="n">
        <v>245.99</v>
      </c>
      <c r="O883" s="9">
        <f>K883*L883</f>
        <v/>
      </c>
      <c r="P883" s="9">
        <f>O883*M883</f>
        <v/>
      </c>
      <c r="Q883" s="9">
        <f>O883-P883</f>
        <v/>
      </c>
      <c r="R883" s="9">
        <f>K883*N883</f>
        <v/>
      </c>
      <c r="S883" s="9">
        <f>Q883-R883</f>
        <v/>
      </c>
      <c r="T883" s="10">
        <f>IFERROR(S883/Q883, 0)</f>
        <v/>
      </c>
    </row>
    <row r="884">
      <c r="A884" s="11" t="inlineStr">
        <is>
          <t>ORD-2024-1176</t>
        </is>
      </c>
      <c r="B884" s="11" t="inlineStr">
        <is>
          <t>2024-12-02</t>
        </is>
      </c>
      <c r="C884" s="11" t="inlineStr">
        <is>
          <t>TEC-ACC-005</t>
        </is>
      </c>
      <c r="D884" s="7" t="inlineStr">
        <is>
          <t>UltraWireless Noise-Canceling Headset</t>
        </is>
      </c>
      <c r="E884" s="7" t="inlineStr">
        <is>
          <t>Technology</t>
        </is>
      </c>
      <c r="F884" s="7" t="inlineStr">
        <is>
          <t>Audio &amp; Accessories</t>
        </is>
      </c>
      <c r="G884" s="7" t="inlineStr">
        <is>
          <t>South</t>
        </is>
      </c>
      <c r="H884" s="7" t="inlineStr">
        <is>
          <t>North Carolina</t>
        </is>
      </c>
      <c r="I884" s="7" t="inlineStr">
        <is>
          <t>Retail Partner</t>
        </is>
      </c>
      <c r="J884" s="7" t="inlineStr">
        <is>
          <t>Home Office</t>
        </is>
      </c>
      <c r="K884" s="12" t="n">
        <v>4</v>
      </c>
      <c r="L884" s="9" t="n">
        <v>179.99</v>
      </c>
      <c r="M884" s="10" t="n">
        <v>0.05</v>
      </c>
      <c r="N884" s="9" t="n">
        <v>111.59</v>
      </c>
      <c r="O884" s="9">
        <f>K884*L884</f>
        <v/>
      </c>
      <c r="P884" s="9">
        <f>O884*M884</f>
        <v/>
      </c>
      <c r="Q884" s="9">
        <f>O884-P884</f>
        <v/>
      </c>
      <c r="R884" s="9">
        <f>K884*N884</f>
        <v/>
      </c>
      <c r="S884" s="9">
        <f>Q884-R884</f>
        <v/>
      </c>
      <c r="T884" s="10">
        <f>IFERROR(S884/Q884, 0)</f>
        <v/>
      </c>
    </row>
    <row r="885">
      <c r="A885" s="11" t="inlineStr">
        <is>
          <t>ORD-2024-1439</t>
        </is>
      </c>
      <c r="B885" s="11" t="inlineStr">
        <is>
          <t>2024-12-02</t>
        </is>
      </c>
      <c r="C885" s="11" t="inlineStr">
        <is>
          <t>OFF-DSK-007</t>
        </is>
      </c>
      <c r="D885" s="7" t="inlineStr">
        <is>
          <t>Gel Ergo Mouse Pad &amp; Wrist Rest Combo</t>
        </is>
      </c>
      <c r="E885" s="7" t="inlineStr">
        <is>
          <t>Office Supplies</t>
        </is>
      </c>
      <c r="F885" s="7" t="inlineStr">
        <is>
          <t>Desk Supplies</t>
        </is>
      </c>
      <c r="G885" s="7" t="inlineStr">
        <is>
          <t>East</t>
        </is>
      </c>
      <c r="H885" s="7" t="inlineStr">
        <is>
          <t>Massachusetts</t>
        </is>
      </c>
      <c r="I885" s="7" t="inlineStr">
        <is>
          <t>Wholesale</t>
        </is>
      </c>
      <c r="J885" s="7" t="inlineStr">
        <is>
          <t>Corporate</t>
        </is>
      </c>
      <c r="K885" s="12" t="n">
        <v>8</v>
      </c>
      <c r="L885" s="9" t="n">
        <v>21.99</v>
      </c>
      <c r="M885" s="10" t="n">
        <v>0.15</v>
      </c>
      <c r="N885" s="9" t="n">
        <v>10.56</v>
      </c>
      <c r="O885" s="9">
        <f>K885*L885</f>
        <v/>
      </c>
      <c r="P885" s="9">
        <f>O885*M885</f>
        <v/>
      </c>
      <c r="Q885" s="9">
        <f>O885-P885</f>
        <v/>
      </c>
      <c r="R885" s="9">
        <f>K885*N885</f>
        <v/>
      </c>
      <c r="S885" s="9">
        <f>Q885-R885</f>
        <v/>
      </c>
      <c r="T885" s="10">
        <f>IFERROR(S885/Q885, 0)</f>
        <v/>
      </c>
    </row>
    <row r="886">
      <c r="A886" s="11" t="inlineStr">
        <is>
          <t>ORD-2024-1180</t>
        </is>
      </c>
      <c r="B886" s="11" t="inlineStr">
        <is>
          <t>2024-12-03</t>
        </is>
      </c>
      <c r="C886" s="11" t="inlineStr">
        <is>
          <t>OFF-STR-002</t>
        </is>
      </c>
      <c r="D886" s="7" t="inlineStr">
        <is>
          <t>Stackable Heavy-Duty Storage Bins (4-Pk)</t>
        </is>
      </c>
      <c r="E886" s="7" t="inlineStr">
        <is>
          <t>Office Supplies</t>
        </is>
      </c>
      <c r="F886" s="7" t="inlineStr">
        <is>
          <t>Storage &amp; Organizers</t>
        </is>
      </c>
      <c r="G886" s="7" t="inlineStr">
        <is>
          <t>Central</t>
        </is>
      </c>
      <c r="H886" s="7" t="inlineStr">
        <is>
          <t>Michigan</t>
        </is>
      </c>
      <c r="I886" s="7" t="inlineStr">
        <is>
          <t>Direct Sales</t>
        </is>
      </c>
      <c r="J886" s="7" t="inlineStr">
        <is>
          <t>Home Office</t>
        </is>
      </c>
      <c r="K886" s="12" t="n">
        <v>1</v>
      </c>
      <c r="L886" s="9" t="n">
        <v>44.99</v>
      </c>
      <c r="M886" s="10" t="n">
        <v>0.1</v>
      </c>
      <c r="N886" s="9" t="n">
        <v>24.74</v>
      </c>
      <c r="O886" s="9">
        <f>K886*L886</f>
        <v/>
      </c>
      <c r="P886" s="9">
        <f>O886*M886</f>
        <v/>
      </c>
      <c r="Q886" s="9">
        <f>O886-P886</f>
        <v/>
      </c>
      <c r="R886" s="9">
        <f>K886*N886</f>
        <v/>
      </c>
      <c r="S886" s="9">
        <f>Q886-R886</f>
        <v/>
      </c>
      <c r="T886" s="10">
        <f>IFERROR(S886/Q886, 0)</f>
        <v/>
      </c>
    </row>
    <row r="887">
      <c r="A887" s="11" t="inlineStr">
        <is>
          <t>ORD-2024-1180</t>
        </is>
      </c>
      <c r="B887" s="11" t="inlineStr">
        <is>
          <t>2024-12-03</t>
        </is>
      </c>
      <c r="C887" s="11" t="inlineStr">
        <is>
          <t>OFF-BIN-005</t>
        </is>
      </c>
      <c r="D887" s="7" t="inlineStr">
        <is>
          <t>Heavy-Duty D-Ring Presentation Binder (6-Pk)</t>
        </is>
      </c>
      <c r="E887" s="7" t="inlineStr">
        <is>
          <t>Office Supplies</t>
        </is>
      </c>
      <c r="F887" s="7" t="inlineStr">
        <is>
          <t>Binders &amp; Fasteners</t>
        </is>
      </c>
      <c r="G887" s="7" t="inlineStr">
        <is>
          <t>Central</t>
        </is>
      </c>
      <c r="H887" s="7" t="inlineStr">
        <is>
          <t>Michigan</t>
        </is>
      </c>
      <c r="I887" s="7" t="inlineStr">
        <is>
          <t>Direct Sales</t>
        </is>
      </c>
      <c r="J887" s="7" t="inlineStr">
        <is>
          <t>Home Office</t>
        </is>
      </c>
      <c r="K887" s="12" t="n">
        <v>1</v>
      </c>
      <c r="L887" s="9" t="n">
        <v>27.99</v>
      </c>
      <c r="M887" s="10" t="n">
        <v>0.15</v>
      </c>
      <c r="N887" s="9" t="n">
        <v>13.99</v>
      </c>
      <c r="O887" s="9">
        <f>K887*L887</f>
        <v/>
      </c>
      <c r="P887" s="9">
        <f>O887*M887</f>
        <v/>
      </c>
      <c r="Q887" s="9">
        <f>O887-P887</f>
        <v/>
      </c>
      <c r="R887" s="9">
        <f>K887*N887</f>
        <v/>
      </c>
      <c r="S887" s="9">
        <f>Q887-R887</f>
        <v/>
      </c>
      <c r="T887" s="10">
        <f>IFERROR(S887/Q887, 0)</f>
        <v/>
      </c>
    </row>
    <row r="888">
      <c r="A888" s="11" t="inlineStr">
        <is>
          <t>ORD-2024-1182</t>
        </is>
      </c>
      <c r="B888" s="11" t="inlineStr">
        <is>
          <t>2024-12-03</t>
        </is>
      </c>
      <c r="C888" s="11" t="inlineStr">
        <is>
          <t>TEC-TAB-004</t>
        </is>
      </c>
      <c r="D888" s="7" t="inlineStr">
        <is>
          <t>VisionPad Lite 8.5"</t>
        </is>
      </c>
      <c r="E888" s="7" t="inlineStr">
        <is>
          <t>Technology</t>
        </is>
      </c>
      <c r="F888" s="7" t="inlineStr">
        <is>
          <t>Phones &amp; Tablets</t>
        </is>
      </c>
      <c r="G888" s="7" t="inlineStr">
        <is>
          <t>West</t>
        </is>
      </c>
      <c r="H888" s="7" t="inlineStr">
        <is>
          <t>Washington</t>
        </is>
      </c>
      <c r="I888" s="7" t="inlineStr">
        <is>
          <t>Retail Partner</t>
        </is>
      </c>
      <c r="J888" s="7" t="inlineStr">
        <is>
          <t>Consumer</t>
        </is>
      </c>
      <c r="K888" s="12" t="n">
        <v>4</v>
      </c>
      <c r="L888" s="9" t="n">
        <v>299.99</v>
      </c>
      <c r="M888" s="10" t="n">
        <v>0.1</v>
      </c>
      <c r="N888" s="9" t="n">
        <v>245.99</v>
      </c>
      <c r="O888" s="9">
        <f>K888*L888</f>
        <v/>
      </c>
      <c r="P888" s="9">
        <f>O888*M888</f>
        <v/>
      </c>
      <c r="Q888" s="9">
        <f>O888-P888</f>
        <v/>
      </c>
      <c r="R888" s="9">
        <f>K888*N888</f>
        <v/>
      </c>
      <c r="S888" s="9">
        <f>Q888-R888</f>
        <v/>
      </c>
      <c r="T888" s="10">
        <f>IFERROR(S888/Q888, 0)</f>
        <v/>
      </c>
    </row>
    <row r="889">
      <c r="A889" s="11" t="inlineStr">
        <is>
          <t>ORD-2024-1188</t>
        </is>
      </c>
      <c r="B889" s="11" t="inlineStr">
        <is>
          <t>2024-12-03</t>
        </is>
      </c>
      <c r="C889" s="11" t="inlineStr">
        <is>
          <t>TEC-LAP-001</t>
        </is>
      </c>
      <c r="D889" s="7" t="inlineStr">
        <is>
          <t>ProBook Elite 15.6"</t>
        </is>
      </c>
      <c r="E889" s="7" t="inlineStr">
        <is>
          <t>Technology</t>
        </is>
      </c>
      <c r="F889" s="7" t="inlineStr">
        <is>
          <t>Laptops</t>
        </is>
      </c>
      <c r="G889" s="7" t="inlineStr">
        <is>
          <t>South</t>
        </is>
      </c>
      <c r="H889" s="7" t="inlineStr">
        <is>
          <t>Georgia</t>
        </is>
      </c>
      <c r="I889" s="7" t="inlineStr">
        <is>
          <t>Retail Partner</t>
        </is>
      </c>
      <c r="J889" s="7" t="inlineStr">
        <is>
          <t>Consumer</t>
        </is>
      </c>
      <c r="K889" s="12" t="n">
        <v>4</v>
      </c>
      <c r="L889" s="9" t="n">
        <v>1199.99</v>
      </c>
      <c r="M889" s="10" t="n">
        <v>0</v>
      </c>
      <c r="N889" s="9" t="n">
        <v>863.99</v>
      </c>
      <c r="O889" s="9">
        <f>K889*L889</f>
        <v/>
      </c>
      <c r="P889" s="9">
        <f>O889*M889</f>
        <v/>
      </c>
      <c r="Q889" s="9">
        <f>O889-P889</f>
        <v/>
      </c>
      <c r="R889" s="9">
        <f>K889*N889</f>
        <v/>
      </c>
      <c r="S889" s="9">
        <f>Q889-R889</f>
        <v/>
      </c>
      <c r="T889" s="10">
        <f>IFERROR(S889/Q889, 0)</f>
        <v/>
      </c>
    </row>
    <row r="890">
      <c r="A890" s="11" t="inlineStr">
        <is>
          <t>ORD-2024-1188</t>
        </is>
      </c>
      <c r="B890" s="11" t="inlineStr">
        <is>
          <t>2024-12-03</t>
        </is>
      </c>
      <c r="C890" s="11" t="inlineStr">
        <is>
          <t>OFF-STR-001</t>
        </is>
      </c>
      <c r="D890" s="7" t="inlineStr">
        <is>
          <t>SteelLock 3-Drawer File Cabinet</t>
        </is>
      </c>
      <c r="E890" s="7" t="inlineStr">
        <is>
          <t>Office Supplies</t>
        </is>
      </c>
      <c r="F890" s="7" t="inlineStr">
        <is>
          <t>Storage &amp; Organizers</t>
        </is>
      </c>
      <c r="G890" s="7" t="inlineStr">
        <is>
          <t>South</t>
        </is>
      </c>
      <c r="H890" s="7" t="inlineStr">
        <is>
          <t>Georgia</t>
        </is>
      </c>
      <c r="I890" s="7" t="inlineStr">
        <is>
          <t>Retail Partner</t>
        </is>
      </c>
      <c r="J890" s="7" t="inlineStr">
        <is>
          <t>Consumer</t>
        </is>
      </c>
      <c r="K890" s="12" t="n">
        <v>4</v>
      </c>
      <c r="L890" s="9" t="n">
        <v>169.99</v>
      </c>
      <c r="M890" s="10" t="n">
        <v>0</v>
      </c>
      <c r="N890" s="9" t="n">
        <v>115.59</v>
      </c>
      <c r="O890" s="9">
        <f>K890*L890</f>
        <v/>
      </c>
      <c r="P890" s="9">
        <f>O890*M890</f>
        <v/>
      </c>
      <c r="Q890" s="9">
        <f>O890-P890</f>
        <v/>
      </c>
      <c r="R890" s="9">
        <f>K890*N890</f>
        <v/>
      </c>
      <c r="S890" s="9">
        <f>Q890-R890</f>
        <v/>
      </c>
      <c r="T890" s="10">
        <f>IFERROR(S890/Q890, 0)</f>
        <v/>
      </c>
    </row>
    <row r="891">
      <c r="A891" s="11" t="inlineStr">
        <is>
          <t>ORD-2024-1278</t>
        </is>
      </c>
      <c r="B891" s="11" t="inlineStr">
        <is>
          <t>2024-12-03</t>
        </is>
      </c>
      <c r="C891" s="11" t="inlineStr">
        <is>
          <t>OFF-DSK-007</t>
        </is>
      </c>
      <c r="D891" s="7" t="inlineStr">
        <is>
          <t>Gel Ergo Mouse Pad &amp; Wrist Rest Combo</t>
        </is>
      </c>
      <c r="E891" s="7" t="inlineStr">
        <is>
          <t>Office Supplies</t>
        </is>
      </c>
      <c r="F891" s="7" t="inlineStr">
        <is>
          <t>Desk Supplies</t>
        </is>
      </c>
      <c r="G891" s="7" t="inlineStr">
        <is>
          <t>South</t>
        </is>
      </c>
      <c r="H891" s="7" t="inlineStr">
        <is>
          <t>Georgia</t>
        </is>
      </c>
      <c r="I891" s="7" t="inlineStr">
        <is>
          <t>Retail Partner</t>
        </is>
      </c>
      <c r="J891" s="7" t="inlineStr">
        <is>
          <t>Consumer</t>
        </is>
      </c>
      <c r="K891" s="12" t="n">
        <v>1</v>
      </c>
      <c r="L891" s="9" t="n">
        <v>21.99</v>
      </c>
      <c r="M891" s="10" t="n">
        <v>0.05</v>
      </c>
      <c r="N891" s="9" t="n">
        <v>10.56</v>
      </c>
      <c r="O891" s="9">
        <f>K891*L891</f>
        <v/>
      </c>
      <c r="P891" s="9">
        <f>O891*M891</f>
        <v/>
      </c>
      <c r="Q891" s="9">
        <f>O891-P891</f>
        <v/>
      </c>
      <c r="R891" s="9">
        <f>K891*N891</f>
        <v/>
      </c>
      <c r="S891" s="9">
        <f>Q891-R891</f>
        <v/>
      </c>
      <c r="T891" s="10">
        <f>IFERROR(S891/Q891, 0)</f>
        <v/>
      </c>
    </row>
    <row r="892">
      <c r="A892" s="11" t="inlineStr">
        <is>
          <t>ORD-2024-1354</t>
        </is>
      </c>
      <c r="B892" s="11" t="inlineStr">
        <is>
          <t>2024-12-03</t>
        </is>
      </c>
      <c r="C892" s="11" t="inlineStr">
        <is>
          <t>TEC-TAB-004</t>
        </is>
      </c>
      <c r="D892" s="7" t="inlineStr">
        <is>
          <t>VisionPad Lite 8.5"</t>
        </is>
      </c>
      <c r="E892" s="7" t="inlineStr">
        <is>
          <t>Technology</t>
        </is>
      </c>
      <c r="F892" s="7" t="inlineStr">
        <is>
          <t>Phones &amp; Tablets</t>
        </is>
      </c>
      <c r="G892" s="7" t="inlineStr">
        <is>
          <t>East</t>
        </is>
      </c>
      <c r="H892" s="7" t="inlineStr">
        <is>
          <t>Massachusetts</t>
        </is>
      </c>
      <c r="I892" s="7" t="inlineStr">
        <is>
          <t>Direct Sales</t>
        </is>
      </c>
      <c r="J892" s="7" t="inlineStr">
        <is>
          <t>Consumer</t>
        </is>
      </c>
      <c r="K892" s="12" t="n">
        <v>4</v>
      </c>
      <c r="L892" s="9" t="n">
        <v>299.99</v>
      </c>
      <c r="M892" s="10" t="n">
        <v>0.05</v>
      </c>
      <c r="N892" s="9" t="n">
        <v>245.99</v>
      </c>
      <c r="O892" s="9">
        <f>K892*L892</f>
        <v/>
      </c>
      <c r="P892" s="9">
        <f>O892*M892</f>
        <v/>
      </c>
      <c r="Q892" s="9">
        <f>O892-P892</f>
        <v/>
      </c>
      <c r="R892" s="9">
        <f>K892*N892</f>
        <v/>
      </c>
      <c r="S892" s="9">
        <f>Q892-R892</f>
        <v/>
      </c>
      <c r="T892" s="10">
        <f>IFERROR(S892/Q892, 0)</f>
        <v/>
      </c>
    </row>
    <row r="893">
      <c r="A893" s="11" t="inlineStr">
        <is>
          <t>ORD-2024-1414</t>
        </is>
      </c>
      <c r="B893" s="11" t="inlineStr">
        <is>
          <t>2024-12-03</t>
        </is>
      </c>
      <c r="C893" s="11" t="inlineStr">
        <is>
          <t>OFF-DSK-007</t>
        </is>
      </c>
      <c r="D893" s="7" t="inlineStr">
        <is>
          <t>Gel Ergo Mouse Pad &amp; Wrist Rest Combo</t>
        </is>
      </c>
      <c r="E893" s="7" t="inlineStr">
        <is>
          <t>Office Supplies</t>
        </is>
      </c>
      <c r="F893" s="7" t="inlineStr">
        <is>
          <t>Desk Supplies</t>
        </is>
      </c>
      <c r="G893" s="7" t="inlineStr">
        <is>
          <t>Central</t>
        </is>
      </c>
      <c r="H893" s="7" t="inlineStr">
        <is>
          <t>Texas</t>
        </is>
      </c>
      <c r="I893" s="7" t="inlineStr">
        <is>
          <t>Wholesale</t>
        </is>
      </c>
      <c r="J893" s="7" t="inlineStr">
        <is>
          <t>Corporate</t>
        </is>
      </c>
      <c r="K893" s="12" t="n">
        <v>10</v>
      </c>
      <c r="L893" s="9" t="n">
        <v>21.99</v>
      </c>
      <c r="M893" s="10" t="n">
        <v>0.1</v>
      </c>
      <c r="N893" s="9" t="n">
        <v>10.56</v>
      </c>
      <c r="O893" s="9">
        <f>K893*L893</f>
        <v/>
      </c>
      <c r="P893" s="9">
        <f>O893*M893</f>
        <v/>
      </c>
      <c r="Q893" s="9">
        <f>O893-P893</f>
        <v/>
      </c>
      <c r="R893" s="9">
        <f>K893*N893</f>
        <v/>
      </c>
      <c r="S893" s="9">
        <f>Q893-R893</f>
        <v/>
      </c>
      <c r="T893" s="10">
        <f>IFERROR(S893/Q893, 0)</f>
        <v/>
      </c>
    </row>
    <row r="894">
      <c r="A894" s="11" t="inlineStr">
        <is>
          <t>ORD-2024-1606</t>
        </is>
      </c>
      <c r="B894" s="11" t="inlineStr">
        <is>
          <t>2024-12-03</t>
        </is>
      </c>
      <c r="C894" s="11" t="inlineStr">
        <is>
          <t>TEC-ACC-008</t>
        </is>
      </c>
      <c r="D894" s="7" t="inlineStr">
        <is>
          <t>Precision Laser Bluetooth Mouse</t>
        </is>
      </c>
      <c r="E894" s="7" t="inlineStr">
        <is>
          <t>Technology</t>
        </is>
      </c>
      <c r="F894" s="7" t="inlineStr">
        <is>
          <t>Audio &amp; Accessories</t>
        </is>
      </c>
      <c r="G894" s="7" t="inlineStr">
        <is>
          <t>Central</t>
        </is>
      </c>
      <c r="H894" s="7" t="inlineStr">
        <is>
          <t>Ohio</t>
        </is>
      </c>
      <c r="I894" s="7" t="inlineStr">
        <is>
          <t>Online</t>
        </is>
      </c>
      <c r="J894" s="7" t="inlineStr">
        <is>
          <t>Consumer</t>
        </is>
      </c>
      <c r="K894" s="12" t="n">
        <v>1</v>
      </c>
      <c r="L894" s="9" t="n">
        <v>49.99</v>
      </c>
      <c r="M894" s="10" t="n">
        <v>0.05</v>
      </c>
      <c r="N894" s="9" t="n">
        <v>27.49</v>
      </c>
      <c r="O894" s="9">
        <f>K894*L894</f>
        <v/>
      </c>
      <c r="P894" s="9">
        <f>O894*M894</f>
        <v/>
      </c>
      <c r="Q894" s="9">
        <f>O894-P894</f>
        <v/>
      </c>
      <c r="R894" s="9">
        <f>K894*N894</f>
        <v/>
      </c>
      <c r="S894" s="9">
        <f>Q894-R894</f>
        <v/>
      </c>
      <c r="T894" s="10">
        <f>IFERROR(S894/Q894, 0)</f>
        <v/>
      </c>
    </row>
    <row r="895">
      <c r="A895" s="11" t="inlineStr">
        <is>
          <t>ORD-2024-1726</t>
        </is>
      </c>
      <c r="B895" s="11" t="inlineStr">
        <is>
          <t>2024-12-03</t>
        </is>
      </c>
      <c r="C895" s="11" t="inlineStr">
        <is>
          <t>FUR-CHA-001</t>
        </is>
      </c>
      <c r="D895" s="7" t="inlineStr">
        <is>
          <t>ErgoFlex Executive Mesh Chair</t>
        </is>
      </c>
      <c r="E895" s="7" t="inlineStr">
        <is>
          <t>Furniture</t>
        </is>
      </c>
      <c r="F895" s="7" t="inlineStr">
        <is>
          <t>Chairs</t>
        </is>
      </c>
      <c r="G895" s="7" t="inlineStr">
        <is>
          <t>South</t>
        </is>
      </c>
      <c r="H895" s="7" t="inlineStr">
        <is>
          <t>Georgia</t>
        </is>
      </c>
      <c r="I895" s="7" t="inlineStr">
        <is>
          <t>Retail Partner</t>
        </is>
      </c>
      <c r="J895" s="7" t="inlineStr">
        <is>
          <t>Consumer</t>
        </is>
      </c>
      <c r="K895" s="12" t="n">
        <v>1</v>
      </c>
      <c r="L895" s="9" t="n">
        <v>389.99</v>
      </c>
      <c r="M895" s="10" t="n">
        <v>0.2</v>
      </c>
      <c r="N895" s="9" t="n">
        <v>331.49</v>
      </c>
      <c r="O895" s="9">
        <f>K895*L895</f>
        <v/>
      </c>
      <c r="P895" s="9">
        <f>O895*M895</f>
        <v/>
      </c>
      <c r="Q895" s="9">
        <f>O895-P895</f>
        <v/>
      </c>
      <c r="R895" s="9">
        <f>K895*N895</f>
        <v/>
      </c>
      <c r="S895" s="9">
        <f>Q895-R895</f>
        <v/>
      </c>
      <c r="T895" s="10">
        <f>IFERROR(S895/Q895, 0)</f>
        <v/>
      </c>
    </row>
    <row r="896">
      <c r="A896" s="11" t="inlineStr">
        <is>
          <t>ORD-2024-1170</t>
        </is>
      </c>
      <c r="B896" s="11" t="inlineStr">
        <is>
          <t>2024-12-04</t>
        </is>
      </c>
      <c r="C896" s="11" t="inlineStr">
        <is>
          <t>FUR-DSK-003</t>
        </is>
      </c>
      <c r="D896" s="7" t="inlineStr">
        <is>
          <t>ApexMotor Dual-Motor Standing Desk</t>
        </is>
      </c>
      <c r="E896" s="7" t="inlineStr">
        <is>
          <t>Furniture</t>
        </is>
      </c>
      <c r="F896" s="7" t="inlineStr">
        <is>
          <t>Desks &amp; Workstations</t>
        </is>
      </c>
      <c r="G896" s="7" t="inlineStr">
        <is>
          <t>South</t>
        </is>
      </c>
      <c r="H896" s="7" t="inlineStr">
        <is>
          <t>Georgia</t>
        </is>
      </c>
      <c r="I896" s="7" t="inlineStr">
        <is>
          <t>Direct Sales</t>
        </is>
      </c>
      <c r="J896" s="7" t="inlineStr">
        <is>
          <t>Corporate</t>
        </is>
      </c>
      <c r="K896" s="12" t="n">
        <v>2</v>
      </c>
      <c r="L896" s="9" t="n">
        <v>549.99</v>
      </c>
      <c r="M896" s="10" t="n">
        <v>0.2</v>
      </c>
      <c r="N896" s="9" t="n">
        <v>439.99</v>
      </c>
      <c r="O896" s="9">
        <f>K896*L896</f>
        <v/>
      </c>
      <c r="P896" s="9">
        <f>O896*M896</f>
        <v/>
      </c>
      <c r="Q896" s="9">
        <f>O896-P896</f>
        <v/>
      </c>
      <c r="R896" s="9">
        <f>K896*N896</f>
        <v/>
      </c>
      <c r="S896" s="9">
        <f>Q896-R896</f>
        <v/>
      </c>
      <c r="T896" s="10">
        <f>IFERROR(S896/Q896, 0)</f>
        <v/>
      </c>
    </row>
    <row r="897">
      <c r="A897" s="11" t="inlineStr">
        <is>
          <t>ORD-2024-1450</t>
        </is>
      </c>
      <c r="B897" s="11" t="inlineStr">
        <is>
          <t>2024-12-04</t>
        </is>
      </c>
      <c r="C897" s="11" t="inlineStr">
        <is>
          <t>FUR-CHA-002</t>
        </is>
      </c>
      <c r="D897" s="7" t="inlineStr">
        <is>
          <t>AeroTask Operator Task Chair</t>
        </is>
      </c>
      <c r="E897" s="7" t="inlineStr">
        <is>
          <t>Furniture</t>
        </is>
      </c>
      <c r="F897" s="7" t="inlineStr">
        <is>
          <t>Chairs</t>
        </is>
      </c>
      <c r="G897" s="7" t="inlineStr">
        <is>
          <t>South</t>
        </is>
      </c>
      <c r="H897" s="7" t="inlineStr">
        <is>
          <t>Florida</t>
        </is>
      </c>
      <c r="I897" s="7" t="inlineStr">
        <is>
          <t>Online</t>
        </is>
      </c>
      <c r="J897" s="7" t="inlineStr">
        <is>
          <t>Corporate</t>
        </is>
      </c>
      <c r="K897" s="12" t="n">
        <v>5</v>
      </c>
      <c r="L897" s="9" t="n">
        <v>219.99</v>
      </c>
      <c r="M897" s="10" t="n">
        <v>0.05</v>
      </c>
      <c r="N897" s="9" t="n">
        <v>171.59</v>
      </c>
      <c r="O897" s="9">
        <f>K897*L897</f>
        <v/>
      </c>
      <c r="P897" s="9">
        <f>O897*M897</f>
        <v/>
      </c>
      <c r="Q897" s="9">
        <f>O897-P897</f>
        <v/>
      </c>
      <c r="R897" s="9">
        <f>K897*N897</f>
        <v/>
      </c>
      <c r="S897" s="9">
        <f>Q897-R897</f>
        <v/>
      </c>
      <c r="T897" s="10">
        <f>IFERROR(S897/Q897, 0)</f>
        <v/>
      </c>
    </row>
    <row r="898">
      <c r="A898" s="11" t="inlineStr">
        <is>
          <t>ORD-2024-1257</t>
        </is>
      </c>
      <c r="B898" s="11" t="inlineStr">
        <is>
          <t>2024-12-05</t>
        </is>
      </c>
      <c r="C898" s="11" t="inlineStr">
        <is>
          <t>OFF-PAP-003</t>
        </is>
      </c>
      <c r="D898" s="7" t="inlineStr">
        <is>
          <t>UltraWhite Premium Multipurpose Paper (Case)</t>
        </is>
      </c>
      <c r="E898" s="7" t="inlineStr">
        <is>
          <t>Office Supplies</t>
        </is>
      </c>
      <c r="F898" s="7" t="inlineStr">
        <is>
          <t>Paper Products</t>
        </is>
      </c>
      <c r="G898" s="7" t="inlineStr">
        <is>
          <t>East</t>
        </is>
      </c>
      <c r="H898" s="7" t="inlineStr">
        <is>
          <t>Massachusetts</t>
        </is>
      </c>
      <c r="I898" s="7" t="inlineStr">
        <is>
          <t>Retail Partner</t>
        </is>
      </c>
      <c r="J898" s="7" t="inlineStr">
        <is>
          <t>Corporate</t>
        </is>
      </c>
      <c r="K898" s="12" t="n">
        <v>6</v>
      </c>
      <c r="L898" s="9" t="n">
        <v>54.99</v>
      </c>
      <c r="M898" s="10" t="n">
        <v>0</v>
      </c>
      <c r="N898" s="9" t="n">
        <v>31.89</v>
      </c>
      <c r="O898" s="9">
        <f>K898*L898</f>
        <v/>
      </c>
      <c r="P898" s="9">
        <f>O898*M898</f>
        <v/>
      </c>
      <c r="Q898" s="9">
        <f>O898-P898</f>
        <v/>
      </c>
      <c r="R898" s="9">
        <f>K898*N898</f>
        <v/>
      </c>
      <c r="S898" s="9">
        <f>Q898-R898</f>
        <v/>
      </c>
      <c r="T898" s="10">
        <f>IFERROR(S898/Q898, 0)</f>
        <v/>
      </c>
    </row>
    <row r="899">
      <c r="A899" s="11" t="inlineStr">
        <is>
          <t>ORD-2024-1447</t>
        </is>
      </c>
      <c r="B899" s="11" t="inlineStr">
        <is>
          <t>2024-12-05</t>
        </is>
      </c>
      <c r="C899" s="11" t="inlineStr">
        <is>
          <t>OFF-PAP-003</t>
        </is>
      </c>
      <c r="D899" s="7" t="inlineStr">
        <is>
          <t>UltraWhite Premium Multipurpose Paper (Case)</t>
        </is>
      </c>
      <c r="E899" s="7" t="inlineStr">
        <is>
          <t>Office Supplies</t>
        </is>
      </c>
      <c r="F899" s="7" t="inlineStr">
        <is>
          <t>Paper Products</t>
        </is>
      </c>
      <c r="G899" s="7" t="inlineStr">
        <is>
          <t>West</t>
        </is>
      </c>
      <c r="H899" s="7" t="inlineStr">
        <is>
          <t>Oregon</t>
        </is>
      </c>
      <c r="I899" s="7" t="inlineStr">
        <is>
          <t>Direct Sales</t>
        </is>
      </c>
      <c r="J899" s="7" t="inlineStr">
        <is>
          <t>Consumer</t>
        </is>
      </c>
      <c r="K899" s="12" t="n">
        <v>1</v>
      </c>
      <c r="L899" s="9" t="n">
        <v>54.99</v>
      </c>
      <c r="M899" s="10" t="n">
        <v>0</v>
      </c>
      <c r="N899" s="9" t="n">
        <v>31.89</v>
      </c>
      <c r="O899" s="9">
        <f>K899*L899</f>
        <v/>
      </c>
      <c r="P899" s="9">
        <f>O899*M899</f>
        <v/>
      </c>
      <c r="Q899" s="9">
        <f>O899-P899</f>
        <v/>
      </c>
      <c r="R899" s="9">
        <f>K899*N899</f>
        <v/>
      </c>
      <c r="S899" s="9">
        <f>Q899-R899</f>
        <v/>
      </c>
      <c r="T899" s="10">
        <f>IFERROR(S899/Q899, 0)</f>
        <v/>
      </c>
    </row>
    <row r="900">
      <c r="A900" s="11" t="inlineStr">
        <is>
          <t>ORD-2024-1467</t>
        </is>
      </c>
      <c r="B900" s="11" t="inlineStr">
        <is>
          <t>2024-12-05</t>
        </is>
      </c>
      <c r="C900" s="11" t="inlineStr">
        <is>
          <t>FUR-DSK-003</t>
        </is>
      </c>
      <c r="D900" s="7" t="inlineStr">
        <is>
          <t>ApexMotor Dual-Motor Standing Desk</t>
        </is>
      </c>
      <c r="E900" s="7" t="inlineStr">
        <is>
          <t>Furniture</t>
        </is>
      </c>
      <c r="F900" s="7" t="inlineStr">
        <is>
          <t>Desks &amp; Workstations</t>
        </is>
      </c>
      <c r="G900" s="7" t="inlineStr">
        <is>
          <t>East</t>
        </is>
      </c>
      <c r="H900" s="7" t="inlineStr">
        <is>
          <t>Pennsylvania</t>
        </is>
      </c>
      <c r="I900" s="7" t="inlineStr">
        <is>
          <t>Online</t>
        </is>
      </c>
      <c r="J900" s="7" t="inlineStr">
        <is>
          <t>Corporate</t>
        </is>
      </c>
      <c r="K900" s="12" t="n">
        <v>6</v>
      </c>
      <c r="L900" s="9" t="n">
        <v>549.99</v>
      </c>
      <c r="M900" s="10" t="n">
        <v>0.05</v>
      </c>
      <c r="N900" s="9" t="n">
        <v>439.99</v>
      </c>
      <c r="O900" s="9">
        <f>K900*L900</f>
        <v/>
      </c>
      <c r="P900" s="9">
        <f>O900*M900</f>
        <v/>
      </c>
      <c r="Q900" s="9">
        <f>O900-P900</f>
        <v/>
      </c>
      <c r="R900" s="9">
        <f>K900*N900</f>
        <v/>
      </c>
      <c r="S900" s="9">
        <f>Q900-R900</f>
        <v/>
      </c>
      <c r="T900" s="10">
        <f>IFERROR(S900/Q900, 0)</f>
        <v/>
      </c>
    </row>
    <row r="901">
      <c r="A901" s="11" t="inlineStr">
        <is>
          <t>ORD-2024-1467</t>
        </is>
      </c>
      <c r="B901" s="11" t="inlineStr">
        <is>
          <t>2024-12-05</t>
        </is>
      </c>
      <c r="C901" s="11" t="inlineStr">
        <is>
          <t>FUR-DSK-003</t>
        </is>
      </c>
      <c r="D901" s="7" t="inlineStr">
        <is>
          <t>ApexMotor Dual-Motor Standing Desk</t>
        </is>
      </c>
      <c r="E901" s="7" t="inlineStr">
        <is>
          <t>Furniture</t>
        </is>
      </c>
      <c r="F901" s="7" t="inlineStr">
        <is>
          <t>Desks &amp; Workstations</t>
        </is>
      </c>
      <c r="G901" s="7" t="inlineStr">
        <is>
          <t>East</t>
        </is>
      </c>
      <c r="H901" s="7" t="inlineStr">
        <is>
          <t>Pennsylvania</t>
        </is>
      </c>
      <c r="I901" s="7" t="inlineStr">
        <is>
          <t>Online</t>
        </is>
      </c>
      <c r="J901" s="7" t="inlineStr">
        <is>
          <t>Corporate</t>
        </is>
      </c>
      <c r="K901" s="12" t="n">
        <v>3</v>
      </c>
      <c r="L901" s="9" t="n">
        <v>549.99</v>
      </c>
      <c r="M901" s="10" t="n">
        <v>0.2</v>
      </c>
      <c r="N901" s="9" t="n">
        <v>439.99</v>
      </c>
      <c r="O901" s="9">
        <f>K901*L901</f>
        <v/>
      </c>
      <c r="P901" s="9">
        <f>O901*M901</f>
        <v/>
      </c>
      <c r="Q901" s="9">
        <f>O901-P901</f>
        <v/>
      </c>
      <c r="R901" s="9">
        <f>K901*N901</f>
        <v/>
      </c>
      <c r="S901" s="9">
        <f>Q901-R901</f>
        <v/>
      </c>
      <c r="T901" s="10">
        <f>IFERROR(S901/Q901, 0)</f>
        <v/>
      </c>
    </row>
    <row r="902">
      <c r="A902" s="11" t="inlineStr">
        <is>
          <t>ORD-2024-1160</t>
        </is>
      </c>
      <c r="B902" s="11" t="inlineStr">
        <is>
          <t>2024-12-06</t>
        </is>
      </c>
      <c r="C902" s="11" t="inlineStr">
        <is>
          <t>TEC-ACC-007</t>
        </is>
      </c>
      <c r="D902" s="7" t="inlineStr">
        <is>
          <t>ErgoMechanical Wireless Keyboard</t>
        </is>
      </c>
      <c r="E902" s="7" t="inlineStr">
        <is>
          <t>Technology</t>
        </is>
      </c>
      <c r="F902" s="7" t="inlineStr">
        <is>
          <t>Audio &amp; Accessories</t>
        </is>
      </c>
      <c r="G902" s="7" t="inlineStr">
        <is>
          <t>South</t>
        </is>
      </c>
      <c r="H902" s="7" t="inlineStr">
        <is>
          <t>Virginia</t>
        </is>
      </c>
      <c r="I902" s="7" t="inlineStr">
        <is>
          <t>Wholesale</t>
        </is>
      </c>
      <c r="J902" s="7" t="inlineStr">
        <is>
          <t>Corporate</t>
        </is>
      </c>
      <c r="K902" s="12" t="n">
        <v>10</v>
      </c>
      <c r="L902" s="9" t="n">
        <v>109.99</v>
      </c>
      <c r="M902" s="10" t="n">
        <v>0.2</v>
      </c>
      <c r="N902" s="9" t="n">
        <v>65.98999999999999</v>
      </c>
      <c r="O902" s="9">
        <f>K902*L902</f>
        <v/>
      </c>
      <c r="P902" s="9">
        <f>O902*M902</f>
        <v/>
      </c>
      <c r="Q902" s="9">
        <f>O902-P902</f>
        <v/>
      </c>
      <c r="R902" s="9">
        <f>K902*N902</f>
        <v/>
      </c>
      <c r="S902" s="9">
        <f>Q902-R902</f>
        <v/>
      </c>
      <c r="T902" s="10">
        <f>IFERROR(S902/Q902, 0)</f>
        <v/>
      </c>
    </row>
    <row r="903">
      <c r="A903" s="11" t="inlineStr">
        <is>
          <t>ORD-2024-1160</t>
        </is>
      </c>
      <c r="B903" s="11" t="inlineStr">
        <is>
          <t>2024-12-06</t>
        </is>
      </c>
      <c r="C903" s="11" t="inlineStr">
        <is>
          <t>FUR-CHA-001</t>
        </is>
      </c>
      <c r="D903" s="7" t="inlineStr">
        <is>
          <t>ErgoFlex Executive Mesh Chair</t>
        </is>
      </c>
      <c r="E903" s="7" t="inlineStr">
        <is>
          <t>Furniture</t>
        </is>
      </c>
      <c r="F903" s="7" t="inlineStr">
        <is>
          <t>Chairs</t>
        </is>
      </c>
      <c r="G903" s="7" t="inlineStr">
        <is>
          <t>South</t>
        </is>
      </c>
      <c r="H903" s="7" t="inlineStr">
        <is>
          <t>Virginia</t>
        </is>
      </c>
      <c r="I903" s="7" t="inlineStr">
        <is>
          <t>Wholesale</t>
        </is>
      </c>
      <c r="J903" s="7" t="inlineStr">
        <is>
          <t>Corporate</t>
        </is>
      </c>
      <c r="K903" s="12" t="n">
        <v>10</v>
      </c>
      <c r="L903" s="9" t="n">
        <v>389.99</v>
      </c>
      <c r="M903" s="10" t="n">
        <v>0.1</v>
      </c>
      <c r="N903" s="9" t="n">
        <v>331.49</v>
      </c>
      <c r="O903" s="9">
        <f>K903*L903</f>
        <v/>
      </c>
      <c r="P903" s="9">
        <f>O903*M903</f>
        <v/>
      </c>
      <c r="Q903" s="9">
        <f>O903-P903</f>
        <v/>
      </c>
      <c r="R903" s="9">
        <f>K903*N903</f>
        <v/>
      </c>
      <c r="S903" s="9">
        <f>Q903-R903</f>
        <v/>
      </c>
      <c r="T903" s="10">
        <f>IFERROR(S903/Q903, 0)</f>
        <v/>
      </c>
    </row>
    <row r="904">
      <c r="A904" s="11" t="inlineStr">
        <is>
          <t>ORD-2024-1390</t>
        </is>
      </c>
      <c r="B904" s="11" t="inlineStr">
        <is>
          <t>2024-12-06</t>
        </is>
      </c>
      <c r="C904" s="11" t="inlineStr">
        <is>
          <t>OFF-PAP-003</t>
        </is>
      </c>
      <c r="D904" s="7" t="inlineStr">
        <is>
          <t>UltraWhite Premium Multipurpose Paper (Case)</t>
        </is>
      </c>
      <c r="E904" s="7" t="inlineStr">
        <is>
          <t>Office Supplies</t>
        </is>
      </c>
      <c r="F904" s="7" t="inlineStr">
        <is>
          <t>Paper Products</t>
        </is>
      </c>
      <c r="G904" s="7" t="inlineStr">
        <is>
          <t>West</t>
        </is>
      </c>
      <c r="H904" s="7" t="inlineStr">
        <is>
          <t>California</t>
        </is>
      </c>
      <c r="I904" s="7" t="inlineStr">
        <is>
          <t>Direct Sales</t>
        </is>
      </c>
      <c r="J904" s="7" t="inlineStr">
        <is>
          <t>Home Office</t>
        </is>
      </c>
      <c r="K904" s="12" t="n">
        <v>3</v>
      </c>
      <c r="L904" s="9" t="n">
        <v>54.99</v>
      </c>
      <c r="M904" s="10" t="n">
        <v>0.15</v>
      </c>
      <c r="N904" s="9" t="n">
        <v>31.89</v>
      </c>
      <c r="O904" s="9">
        <f>K904*L904</f>
        <v/>
      </c>
      <c r="P904" s="9">
        <f>O904*M904</f>
        <v/>
      </c>
      <c r="Q904" s="9">
        <f>O904-P904</f>
        <v/>
      </c>
      <c r="R904" s="9">
        <f>K904*N904</f>
        <v/>
      </c>
      <c r="S904" s="9">
        <f>Q904-R904</f>
        <v/>
      </c>
      <c r="T904" s="10">
        <f>IFERROR(S904/Q904, 0)</f>
        <v/>
      </c>
    </row>
    <row r="905">
      <c r="A905" s="11" t="inlineStr">
        <is>
          <t>ORD-2024-1107</t>
        </is>
      </c>
      <c r="B905" s="11" t="inlineStr">
        <is>
          <t>2024-12-07</t>
        </is>
      </c>
      <c r="C905" s="11" t="inlineStr">
        <is>
          <t>OFF-BIN-005</t>
        </is>
      </c>
      <c r="D905" s="7" t="inlineStr">
        <is>
          <t>Heavy-Duty D-Ring Presentation Binder (6-Pk)</t>
        </is>
      </c>
      <c r="E905" s="7" t="inlineStr">
        <is>
          <t>Office Supplies</t>
        </is>
      </c>
      <c r="F905" s="7" t="inlineStr">
        <is>
          <t>Binders &amp; Fasteners</t>
        </is>
      </c>
      <c r="G905" s="7" t="inlineStr">
        <is>
          <t>East</t>
        </is>
      </c>
      <c r="H905" s="7" t="inlineStr">
        <is>
          <t>New Jersey</t>
        </is>
      </c>
      <c r="I905" s="7" t="inlineStr">
        <is>
          <t>Direct Sales</t>
        </is>
      </c>
      <c r="J905" s="7" t="inlineStr">
        <is>
          <t>Consumer</t>
        </is>
      </c>
      <c r="K905" s="12" t="n">
        <v>3</v>
      </c>
      <c r="L905" s="9" t="n">
        <v>27.99</v>
      </c>
      <c r="M905" s="10" t="n">
        <v>0</v>
      </c>
      <c r="N905" s="9" t="n">
        <v>13.99</v>
      </c>
      <c r="O905" s="9">
        <f>K905*L905</f>
        <v/>
      </c>
      <c r="P905" s="9">
        <f>O905*M905</f>
        <v/>
      </c>
      <c r="Q905" s="9">
        <f>O905-P905</f>
        <v/>
      </c>
      <c r="R905" s="9">
        <f>K905*N905</f>
        <v/>
      </c>
      <c r="S905" s="9">
        <f>Q905-R905</f>
        <v/>
      </c>
      <c r="T905" s="10">
        <f>IFERROR(S905/Q905, 0)</f>
        <v/>
      </c>
    </row>
    <row r="906">
      <c r="A906" s="11" t="inlineStr">
        <is>
          <t>ORD-2024-1107</t>
        </is>
      </c>
      <c r="B906" s="11" t="inlineStr">
        <is>
          <t>2024-12-07</t>
        </is>
      </c>
      <c r="C906" s="11" t="inlineStr">
        <is>
          <t>OFF-STR-001</t>
        </is>
      </c>
      <c r="D906" s="7" t="inlineStr">
        <is>
          <t>SteelLock 3-Drawer File Cabinet</t>
        </is>
      </c>
      <c r="E906" s="7" t="inlineStr">
        <is>
          <t>Office Supplies</t>
        </is>
      </c>
      <c r="F906" s="7" t="inlineStr">
        <is>
          <t>Storage &amp; Organizers</t>
        </is>
      </c>
      <c r="G906" s="7" t="inlineStr">
        <is>
          <t>East</t>
        </is>
      </c>
      <c r="H906" s="7" t="inlineStr">
        <is>
          <t>New Jersey</t>
        </is>
      </c>
      <c r="I906" s="7" t="inlineStr">
        <is>
          <t>Direct Sales</t>
        </is>
      </c>
      <c r="J906" s="7" t="inlineStr">
        <is>
          <t>Consumer</t>
        </is>
      </c>
      <c r="K906" s="12" t="n">
        <v>4</v>
      </c>
      <c r="L906" s="9" t="n">
        <v>169.99</v>
      </c>
      <c r="M906" s="10" t="n">
        <v>0</v>
      </c>
      <c r="N906" s="9" t="n">
        <v>115.59</v>
      </c>
      <c r="O906" s="9">
        <f>K906*L906</f>
        <v/>
      </c>
      <c r="P906" s="9">
        <f>O906*M906</f>
        <v/>
      </c>
      <c r="Q906" s="9">
        <f>O906-P906</f>
        <v/>
      </c>
      <c r="R906" s="9">
        <f>K906*N906</f>
        <v/>
      </c>
      <c r="S906" s="9">
        <f>Q906-R906</f>
        <v/>
      </c>
      <c r="T906" s="10">
        <f>IFERROR(S906/Q906, 0)</f>
        <v/>
      </c>
    </row>
    <row r="907">
      <c r="A907" s="11" t="inlineStr">
        <is>
          <t>ORD-2024-1126</t>
        </is>
      </c>
      <c r="B907" s="11" t="inlineStr">
        <is>
          <t>2024-12-07</t>
        </is>
      </c>
      <c r="C907" s="11" t="inlineStr">
        <is>
          <t>FUR-LGT-006</t>
        </is>
      </c>
      <c r="D907" s="7" t="inlineStr">
        <is>
          <t>Architect LED Desk Task Lamp</t>
        </is>
      </c>
      <c r="E907" s="7" t="inlineStr">
        <is>
          <t>Furniture</t>
        </is>
      </c>
      <c r="F907" s="7" t="inlineStr">
        <is>
          <t>Lighting</t>
        </is>
      </c>
      <c r="G907" s="7" t="inlineStr">
        <is>
          <t>South</t>
        </is>
      </c>
      <c r="H907" s="7" t="inlineStr">
        <is>
          <t>Florida</t>
        </is>
      </c>
      <c r="I907" s="7" t="inlineStr">
        <is>
          <t>Direct Sales</t>
        </is>
      </c>
      <c r="J907" s="7" t="inlineStr">
        <is>
          <t>Consumer</t>
        </is>
      </c>
      <c r="K907" s="12" t="n">
        <v>4</v>
      </c>
      <c r="L907" s="9" t="n">
        <v>69.98999999999999</v>
      </c>
      <c r="M907" s="10" t="n">
        <v>0.15</v>
      </c>
      <c r="N907" s="9" t="n">
        <v>43.39</v>
      </c>
      <c r="O907" s="9">
        <f>K907*L907</f>
        <v/>
      </c>
      <c r="P907" s="9">
        <f>O907*M907</f>
        <v/>
      </c>
      <c r="Q907" s="9">
        <f>O907-P907</f>
        <v/>
      </c>
      <c r="R907" s="9">
        <f>K907*N907</f>
        <v/>
      </c>
      <c r="S907" s="9">
        <f>Q907-R907</f>
        <v/>
      </c>
      <c r="T907" s="10">
        <f>IFERROR(S907/Q907, 0)</f>
        <v/>
      </c>
    </row>
    <row r="908">
      <c r="A908" s="11" t="inlineStr">
        <is>
          <t>ORD-2024-1126</t>
        </is>
      </c>
      <c r="B908" s="11" t="inlineStr">
        <is>
          <t>2024-12-07</t>
        </is>
      </c>
      <c r="C908" s="11" t="inlineStr">
        <is>
          <t>FUR-DSK-003</t>
        </is>
      </c>
      <c r="D908" s="7" t="inlineStr">
        <is>
          <t>ApexMotor Dual-Motor Standing Desk</t>
        </is>
      </c>
      <c r="E908" s="7" t="inlineStr">
        <is>
          <t>Furniture</t>
        </is>
      </c>
      <c r="F908" s="7" t="inlineStr">
        <is>
          <t>Desks &amp; Workstations</t>
        </is>
      </c>
      <c r="G908" s="7" t="inlineStr">
        <is>
          <t>South</t>
        </is>
      </c>
      <c r="H908" s="7" t="inlineStr">
        <is>
          <t>Florida</t>
        </is>
      </c>
      <c r="I908" s="7" t="inlineStr">
        <is>
          <t>Direct Sales</t>
        </is>
      </c>
      <c r="J908" s="7" t="inlineStr">
        <is>
          <t>Consumer</t>
        </is>
      </c>
      <c r="K908" s="12" t="n">
        <v>4</v>
      </c>
      <c r="L908" s="9" t="n">
        <v>549.99</v>
      </c>
      <c r="M908" s="10" t="n">
        <v>0</v>
      </c>
      <c r="N908" s="9" t="n">
        <v>439.99</v>
      </c>
      <c r="O908" s="9">
        <f>K908*L908</f>
        <v/>
      </c>
      <c r="P908" s="9">
        <f>O908*M908</f>
        <v/>
      </c>
      <c r="Q908" s="9">
        <f>O908-P908</f>
        <v/>
      </c>
      <c r="R908" s="9">
        <f>K908*N908</f>
        <v/>
      </c>
      <c r="S908" s="9">
        <f>Q908-R908</f>
        <v/>
      </c>
      <c r="T908" s="10">
        <f>IFERROR(S908/Q908, 0)</f>
        <v/>
      </c>
    </row>
    <row r="909">
      <c r="A909" s="11" t="inlineStr">
        <is>
          <t>ORD-2024-1126</t>
        </is>
      </c>
      <c r="B909" s="11" t="inlineStr">
        <is>
          <t>2024-12-07</t>
        </is>
      </c>
      <c r="C909" s="11" t="inlineStr">
        <is>
          <t>FUR-LGT-006</t>
        </is>
      </c>
      <c r="D909" s="7" t="inlineStr">
        <is>
          <t>Architect LED Desk Task Lamp</t>
        </is>
      </c>
      <c r="E909" s="7" t="inlineStr">
        <is>
          <t>Furniture</t>
        </is>
      </c>
      <c r="F909" s="7" t="inlineStr">
        <is>
          <t>Lighting</t>
        </is>
      </c>
      <c r="G909" s="7" t="inlineStr">
        <is>
          <t>South</t>
        </is>
      </c>
      <c r="H909" s="7" t="inlineStr">
        <is>
          <t>Florida</t>
        </is>
      </c>
      <c r="I909" s="7" t="inlineStr">
        <is>
          <t>Direct Sales</t>
        </is>
      </c>
      <c r="J909" s="7" t="inlineStr">
        <is>
          <t>Consumer</t>
        </is>
      </c>
      <c r="K909" s="12" t="n">
        <v>1</v>
      </c>
      <c r="L909" s="9" t="n">
        <v>69.98999999999999</v>
      </c>
      <c r="M909" s="10" t="n">
        <v>0.2</v>
      </c>
      <c r="N909" s="9" t="n">
        <v>43.39</v>
      </c>
      <c r="O909" s="9">
        <f>K909*L909</f>
        <v/>
      </c>
      <c r="P909" s="9">
        <f>O909*M909</f>
        <v/>
      </c>
      <c r="Q909" s="9">
        <f>O909-P909</f>
        <v/>
      </c>
      <c r="R909" s="9">
        <f>K909*N909</f>
        <v/>
      </c>
      <c r="S909" s="9">
        <f>Q909-R909</f>
        <v/>
      </c>
      <c r="T909" s="10">
        <f>IFERROR(S909/Q909, 0)</f>
        <v/>
      </c>
    </row>
    <row r="910">
      <c r="A910" s="11" t="inlineStr">
        <is>
          <t>ORD-2024-1126</t>
        </is>
      </c>
      <c r="B910" s="11" t="inlineStr">
        <is>
          <t>2024-12-07</t>
        </is>
      </c>
      <c r="C910" s="11" t="inlineStr">
        <is>
          <t>TEC-ACC-007</t>
        </is>
      </c>
      <c r="D910" s="7" t="inlineStr">
        <is>
          <t>ErgoMechanical Wireless Keyboard</t>
        </is>
      </c>
      <c r="E910" s="7" t="inlineStr">
        <is>
          <t>Technology</t>
        </is>
      </c>
      <c r="F910" s="7" t="inlineStr">
        <is>
          <t>Audio &amp; Accessories</t>
        </is>
      </c>
      <c r="G910" s="7" t="inlineStr">
        <is>
          <t>South</t>
        </is>
      </c>
      <c r="H910" s="7" t="inlineStr">
        <is>
          <t>Florida</t>
        </is>
      </c>
      <c r="I910" s="7" t="inlineStr">
        <is>
          <t>Direct Sales</t>
        </is>
      </c>
      <c r="J910" s="7" t="inlineStr">
        <is>
          <t>Consumer</t>
        </is>
      </c>
      <c r="K910" s="12" t="n">
        <v>4</v>
      </c>
      <c r="L910" s="9" t="n">
        <v>109.99</v>
      </c>
      <c r="M910" s="10" t="n">
        <v>0.15</v>
      </c>
      <c r="N910" s="9" t="n">
        <v>65.98999999999999</v>
      </c>
      <c r="O910" s="9">
        <f>K910*L910</f>
        <v/>
      </c>
      <c r="P910" s="9">
        <f>O910*M910</f>
        <v/>
      </c>
      <c r="Q910" s="9">
        <f>O910-P910</f>
        <v/>
      </c>
      <c r="R910" s="9">
        <f>K910*N910</f>
        <v/>
      </c>
      <c r="S910" s="9">
        <f>Q910-R910</f>
        <v/>
      </c>
      <c r="T910" s="10">
        <f>IFERROR(S910/Q910, 0)</f>
        <v/>
      </c>
    </row>
    <row r="911">
      <c r="A911" s="11" t="inlineStr">
        <is>
          <t>ORD-2024-1539</t>
        </is>
      </c>
      <c r="B911" s="11" t="inlineStr">
        <is>
          <t>2024-12-07</t>
        </is>
      </c>
      <c r="C911" s="11" t="inlineStr">
        <is>
          <t>TEC-LAP-002</t>
        </is>
      </c>
      <c r="D911" s="7" t="inlineStr">
        <is>
          <t>Apex Gaming Laptop 17"</t>
        </is>
      </c>
      <c r="E911" s="7" t="inlineStr">
        <is>
          <t>Technology</t>
        </is>
      </c>
      <c r="F911" s="7" t="inlineStr">
        <is>
          <t>Laptops</t>
        </is>
      </c>
      <c r="G911" s="7" t="inlineStr">
        <is>
          <t>Central</t>
        </is>
      </c>
      <c r="H911" s="7" t="inlineStr">
        <is>
          <t>Illinois</t>
        </is>
      </c>
      <c r="I911" s="7" t="inlineStr">
        <is>
          <t>Direct Sales</t>
        </is>
      </c>
      <c r="J911" s="7" t="inlineStr">
        <is>
          <t>Corporate</t>
        </is>
      </c>
      <c r="K911" s="12" t="n">
        <v>8</v>
      </c>
      <c r="L911" s="9" t="n">
        <v>1499.99</v>
      </c>
      <c r="M911" s="10" t="n">
        <v>0.15</v>
      </c>
      <c r="N911" s="9" t="n">
        <v>1259.99</v>
      </c>
      <c r="O911" s="9">
        <f>K911*L911</f>
        <v/>
      </c>
      <c r="P911" s="9">
        <f>O911*M911</f>
        <v/>
      </c>
      <c r="Q911" s="9">
        <f>O911-P911</f>
        <v/>
      </c>
      <c r="R911" s="9">
        <f>K911*N911</f>
        <v/>
      </c>
      <c r="S911" s="9">
        <f>Q911-R911</f>
        <v/>
      </c>
      <c r="T911" s="10">
        <f>IFERROR(S911/Q911, 0)</f>
        <v/>
      </c>
    </row>
    <row r="912">
      <c r="A912" s="11" t="inlineStr">
        <is>
          <t>ORD-2024-1632</t>
        </is>
      </c>
      <c r="B912" s="11" t="inlineStr">
        <is>
          <t>2024-12-07</t>
        </is>
      </c>
      <c r="C912" s="11" t="inlineStr">
        <is>
          <t>FUR-CHA-002</t>
        </is>
      </c>
      <c r="D912" s="7" t="inlineStr">
        <is>
          <t>AeroTask Operator Task Chair</t>
        </is>
      </c>
      <c r="E912" s="7" t="inlineStr">
        <is>
          <t>Furniture</t>
        </is>
      </c>
      <c r="F912" s="7" t="inlineStr">
        <is>
          <t>Chairs</t>
        </is>
      </c>
      <c r="G912" s="7" t="inlineStr">
        <is>
          <t>West</t>
        </is>
      </c>
      <c r="H912" s="7" t="inlineStr">
        <is>
          <t>Colorado</t>
        </is>
      </c>
      <c r="I912" s="7" t="inlineStr">
        <is>
          <t>Online</t>
        </is>
      </c>
      <c r="J912" s="7" t="inlineStr">
        <is>
          <t>Consumer</t>
        </is>
      </c>
      <c r="K912" s="12" t="n">
        <v>1</v>
      </c>
      <c r="L912" s="9" t="n">
        <v>219.99</v>
      </c>
      <c r="M912" s="10" t="n">
        <v>0.1</v>
      </c>
      <c r="N912" s="9" t="n">
        <v>171.59</v>
      </c>
      <c r="O912" s="9">
        <f>K912*L912</f>
        <v/>
      </c>
      <c r="P912" s="9">
        <f>O912*M912</f>
        <v/>
      </c>
      <c r="Q912" s="9">
        <f>O912-P912</f>
        <v/>
      </c>
      <c r="R912" s="9">
        <f>K912*N912</f>
        <v/>
      </c>
      <c r="S912" s="9">
        <f>Q912-R912</f>
        <v/>
      </c>
      <c r="T912" s="10">
        <f>IFERROR(S912/Q912, 0)</f>
        <v/>
      </c>
    </row>
    <row r="913">
      <c r="A913" s="11" t="inlineStr">
        <is>
          <t>ORD-2024-1002</t>
        </is>
      </c>
      <c r="B913" s="11" t="inlineStr">
        <is>
          <t>2024-12-08</t>
        </is>
      </c>
      <c r="C913" s="11" t="inlineStr">
        <is>
          <t>TEC-ACC-005</t>
        </is>
      </c>
      <c r="D913" s="7" t="inlineStr">
        <is>
          <t>UltraWireless Noise-Canceling Headset</t>
        </is>
      </c>
      <c r="E913" s="7" t="inlineStr">
        <is>
          <t>Technology</t>
        </is>
      </c>
      <c r="F913" s="7" t="inlineStr">
        <is>
          <t>Audio &amp; Accessories</t>
        </is>
      </c>
      <c r="G913" s="7" t="inlineStr">
        <is>
          <t>East</t>
        </is>
      </c>
      <c r="H913" s="7" t="inlineStr">
        <is>
          <t>Pennsylvania</t>
        </is>
      </c>
      <c r="I913" s="7" t="inlineStr">
        <is>
          <t>Retail Partner</t>
        </is>
      </c>
      <c r="J913" s="7" t="inlineStr">
        <is>
          <t>Consumer</t>
        </is>
      </c>
      <c r="K913" s="12" t="n">
        <v>1</v>
      </c>
      <c r="L913" s="9" t="n">
        <v>179.99</v>
      </c>
      <c r="M913" s="10" t="n">
        <v>0.15</v>
      </c>
      <c r="N913" s="9" t="n">
        <v>111.59</v>
      </c>
      <c r="O913" s="9">
        <f>K913*L913</f>
        <v/>
      </c>
      <c r="P913" s="9">
        <f>O913*M913</f>
        <v/>
      </c>
      <c r="Q913" s="9">
        <f>O913-P913</f>
        <v/>
      </c>
      <c r="R913" s="9">
        <f>K913*N913</f>
        <v/>
      </c>
      <c r="S913" s="9">
        <f>Q913-R913</f>
        <v/>
      </c>
      <c r="T913" s="10">
        <f>IFERROR(S913/Q913, 0)</f>
        <v/>
      </c>
    </row>
    <row r="914">
      <c r="A914" s="11" t="inlineStr">
        <is>
          <t>ORD-2024-1002</t>
        </is>
      </c>
      <c r="B914" s="11" t="inlineStr">
        <is>
          <t>2024-12-08</t>
        </is>
      </c>
      <c r="C914" s="11" t="inlineStr">
        <is>
          <t>OFF-DSK-008</t>
        </is>
      </c>
      <c r="D914" s="7" t="inlineStr">
        <is>
          <t>Steel Desktop Mesh Organizer Caddy</t>
        </is>
      </c>
      <c r="E914" s="7" t="inlineStr">
        <is>
          <t>Office Supplies</t>
        </is>
      </c>
      <c r="F914" s="7" t="inlineStr">
        <is>
          <t>Desk Supplies</t>
        </is>
      </c>
      <c r="G914" s="7" t="inlineStr">
        <is>
          <t>East</t>
        </is>
      </c>
      <c r="H914" s="7" t="inlineStr">
        <is>
          <t>Pennsylvania</t>
        </is>
      </c>
      <c r="I914" s="7" t="inlineStr">
        <is>
          <t>Retail Partner</t>
        </is>
      </c>
      <c r="J914" s="7" t="inlineStr">
        <is>
          <t>Consumer</t>
        </is>
      </c>
      <c r="K914" s="12" t="n">
        <v>1</v>
      </c>
      <c r="L914" s="9" t="n">
        <v>18.99</v>
      </c>
      <c r="M914" s="10" t="n">
        <v>0</v>
      </c>
      <c r="N914" s="9" t="n">
        <v>8.550000000000001</v>
      </c>
      <c r="O914" s="9">
        <f>K914*L914</f>
        <v/>
      </c>
      <c r="P914" s="9">
        <f>O914*M914</f>
        <v/>
      </c>
      <c r="Q914" s="9">
        <f>O914-P914</f>
        <v/>
      </c>
      <c r="R914" s="9">
        <f>K914*N914</f>
        <v/>
      </c>
      <c r="S914" s="9">
        <f>Q914-R914</f>
        <v/>
      </c>
      <c r="T914" s="10">
        <f>IFERROR(S914/Q914, 0)</f>
        <v/>
      </c>
    </row>
    <row r="915">
      <c r="A915" s="11" t="inlineStr">
        <is>
          <t>ORD-2024-1002</t>
        </is>
      </c>
      <c r="B915" s="11" t="inlineStr">
        <is>
          <t>2024-12-08</t>
        </is>
      </c>
      <c r="C915" s="11" t="inlineStr">
        <is>
          <t>OFF-BIN-005</t>
        </is>
      </c>
      <c r="D915" s="7" t="inlineStr">
        <is>
          <t>Heavy-Duty D-Ring Presentation Binder (6-Pk)</t>
        </is>
      </c>
      <c r="E915" s="7" t="inlineStr">
        <is>
          <t>Office Supplies</t>
        </is>
      </c>
      <c r="F915" s="7" t="inlineStr">
        <is>
          <t>Binders &amp; Fasteners</t>
        </is>
      </c>
      <c r="G915" s="7" t="inlineStr">
        <is>
          <t>East</t>
        </is>
      </c>
      <c r="H915" s="7" t="inlineStr">
        <is>
          <t>Pennsylvania</t>
        </is>
      </c>
      <c r="I915" s="7" t="inlineStr">
        <is>
          <t>Retail Partner</t>
        </is>
      </c>
      <c r="J915" s="7" t="inlineStr">
        <is>
          <t>Consumer</t>
        </is>
      </c>
      <c r="K915" s="12" t="n">
        <v>4</v>
      </c>
      <c r="L915" s="9" t="n">
        <v>27.99</v>
      </c>
      <c r="M915" s="10" t="n">
        <v>0</v>
      </c>
      <c r="N915" s="9" t="n">
        <v>13.99</v>
      </c>
      <c r="O915" s="9">
        <f>K915*L915</f>
        <v/>
      </c>
      <c r="P915" s="9">
        <f>O915*M915</f>
        <v/>
      </c>
      <c r="Q915" s="9">
        <f>O915-P915</f>
        <v/>
      </c>
      <c r="R915" s="9">
        <f>K915*N915</f>
        <v/>
      </c>
      <c r="S915" s="9">
        <f>Q915-R915</f>
        <v/>
      </c>
      <c r="T915" s="10">
        <f>IFERROR(S915/Q915, 0)</f>
        <v/>
      </c>
    </row>
    <row r="916">
      <c r="A916" s="11" t="inlineStr">
        <is>
          <t>ORD-2024-1491</t>
        </is>
      </c>
      <c r="B916" s="11" t="inlineStr">
        <is>
          <t>2024-12-08</t>
        </is>
      </c>
      <c r="C916" s="11" t="inlineStr">
        <is>
          <t>OFF-DSK-008</t>
        </is>
      </c>
      <c r="D916" s="7" t="inlineStr">
        <is>
          <t>Steel Desktop Mesh Organizer Caddy</t>
        </is>
      </c>
      <c r="E916" s="7" t="inlineStr">
        <is>
          <t>Office Supplies</t>
        </is>
      </c>
      <c r="F916" s="7" t="inlineStr">
        <is>
          <t>Desk Supplies</t>
        </is>
      </c>
      <c r="G916" s="7" t="inlineStr">
        <is>
          <t>East</t>
        </is>
      </c>
      <c r="H916" s="7" t="inlineStr">
        <is>
          <t>New York</t>
        </is>
      </c>
      <c r="I916" s="7" t="inlineStr">
        <is>
          <t>Online</t>
        </is>
      </c>
      <c r="J916" s="7" t="inlineStr">
        <is>
          <t>Corporate</t>
        </is>
      </c>
      <c r="K916" s="12" t="n">
        <v>6</v>
      </c>
      <c r="L916" s="9" t="n">
        <v>18.99</v>
      </c>
      <c r="M916" s="10" t="n">
        <v>0.1</v>
      </c>
      <c r="N916" s="9" t="n">
        <v>8.550000000000001</v>
      </c>
      <c r="O916" s="9">
        <f>K916*L916</f>
        <v/>
      </c>
      <c r="P916" s="9">
        <f>O916*M916</f>
        <v/>
      </c>
      <c r="Q916" s="9">
        <f>O916-P916</f>
        <v/>
      </c>
      <c r="R916" s="9">
        <f>K916*N916</f>
        <v/>
      </c>
      <c r="S916" s="9">
        <f>Q916-R916</f>
        <v/>
      </c>
      <c r="T916" s="10">
        <f>IFERROR(S916/Q916, 0)</f>
        <v/>
      </c>
    </row>
    <row r="917">
      <c r="A917" s="11" t="inlineStr">
        <is>
          <t>ORD-2024-1541</t>
        </is>
      </c>
      <c r="B917" s="11" t="inlineStr">
        <is>
          <t>2024-12-08</t>
        </is>
      </c>
      <c r="C917" s="11" t="inlineStr">
        <is>
          <t>TEC-TAB-003</t>
        </is>
      </c>
      <c r="D917" s="7" t="inlineStr">
        <is>
          <t>VisionPad Pro 11"</t>
        </is>
      </c>
      <c r="E917" s="7" t="inlineStr">
        <is>
          <t>Technology</t>
        </is>
      </c>
      <c r="F917" s="7" t="inlineStr">
        <is>
          <t>Phones &amp; Tablets</t>
        </is>
      </c>
      <c r="G917" s="7" t="inlineStr">
        <is>
          <t>South</t>
        </is>
      </c>
      <c r="H917" s="7" t="inlineStr">
        <is>
          <t>Georgia</t>
        </is>
      </c>
      <c r="I917" s="7" t="inlineStr">
        <is>
          <t>Direct Sales</t>
        </is>
      </c>
      <c r="J917" s="7" t="inlineStr">
        <is>
          <t>Home Office</t>
        </is>
      </c>
      <c r="K917" s="12" t="n">
        <v>1</v>
      </c>
      <c r="L917" s="9" t="n">
        <v>649.99</v>
      </c>
      <c r="M917" s="10" t="n">
        <v>0.05</v>
      </c>
      <c r="N917" s="9" t="n">
        <v>487.49</v>
      </c>
      <c r="O917" s="9">
        <f>K917*L917</f>
        <v/>
      </c>
      <c r="P917" s="9">
        <f>O917*M917</f>
        <v/>
      </c>
      <c r="Q917" s="9">
        <f>O917-P917</f>
        <v/>
      </c>
      <c r="R917" s="9">
        <f>K917*N917</f>
        <v/>
      </c>
      <c r="S917" s="9">
        <f>Q917-R917</f>
        <v/>
      </c>
      <c r="T917" s="10">
        <f>IFERROR(S917/Q917, 0)</f>
        <v/>
      </c>
    </row>
    <row r="918">
      <c r="A918" s="11" t="inlineStr">
        <is>
          <t>ORD-2024-1718</t>
        </is>
      </c>
      <c r="B918" s="11" t="inlineStr">
        <is>
          <t>2024-12-08</t>
        </is>
      </c>
      <c r="C918" s="11" t="inlineStr">
        <is>
          <t>TEC-LAP-001</t>
        </is>
      </c>
      <c r="D918" s="7" t="inlineStr">
        <is>
          <t>ProBook Elite 15.6"</t>
        </is>
      </c>
      <c r="E918" s="7" t="inlineStr">
        <is>
          <t>Technology</t>
        </is>
      </c>
      <c r="F918" s="7" t="inlineStr">
        <is>
          <t>Laptops</t>
        </is>
      </c>
      <c r="G918" s="7" t="inlineStr">
        <is>
          <t>West</t>
        </is>
      </c>
      <c r="H918" s="7" t="inlineStr">
        <is>
          <t>Oregon</t>
        </is>
      </c>
      <c r="I918" s="7" t="inlineStr">
        <is>
          <t>Online</t>
        </is>
      </c>
      <c r="J918" s="7" t="inlineStr">
        <is>
          <t>Consumer</t>
        </is>
      </c>
      <c r="K918" s="12" t="n">
        <v>3</v>
      </c>
      <c r="L918" s="9" t="n">
        <v>1199.99</v>
      </c>
      <c r="M918" s="10" t="n">
        <v>0.05</v>
      </c>
      <c r="N918" s="9" t="n">
        <v>863.99</v>
      </c>
      <c r="O918" s="9">
        <f>K918*L918</f>
        <v/>
      </c>
      <c r="P918" s="9">
        <f>O918*M918</f>
        <v/>
      </c>
      <c r="Q918" s="9">
        <f>O918-P918</f>
        <v/>
      </c>
      <c r="R918" s="9">
        <f>K918*N918</f>
        <v/>
      </c>
      <c r="S918" s="9">
        <f>Q918-R918</f>
        <v/>
      </c>
      <c r="T918" s="10">
        <f>IFERROR(S918/Q918, 0)</f>
        <v/>
      </c>
    </row>
    <row r="919">
      <c r="A919" s="11" t="inlineStr">
        <is>
          <t>ORD-2024-1718</t>
        </is>
      </c>
      <c r="B919" s="11" t="inlineStr">
        <is>
          <t>2024-12-08</t>
        </is>
      </c>
      <c r="C919" s="11" t="inlineStr">
        <is>
          <t>TEC-ACC-007</t>
        </is>
      </c>
      <c r="D919" s="7" t="inlineStr">
        <is>
          <t>ErgoMechanical Wireless Keyboard</t>
        </is>
      </c>
      <c r="E919" s="7" t="inlineStr">
        <is>
          <t>Technology</t>
        </is>
      </c>
      <c r="F919" s="7" t="inlineStr">
        <is>
          <t>Audio &amp; Accessories</t>
        </is>
      </c>
      <c r="G919" s="7" t="inlineStr">
        <is>
          <t>West</t>
        </is>
      </c>
      <c r="H919" s="7" t="inlineStr">
        <is>
          <t>Oregon</t>
        </is>
      </c>
      <c r="I919" s="7" t="inlineStr">
        <is>
          <t>Online</t>
        </is>
      </c>
      <c r="J919" s="7" t="inlineStr">
        <is>
          <t>Consumer</t>
        </is>
      </c>
      <c r="K919" s="12" t="n">
        <v>2</v>
      </c>
      <c r="L919" s="9" t="n">
        <v>109.99</v>
      </c>
      <c r="M919" s="10" t="n">
        <v>0.1</v>
      </c>
      <c r="N919" s="9" t="n">
        <v>65.98999999999999</v>
      </c>
      <c r="O919" s="9">
        <f>K919*L919</f>
        <v/>
      </c>
      <c r="P919" s="9">
        <f>O919*M919</f>
        <v/>
      </c>
      <c r="Q919" s="9">
        <f>O919-P919</f>
        <v/>
      </c>
      <c r="R919" s="9">
        <f>K919*N919</f>
        <v/>
      </c>
      <c r="S919" s="9">
        <f>Q919-R919</f>
        <v/>
      </c>
      <c r="T919" s="10">
        <f>IFERROR(S919/Q919, 0)</f>
        <v/>
      </c>
    </row>
    <row r="920">
      <c r="A920" s="11" t="inlineStr">
        <is>
          <t>ORD-2024-1157</t>
        </is>
      </c>
      <c r="B920" s="11" t="inlineStr">
        <is>
          <t>2024-12-09</t>
        </is>
      </c>
      <c r="C920" s="11" t="inlineStr">
        <is>
          <t>TEC-ACC-008</t>
        </is>
      </c>
      <c r="D920" s="7" t="inlineStr">
        <is>
          <t>Precision Laser Bluetooth Mouse</t>
        </is>
      </c>
      <c r="E920" s="7" t="inlineStr">
        <is>
          <t>Technology</t>
        </is>
      </c>
      <c r="F920" s="7" t="inlineStr">
        <is>
          <t>Audio &amp; Accessories</t>
        </is>
      </c>
      <c r="G920" s="7" t="inlineStr">
        <is>
          <t>Central</t>
        </is>
      </c>
      <c r="H920" s="7" t="inlineStr">
        <is>
          <t>Ohio</t>
        </is>
      </c>
      <c r="I920" s="7" t="inlineStr">
        <is>
          <t>Retail Partner</t>
        </is>
      </c>
      <c r="J920" s="7" t="inlineStr">
        <is>
          <t>Corporate</t>
        </is>
      </c>
      <c r="K920" s="12" t="n">
        <v>8</v>
      </c>
      <c r="L920" s="9" t="n">
        <v>49.99</v>
      </c>
      <c r="M920" s="10" t="n">
        <v>0.15</v>
      </c>
      <c r="N920" s="9" t="n">
        <v>27.49</v>
      </c>
      <c r="O920" s="9">
        <f>K920*L920</f>
        <v/>
      </c>
      <c r="P920" s="9">
        <f>O920*M920</f>
        <v/>
      </c>
      <c r="Q920" s="9">
        <f>O920-P920</f>
        <v/>
      </c>
      <c r="R920" s="9">
        <f>K920*N920</f>
        <v/>
      </c>
      <c r="S920" s="9">
        <f>Q920-R920</f>
        <v/>
      </c>
      <c r="T920" s="10">
        <f>IFERROR(S920/Q920, 0)</f>
        <v/>
      </c>
    </row>
    <row r="921">
      <c r="A921" s="11" t="inlineStr">
        <is>
          <t>ORD-2024-1503</t>
        </is>
      </c>
      <c r="B921" s="11" t="inlineStr">
        <is>
          <t>2024-12-09</t>
        </is>
      </c>
      <c r="C921" s="11" t="inlineStr">
        <is>
          <t>TEC-TAB-004</t>
        </is>
      </c>
      <c r="D921" s="7" t="inlineStr">
        <is>
          <t>VisionPad Lite 8.5"</t>
        </is>
      </c>
      <c r="E921" s="7" t="inlineStr">
        <is>
          <t>Technology</t>
        </is>
      </c>
      <c r="F921" s="7" t="inlineStr">
        <is>
          <t>Phones &amp; Tablets</t>
        </is>
      </c>
      <c r="G921" s="7" t="inlineStr">
        <is>
          <t>Central</t>
        </is>
      </c>
      <c r="H921" s="7" t="inlineStr">
        <is>
          <t>Texas</t>
        </is>
      </c>
      <c r="I921" s="7" t="inlineStr">
        <is>
          <t>Direct Sales</t>
        </is>
      </c>
      <c r="J921" s="7" t="inlineStr">
        <is>
          <t>Corporate</t>
        </is>
      </c>
      <c r="K921" s="12" t="n">
        <v>4</v>
      </c>
      <c r="L921" s="9" t="n">
        <v>299.99</v>
      </c>
      <c r="M921" s="10" t="n">
        <v>0.1</v>
      </c>
      <c r="N921" s="9" t="n">
        <v>245.99</v>
      </c>
      <c r="O921" s="9">
        <f>K921*L921</f>
        <v/>
      </c>
      <c r="P921" s="9">
        <f>O921*M921</f>
        <v/>
      </c>
      <c r="Q921" s="9">
        <f>O921-P921</f>
        <v/>
      </c>
      <c r="R921" s="9">
        <f>K921*N921</f>
        <v/>
      </c>
      <c r="S921" s="9">
        <f>Q921-R921</f>
        <v/>
      </c>
      <c r="T921" s="10">
        <f>IFERROR(S921/Q921, 0)</f>
        <v/>
      </c>
    </row>
    <row r="922">
      <c r="A922" s="11" t="inlineStr">
        <is>
          <t>ORD-2024-1343</t>
        </is>
      </c>
      <c r="B922" s="11" t="inlineStr">
        <is>
          <t>2024-12-10</t>
        </is>
      </c>
      <c r="C922" s="11" t="inlineStr">
        <is>
          <t>OFF-STR-001</t>
        </is>
      </c>
      <c r="D922" s="7" t="inlineStr">
        <is>
          <t>SteelLock 3-Drawer File Cabinet</t>
        </is>
      </c>
      <c r="E922" s="7" t="inlineStr">
        <is>
          <t>Office Supplies</t>
        </is>
      </c>
      <c r="F922" s="7" t="inlineStr">
        <is>
          <t>Storage &amp; Organizers</t>
        </is>
      </c>
      <c r="G922" s="7" t="inlineStr">
        <is>
          <t>Central</t>
        </is>
      </c>
      <c r="H922" s="7" t="inlineStr">
        <is>
          <t>Michigan</t>
        </is>
      </c>
      <c r="I922" s="7" t="inlineStr">
        <is>
          <t>Retail Partner</t>
        </is>
      </c>
      <c r="J922" s="7" t="inlineStr">
        <is>
          <t>Corporate</t>
        </is>
      </c>
      <c r="K922" s="12" t="n">
        <v>2</v>
      </c>
      <c r="L922" s="9" t="n">
        <v>169.99</v>
      </c>
      <c r="M922" s="10" t="n">
        <v>0.15</v>
      </c>
      <c r="N922" s="9" t="n">
        <v>115.59</v>
      </c>
      <c r="O922" s="9">
        <f>K922*L922</f>
        <v/>
      </c>
      <c r="P922" s="9">
        <f>O922*M922</f>
        <v/>
      </c>
      <c r="Q922" s="9">
        <f>O922-P922</f>
        <v/>
      </c>
      <c r="R922" s="9">
        <f>K922*N922</f>
        <v/>
      </c>
      <c r="S922" s="9">
        <f>Q922-R922</f>
        <v/>
      </c>
      <c r="T922" s="10">
        <f>IFERROR(S922/Q922, 0)</f>
        <v/>
      </c>
    </row>
    <row r="923">
      <c r="A923" s="11" t="inlineStr">
        <is>
          <t>ORD-2024-1616</t>
        </is>
      </c>
      <c r="B923" s="11" t="inlineStr">
        <is>
          <t>2024-12-10</t>
        </is>
      </c>
      <c r="C923" s="11" t="inlineStr">
        <is>
          <t>FUR-BOK-005</t>
        </is>
      </c>
      <c r="D923" s="7" t="inlineStr">
        <is>
          <t>Modular 5-Tier Steel Bookcase</t>
        </is>
      </c>
      <c r="E923" s="7" t="inlineStr">
        <is>
          <t>Furniture</t>
        </is>
      </c>
      <c r="F923" s="7" t="inlineStr">
        <is>
          <t>Bookcases</t>
        </is>
      </c>
      <c r="G923" s="7" t="inlineStr">
        <is>
          <t>East</t>
        </is>
      </c>
      <c r="H923" s="7" t="inlineStr">
        <is>
          <t>New Jersey</t>
        </is>
      </c>
      <c r="I923" s="7" t="inlineStr">
        <is>
          <t>Retail Partner</t>
        </is>
      </c>
      <c r="J923" s="7" t="inlineStr">
        <is>
          <t>Consumer</t>
        </is>
      </c>
      <c r="K923" s="12" t="n">
        <v>1</v>
      </c>
      <c r="L923" s="9" t="n">
        <v>189.99</v>
      </c>
      <c r="M923" s="10" t="n">
        <v>0.15</v>
      </c>
      <c r="N923" s="9" t="n">
        <v>142.49</v>
      </c>
      <c r="O923" s="9">
        <f>K923*L923</f>
        <v/>
      </c>
      <c r="P923" s="9">
        <f>O923*M923</f>
        <v/>
      </c>
      <c r="Q923" s="9">
        <f>O923-P923</f>
        <v/>
      </c>
      <c r="R923" s="9">
        <f>K923*N923</f>
        <v/>
      </c>
      <c r="S923" s="9">
        <f>Q923-R923</f>
        <v/>
      </c>
      <c r="T923" s="10">
        <f>IFERROR(S923/Q923, 0)</f>
        <v/>
      </c>
    </row>
    <row r="924">
      <c r="A924" s="11" t="inlineStr">
        <is>
          <t>ORD-2024-1620</t>
        </is>
      </c>
      <c r="B924" s="11" t="inlineStr">
        <is>
          <t>2024-12-10</t>
        </is>
      </c>
      <c r="C924" s="11" t="inlineStr">
        <is>
          <t>TEC-TAB-003</t>
        </is>
      </c>
      <c r="D924" s="7" t="inlineStr">
        <is>
          <t>VisionPad Pro 11"</t>
        </is>
      </c>
      <c r="E924" s="7" t="inlineStr">
        <is>
          <t>Technology</t>
        </is>
      </c>
      <c r="F924" s="7" t="inlineStr">
        <is>
          <t>Phones &amp; Tablets</t>
        </is>
      </c>
      <c r="G924" s="7" t="inlineStr">
        <is>
          <t>West</t>
        </is>
      </c>
      <c r="H924" s="7" t="inlineStr">
        <is>
          <t>Colorado</t>
        </is>
      </c>
      <c r="I924" s="7" t="inlineStr">
        <is>
          <t>Online</t>
        </is>
      </c>
      <c r="J924" s="7" t="inlineStr">
        <is>
          <t>Consumer</t>
        </is>
      </c>
      <c r="K924" s="12" t="n">
        <v>3</v>
      </c>
      <c r="L924" s="9" t="n">
        <v>649.99</v>
      </c>
      <c r="M924" s="10" t="n">
        <v>0.1</v>
      </c>
      <c r="N924" s="9" t="n">
        <v>487.49</v>
      </c>
      <c r="O924" s="9">
        <f>K924*L924</f>
        <v/>
      </c>
      <c r="P924" s="9">
        <f>O924*M924</f>
        <v/>
      </c>
      <c r="Q924" s="9">
        <f>O924-P924</f>
        <v/>
      </c>
      <c r="R924" s="9">
        <f>K924*N924</f>
        <v/>
      </c>
      <c r="S924" s="9">
        <f>Q924-R924</f>
        <v/>
      </c>
      <c r="T924" s="10">
        <f>IFERROR(S924/Q924, 0)</f>
        <v/>
      </c>
    </row>
    <row r="925">
      <c r="A925" s="11" t="inlineStr">
        <is>
          <t>ORD-2024-1647</t>
        </is>
      </c>
      <c r="B925" s="11" t="inlineStr">
        <is>
          <t>2024-12-11</t>
        </is>
      </c>
      <c r="C925" s="11" t="inlineStr">
        <is>
          <t>FUR-CHA-002</t>
        </is>
      </c>
      <c r="D925" s="7" t="inlineStr">
        <is>
          <t>AeroTask Operator Task Chair</t>
        </is>
      </c>
      <c r="E925" s="7" t="inlineStr">
        <is>
          <t>Furniture</t>
        </is>
      </c>
      <c r="F925" s="7" t="inlineStr">
        <is>
          <t>Chairs</t>
        </is>
      </c>
      <c r="G925" s="7" t="inlineStr">
        <is>
          <t>East</t>
        </is>
      </c>
      <c r="H925" s="7" t="inlineStr">
        <is>
          <t>New York</t>
        </is>
      </c>
      <c r="I925" s="7" t="inlineStr">
        <is>
          <t>Online</t>
        </is>
      </c>
      <c r="J925" s="7" t="inlineStr">
        <is>
          <t>Corporate</t>
        </is>
      </c>
      <c r="K925" s="12" t="n">
        <v>2</v>
      </c>
      <c r="L925" s="9" t="n">
        <v>219.99</v>
      </c>
      <c r="M925" s="10" t="n">
        <v>0.05</v>
      </c>
      <c r="N925" s="9" t="n">
        <v>171.59</v>
      </c>
      <c r="O925" s="9">
        <f>K925*L925</f>
        <v/>
      </c>
      <c r="P925" s="9">
        <f>O925*M925</f>
        <v/>
      </c>
      <c r="Q925" s="9">
        <f>O925-P925</f>
        <v/>
      </c>
      <c r="R925" s="9">
        <f>K925*N925</f>
        <v/>
      </c>
      <c r="S925" s="9">
        <f>Q925-R925</f>
        <v/>
      </c>
      <c r="T925" s="10">
        <f>IFERROR(S925/Q925, 0)</f>
        <v/>
      </c>
    </row>
    <row r="926">
      <c r="A926" s="11" t="inlineStr">
        <is>
          <t>ORD-2024-1717</t>
        </is>
      </c>
      <c r="B926" s="11" t="inlineStr">
        <is>
          <t>2024-12-11</t>
        </is>
      </c>
      <c r="C926" s="11" t="inlineStr">
        <is>
          <t>TEC-ACC-008</t>
        </is>
      </c>
      <c r="D926" s="7" t="inlineStr">
        <is>
          <t>Precision Laser Bluetooth Mouse</t>
        </is>
      </c>
      <c r="E926" s="7" t="inlineStr">
        <is>
          <t>Technology</t>
        </is>
      </c>
      <c r="F926" s="7" t="inlineStr">
        <is>
          <t>Audio &amp; Accessories</t>
        </is>
      </c>
      <c r="G926" s="7" t="inlineStr">
        <is>
          <t>South</t>
        </is>
      </c>
      <c r="H926" s="7" t="inlineStr">
        <is>
          <t>Georgia</t>
        </is>
      </c>
      <c r="I926" s="7" t="inlineStr">
        <is>
          <t>Retail Partner</t>
        </is>
      </c>
      <c r="J926" s="7" t="inlineStr">
        <is>
          <t>Consumer</t>
        </is>
      </c>
      <c r="K926" s="12" t="n">
        <v>3</v>
      </c>
      <c r="L926" s="9" t="n">
        <v>49.99</v>
      </c>
      <c r="M926" s="10" t="n">
        <v>0</v>
      </c>
      <c r="N926" s="9" t="n">
        <v>27.49</v>
      </c>
      <c r="O926" s="9">
        <f>K926*L926</f>
        <v/>
      </c>
      <c r="P926" s="9">
        <f>O926*M926</f>
        <v/>
      </c>
      <c r="Q926" s="9">
        <f>O926-P926</f>
        <v/>
      </c>
      <c r="R926" s="9">
        <f>K926*N926</f>
        <v/>
      </c>
      <c r="S926" s="9">
        <f>Q926-R926</f>
        <v/>
      </c>
      <c r="T926" s="10">
        <f>IFERROR(S926/Q926, 0)</f>
        <v/>
      </c>
    </row>
    <row r="927">
      <c r="A927" s="11" t="inlineStr">
        <is>
          <t>ORD-2024-1717</t>
        </is>
      </c>
      <c r="B927" s="11" t="inlineStr">
        <is>
          <t>2024-12-11</t>
        </is>
      </c>
      <c r="C927" s="11" t="inlineStr">
        <is>
          <t>OFF-DSK-007</t>
        </is>
      </c>
      <c r="D927" s="7" t="inlineStr">
        <is>
          <t>Gel Ergo Mouse Pad &amp; Wrist Rest Combo</t>
        </is>
      </c>
      <c r="E927" s="7" t="inlineStr">
        <is>
          <t>Office Supplies</t>
        </is>
      </c>
      <c r="F927" s="7" t="inlineStr">
        <is>
          <t>Desk Supplies</t>
        </is>
      </c>
      <c r="G927" s="7" t="inlineStr">
        <is>
          <t>South</t>
        </is>
      </c>
      <c r="H927" s="7" t="inlineStr">
        <is>
          <t>Georgia</t>
        </is>
      </c>
      <c r="I927" s="7" t="inlineStr">
        <is>
          <t>Retail Partner</t>
        </is>
      </c>
      <c r="J927" s="7" t="inlineStr">
        <is>
          <t>Consumer</t>
        </is>
      </c>
      <c r="K927" s="12" t="n">
        <v>1</v>
      </c>
      <c r="L927" s="9" t="n">
        <v>21.99</v>
      </c>
      <c r="M927" s="10" t="n">
        <v>0</v>
      </c>
      <c r="N927" s="9" t="n">
        <v>10.56</v>
      </c>
      <c r="O927" s="9">
        <f>K927*L927</f>
        <v/>
      </c>
      <c r="P927" s="9">
        <f>O927*M927</f>
        <v/>
      </c>
      <c r="Q927" s="9">
        <f>O927-P927</f>
        <v/>
      </c>
      <c r="R927" s="9">
        <f>K927*N927</f>
        <v/>
      </c>
      <c r="S927" s="9">
        <f>Q927-R927</f>
        <v/>
      </c>
      <c r="T927" s="10">
        <f>IFERROR(S927/Q927, 0)</f>
        <v/>
      </c>
    </row>
    <row r="928">
      <c r="A928" s="11" t="inlineStr">
        <is>
          <t>ORD-2024-1661</t>
        </is>
      </c>
      <c r="B928" s="11" t="inlineStr">
        <is>
          <t>2024-12-12</t>
        </is>
      </c>
      <c r="C928" s="11" t="inlineStr">
        <is>
          <t>OFF-STR-001</t>
        </is>
      </c>
      <c r="D928" s="7" t="inlineStr">
        <is>
          <t>SteelLock 3-Drawer File Cabinet</t>
        </is>
      </c>
      <c r="E928" s="7" t="inlineStr">
        <is>
          <t>Office Supplies</t>
        </is>
      </c>
      <c r="F928" s="7" t="inlineStr">
        <is>
          <t>Storage &amp; Organizers</t>
        </is>
      </c>
      <c r="G928" s="7" t="inlineStr">
        <is>
          <t>West</t>
        </is>
      </c>
      <c r="H928" s="7" t="inlineStr">
        <is>
          <t>Oregon</t>
        </is>
      </c>
      <c r="I928" s="7" t="inlineStr">
        <is>
          <t>Direct Sales</t>
        </is>
      </c>
      <c r="J928" s="7" t="inlineStr">
        <is>
          <t>Corporate</t>
        </is>
      </c>
      <c r="K928" s="12" t="n">
        <v>6</v>
      </c>
      <c r="L928" s="9" t="n">
        <v>169.99</v>
      </c>
      <c r="M928" s="10" t="n">
        <v>0</v>
      </c>
      <c r="N928" s="9" t="n">
        <v>115.59</v>
      </c>
      <c r="O928" s="9">
        <f>K928*L928</f>
        <v/>
      </c>
      <c r="P928" s="9">
        <f>O928*M928</f>
        <v/>
      </c>
      <c r="Q928" s="9">
        <f>O928-P928</f>
        <v/>
      </c>
      <c r="R928" s="9">
        <f>K928*N928</f>
        <v/>
      </c>
      <c r="S928" s="9">
        <f>Q928-R928</f>
        <v/>
      </c>
      <c r="T928" s="10">
        <f>IFERROR(S928/Q928, 0)</f>
        <v/>
      </c>
    </row>
    <row r="929">
      <c r="A929" s="11" t="inlineStr">
        <is>
          <t>ORD-2024-1106</t>
        </is>
      </c>
      <c r="B929" s="11" t="inlineStr">
        <is>
          <t>2024-12-13</t>
        </is>
      </c>
      <c r="C929" s="11" t="inlineStr">
        <is>
          <t>FUR-CHA-002</t>
        </is>
      </c>
      <c r="D929" s="7" t="inlineStr">
        <is>
          <t>AeroTask Operator Task Chair</t>
        </is>
      </c>
      <c r="E929" s="7" t="inlineStr">
        <is>
          <t>Furniture</t>
        </is>
      </c>
      <c r="F929" s="7" t="inlineStr">
        <is>
          <t>Chairs</t>
        </is>
      </c>
      <c r="G929" s="7" t="inlineStr">
        <is>
          <t>South</t>
        </is>
      </c>
      <c r="H929" s="7" t="inlineStr">
        <is>
          <t>Florida</t>
        </is>
      </c>
      <c r="I929" s="7" t="inlineStr">
        <is>
          <t>Retail Partner</t>
        </is>
      </c>
      <c r="J929" s="7" t="inlineStr">
        <is>
          <t>Consumer</t>
        </is>
      </c>
      <c r="K929" s="12" t="n">
        <v>3</v>
      </c>
      <c r="L929" s="9" t="n">
        <v>219.99</v>
      </c>
      <c r="M929" s="10" t="n">
        <v>0.1</v>
      </c>
      <c r="N929" s="9" t="n">
        <v>171.59</v>
      </c>
      <c r="O929" s="9">
        <f>K929*L929</f>
        <v/>
      </c>
      <c r="P929" s="9">
        <f>O929*M929</f>
        <v/>
      </c>
      <c r="Q929" s="9">
        <f>O929-P929</f>
        <v/>
      </c>
      <c r="R929" s="9">
        <f>K929*N929</f>
        <v/>
      </c>
      <c r="S929" s="9">
        <f>Q929-R929</f>
        <v/>
      </c>
      <c r="T929" s="10">
        <f>IFERROR(S929/Q929, 0)</f>
        <v/>
      </c>
    </row>
    <row r="930">
      <c r="A930" s="11" t="inlineStr">
        <is>
          <t>ORD-2024-1332</t>
        </is>
      </c>
      <c r="B930" s="11" t="inlineStr">
        <is>
          <t>2024-12-13</t>
        </is>
      </c>
      <c r="C930" s="11" t="inlineStr">
        <is>
          <t>FUR-DSK-003</t>
        </is>
      </c>
      <c r="D930" s="7" t="inlineStr">
        <is>
          <t>ApexMotor Dual-Motor Standing Desk</t>
        </is>
      </c>
      <c r="E930" s="7" t="inlineStr">
        <is>
          <t>Furniture</t>
        </is>
      </c>
      <c r="F930" s="7" t="inlineStr">
        <is>
          <t>Desks &amp; Workstations</t>
        </is>
      </c>
      <c r="G930" s="7" t="inlineStr">
        <is>
          <t>Central</t>
        </is>
      </c>
      <c r="H930" s="7" t="inlineStr">
        <is>
          <t>Ohio</t>
        </is>
      </c>
      <c r="I930" s="7" t="inlineStr">
        <is>
          <t>Direct Sales</t>
        </is>
      </c>
      <c r="J930" s="7" t="inlineStr">
        <is>
          <t>Home Office</t>
        </is>
      </c>
      <c r="K930" s="12" t="n">
        <v>2</v>
      </c>
      <c r="L930" s="9" t="n">
        <v>549.99</v>
      </c>
      <c r="M930" s="10" t="n">
        <v>0.2</v>
      </c>
      <c r="N930" s="9" t="n">
        <v>439.99</v>
      </c>
      <c r="O930" s="9">
        <f>K930*L930</f>
        <v/>
      </c>
      <c r="P930" s="9">
        <f>O930*M930</f>
        <v/>
      </c>
      <c r="Q930" s="9">
        <f>O930-P930</f>
        <v/>
      </c>
      <c r="R930" s="9">
        <f>K930*N930</f>
        <v/>
      </c>
      <c r="S930" s="9">
        <f>Q930-R930</f>
        <v/>
      </c>
      <c r="T930" s="10">
        <f>IFERROR(S930/Q930, 0)</f>
        <v/>
      </c>
    </row>
    <row r="931">
      <c r="A931" s="11" t="inlineStr">
        <is>
          <t>ORD-2024-1380</t>
        </is>
      </c>
      <c r="B931" s="11" t="inlineStr">
        <is>
          <t>2024-12-13</t>
        </is>
      </c>
      <c r="C931" s="11" t="inlineStr">
        <is>
          <t>TEC-ACC-008</t>
        </is>
      </c>
      <c r="D931" s="7" t="inlineStr">
        <is>
          <t>Precision Laser Bluetooth Mouse</t>
        </is>
      </c>
      <c r="E931" s="7" t="inlineStr">
        <is>
          <t>Technology</t>
        </is>
      </c>
      <c r="F931" s="7" t="inlineStr">
        <is>
          <t>Audio &amp; Accessories</t>
        </is>
      </c>
      <c r="G931" s="7" t="inlineStr">
        <is>
          <t>East</t>
        </is>
      </c>
      <c r="H931" s="7" t="inlineStr">
        <is>
          <t>Massachusetts</t>
        </is>
      </c>
      <c r="I931" s="7" t="inlineStr">
        <is>
          <t>Online</t>
        </is>
      </c>
      <c r="J931" s="7" t="inlineStr">
        <is>
          <t>Consumer</t>
        </is>
      </c>
      <c r="K931" s="12" t="n">
        <v>4</v>
      </c>
      <c r="L931" s="9" t="n">
        <v>49.99</v>
      </c>
      <c r="M931" s="10" t="n">
        <v>0</v>
      </c>
      <c r="N931" s="9" t="n">
        <v>27.49</v>
      </c>
      <c r="O931" s="9">
        <f>K931*L931</f>
        <v/>
      </c>
      <c r="P931" s="9">
        <f>O931*M931</f>
        <v/>
      </c>
      <c r="Q931" s="9">
        <f>O931-P931</f>
        <v/>
      </c>
      <c r="R931" s="9">
        <f>K931*N931</f>
        <v/>
      </c>
      <c r="S931" s="9">
        <f>Q931-R931</f>
        <v/>
      </c>
      <c r="T931" s="10">
        <f>IFERROR(S931/Q931, 0)</f>
        <v/>
      </c>
    </row>
    <row r="932">
      <c r="A932" s="11" t="inlineStr">
        <is>
          <t>ORD-2024-1670</t>
        </is>
      </c>
      <c r="B932" s="11" t="inlineStr">
        <is>
          <t>2024-12-13</t>
        </is>
      </c>
      <c r="C932" s="11" t="inlineStr">
        <is>
          <t>FUR-LGT-006</t>
        </is>
      </c>
      <c r="D932" s="7" t="inlineStr">
        <is>
          <t>Architect LED Desk Task Lamp</t>
        </is>
      </c>
      <c r="E932" s="7" t="inlineStr">
        <is>
          <t>Furniture</t>
        </is>
      </c>
      <c r="F932" s="7" t="inlineStr">
        <is>
          <t>Lighting</t>
        </is>
      </c>
      <c r="G932" s="7" t="inlineStr">
        <is>
          <t>East</t>
        </is>
      </c>
      <c r="H932" s="7" t="inlineStr">
        <is>
          <t>New Jersey</t>
        </is>
      </c>
      <c r="I932" s="7" t="inlineStr">
        <is>
          <t>Online</t>
        </is>
      </c>
      <c r="J932" s="7" t="inlineStr">
        <is>
          <t>Corporate</t>
        </is>
      </c>
      <c r="K932" s="12" t="n">
        <v>7</v>
      </c>
      <c r="L932" s="9" t="n">
        <v>69.98999999999999</v>
      </c>
      <c r="M932" s="10" t="n">
        <v>0.1</v>
      </c>
      <c r="N932" s="9" t="n">
        <v>43.39</v>
      </c>
      <c r="O932" s="9">
        <f>K932*L932</f>
        <v/>
      </c>
      <c r="P932" s="9">
        <f>O932*M932</f>
        <v/>
      </c>
      <c r="Q932" s="9">
        <f>O932-P932</f>
        <v/>
      </c>
      <c r="R932" s="9">
        <f>K932*N932</f>
        <v/>
      </c>
      <c r="S932" s="9">
        <f>Q932-R932</f>
        <v/>
      </c>
      <c r="T932" s="10">
        <f>IFERROR(S932/Q932, 0)</f>
        <v/>
      </c>
    </row>
    <row r="933">
      <c r="A933" s="11" t="inlineStr">
        <is>
          <t>ORD-2024-1300</t>
        </is>
      </c>
      <c r="B933" s="11" t="inlineStr">
        <is>
          <t>2024-12-14</t>
        </is>
      </c>
      <c r="C933" s="11" t="inlineStr">
        <is>
          <t>FUR-DSK-004</t>
        </is>
      </c>
      <c r="D933" s="7" t="inlineStr">
        <is>
          <t>Metro Compact Corner Workstation</t>
        </is>
      </c>
      <c r="E933" s="7" t="inlineStr">
        <is>
          <t>Furniture</t>
        </is>
      </c>
      <c r="F933" s="7" t="inlineStr">
        <is>
          <t>Desks &amp; Workstations</t>
        </is>
      </c>
      <c r="G933" s="7" t="inlineStr">
        <is>
          <t>East</t>
        </is>
      </c>
      <c r="H933" s="7" t="inlineStr">
        <is>
          <t>New York</t>
        </is>
      </c>
      <c r="I933" s="7" t="inlineStr">
        <is>
          <t>Online</t>
        </is>
      </c>
      <c r="J933" s="7" t="inlineStr">
        <is>
          <t>Consumer</t>
        </is>
      </c>
      <c r="K933" s="12" t="n">
        <v>2</v>
      </c>
      <c r="L933" s="9" t="n">
        <v>329.99</v>
      </c>
      <c r="M933" s="10" t="n">
        <v>0</v>
      </c>
      <c r="N933" s="9" t="n">
        <v>250.79</v>
      </c>
      <c r="O933" s="9">
        <f>K933*L933</f>
        <v/>
      </c>
      <c r="P933" s="9">
        <f>O933*M933</f>
        <v/>
      </c>
      <c r="Q933" s="9">
        <f>O933-P933</f>
        <v/>
      </c>
      <c r="R933" s="9">
        <f>K933*N933</f>
        <v/>
      </c>
      <c r="S933" s="9">
        <f>Q933-R933</f>
        <v/>
      </c>
      <c r="T933" s="10">
        <f>IFERROR(S933/Q933, 0)</f>
        <v/>
      </c>
    </row>
    <row r="934">
      <c r="A934" s="11" t="inlineStr">
        <is>
          <t>ORD-2024-1389</t>
        </is>
      </c>
      <c r="B934" s="11" t="inlineStr">
        <is>
          <t>2024-12-14</t>
        </is>
      </c>
      <c r="C934" s="11" t="inlineStr">
        <is>
          <t>OFF-ART-006</t>
        </is>
      </c>
      <c r="D934" s="7" t="inlineStr">
        <is>
          <t>Professional Presentation Dry Erase Board</t>
        </is>
      </c>
      <c r="E934" s="7" t="inlineStr">
        <is>
          <t>Office Supplies</t>
        </is>
      </c>
      <c r="F934" s="7" t="inlineStr">
        <is>
          <t>Presentation &amp; Art</t>
        </is>
      </c>
      <c r="G934" s="7" t="inlineStr">
        <is>
          <t>West</t>
        </is>
      </c>
      <c r="H934" s="7" t="inlineStr">
        <is>
          <t>California</t>
        </is>
      </c>
      <c r="I934" s="7" t="inlineStr">
        <is>
          <t>Retail Partner</t>
        </is>
      </c>
      <c r="J934" s="7" t="inlineStr">
        <is>
          <t>Consumer</t>
        </is>
      </c>
      <c r="K934" s="12" t="n">
        <v>3</v>
      </c>
      <c r="L934" s="9" t="n">
        <v>89.98999999999999</v>
      </c>
      <c r="M934" s="10" t="n">
        <v>0</v>
      </c>
      <c r="N934" s="9" t="n">
        <v>53.99</v>
      </c>
      <c r="O934" s="9">
        <f>K934*L934</f>
        <v/>
      </c>
      <c r="P934" s="9">
        <f>O934*M934</f>
        <v/>
      </c>
      <c r="Q934" s="9">
        <f>O934-P934</f>
        <v/>
      </c>
      <c r="R934" s="9">
        <f>K934*N934</f>
        <v/>
      </c>
      <c r="S934" s="9">
        <f>Q934-R934</f>
        <v/>
      </c>
      <c r="T934" s="10">
        <f>IFERROR(S934/Q934, 0)</f>
        <v/>
      </c>
    </row>
    <row r="935">
      <c r="A935" s="11" t="inlineStr">
        <is>
          <t>ORD-2024-1389</t>
        </is>
      </c>
      <c r="B935" s="11" t="inlineStr">
        <is>
          <t>2024-12-14</t>
        </is>
      </c>
      <c r="C935" s="11" t="inlineStr">
        <is>
          <t>TEC-ACC-008</t>
        </is>
      </c>
      <c r="D935" s="7" t="inlineStr">
        <is>
          <t>Precision Laser Bluetooth Mouse</t>
        </is>
      </c>
      <c r="E935" s="7" t="inlineStr">
        <is>
          <t>Technology</t>
        </is>
      </c>
      <c r="F935" s="7" t="inlineStr">
        <is>
          <t>Audio &amp; Accessories</t>
        </is>
      </c>
      <c r="G935" s="7" t="inlineStr">
        <is>
          <t>West</t>
        </is>
      </c>
      <c r="H935" s="7" t="inlineStr">
        <is>
          <t>California</t>
        </is>
      </c>
      <c r="I935" s="7" t="inlineStr">
        <is>
          <t>Retail Partner</t>
        </is>
      </c>
      <c r="J935" s="7" t="inlineStr">
        <is>
          <t>Consumer</t>
        </is>
      </c>
      <c r="K935" s="12" t="n">
        <v>4</v>
      </c>
      <c r="L935" s="9" t="n">
        <v>49.99</v>
      </c>
      <c r="M935" s="10" t="n">
        <v>0.15</v>
      </c>
      <c r="N935" s="9" t="n">
        <v>27.49</v>
      </c>
      <c r="O935" s="9">
        <f>K935*L935</f>
        <v/>
      </c>
      <c r="P935" s="9">
        <f>O935*M935</f>
        <v/>
      </c>
      <c r="Q935" s="9">
        <f>O935-P935</f>
        <v/>
      </c>
      <c r="R935" s="9">
        <f>K935*N935</f>
        <v/>
      </c>
      <c r="S935" s="9">
        <f>Q935-R935</f>
        <v/>
      </c>
      <c r="T935" s="10">
        <f>IFERROR(S935/Q935, 0)</f>
        <v/>
      </c>
    </row>
    <row r="936">
      <c r="A936" s="11" t="inlineStr">
        <is>
          <t>ORD-2024-1549</t>
        </is>
      </c>
      <c r="B936" s="11" t="inlineStr">
        <is>
          <t>2024-12-14</t>
        </is>
      </c>
      <c r="C936" s="11" t="inlineStr">
        <is>
          <t>FUR-CHA-001</t>
        </is>
      </c>
      <c r="D936" s="7" t="inlineStr">
        <is>
          <t>ErgoFlex Executive Mesh Chair</t>
        </is>
      </c>
      <c r="E936" s="7" t="inlineStr">
        <is>
          <t>Furniture</t>
        </is>
      </c>
      <c r="F936" s="7" t="inlineStr">
        <is>
          <t>Chairs</t>
        </is>
      </c>
      <c r="G936" s="7" t="inlineStr">
        <is>
          <t>South</t>
        </is>
      </c>
      <c r="H936" s="7" t="inlineStr">
        <is>
          <t>North Carolina</t>
        </is>
      </c>
      <c r="I936" s="7" t="inlineStr">
        <is>
          <t>Direct Sales</t>
        </is>
      </c>
      <c r="J936" s="7" t="inlineStr">
        <is>
          <t>Consumer</t>
        </is>
      </c>
      <c r="K936" s="12" t="n">
        <v>1</v>
      </c>
      <c r="L936" s="9" t="n">
        <v>389.99</v>
      </c>
      <c r="M936" s="10" t="n">
        <v>0.2</v>
      </c>
      <c r="N936" s="9" t="n">
        <v>331.49</v>
      </c>
      <c r="O936" s="9">
        <f>K936*L936</f>
        <v/>
      </c>
      <c r="P936" s="9">
        <f>O936*M936</f>
        <v/>
      </c>
      <c r="Q936" s="9">
        <f>O936-P936</f>
        <v/>
      </c>
      <c r="R936" s="9">
        <f>K936*N936</f>
        <v/>
      </c>
      <c r="S936" s="9">
        <f>Q936-R936</f>
        <v/>
      </c>
      <c r="T936" s="10">
        <f>IFERROR(S936/Q936, 0)</f>
        <v/>
      </c>
    </row>
    <row r="937">
      <c r="A937" s="11" t="inlineStr">
        <is>
          <t>ORD-2024-1549</t>
        </is>
      </c>
      <c r="B937" s="11" t="inlineStr">
        <is>
          <t>2024-12-14</t>
        </is>
      </c>
      <c r="C937" s="11" t="inlineStr">
        <is>
          <t>OFF-PAP-004</t>
        </is>
      </c>
      <c r="D937" s="7" t="inlineStr">
        <is>
          <t>EcoRecycled Copy Paper (5 Reams)</t>
        </is>
      </c>
      <c r="E937" s="7" t="inlineStr">
        <is>
          <t>Office Supplies</t>
        </is>
      </c>
      <c r="F937" s="7" t="inlineStr">
        <is>
          <t>Paper Products</t>
        </is>
      </c>
      <c r="G937" s="7" t="inlineStr">
        <is>
          <t>South</t>
        </is>
      </c>
      <c r="H937" s="7" t="inlineStr">
        <is>
          <t>North Carolina</t>
        </is>
      </c>
      <c r="I937" s="7" t="inlineStr">
        <is>
          <t>Direct Sales</t>
        </is>
      </c>
      <c r="J937" s="7" t="inlineStr">
        <is>
          <t>Consumer</t>
        </is>
      </c>
      <c r="K937" s="12" t="n">
        <v>2</v>
      </c>
      <c r="L937" s="9" t="n">
        <v>32.99</v>
      </c>
      <c r="M937" s="10" t="n">
        <v>0</v>
      </c>
      <c r="N937" s="9" t="n">
        <v>19.79</v>
      </c>
      <c r="O937" s="9">
        <f>K937*L937</f>
        <v/>
      </c>
      <c r="P937" s="9">
        <f>O937*M937</f>
        <v/>
      </c>
      <c r="Q937" s="9">
        <f>O937-P937</f>
        <v/>
      </c>
      <c r="R937" s="9">
        <f>K937*N937</f>
        <v/>
      </c>
      <c r="S937" s="9">
        <f>Q937-R937</f>
        <v/>
      </c>
      <c r="T937" s="10">
        <f>IFERROR(S937/Q937, 0)</f>
        <v/>
      </c>
    </row>
    <row r="938">
      <c r="A938" s="11" t="inlineStr">
        <is>
          <t>ORD-2024-1666</t>
        </is>
      </c>
      <c r="B938" s="11" t="inlineStr">
        <is>
          <t>2024-12-14</t>
        </is>
      </c>
      <c r="C938" s="11" t="inlineStr">
        <is>
          <t>OFF-BIN-005</t>
        </is>
      </c>
      <c r="D938" s="7" t="inlineStr">
        <is>
          <t>Heavy-Duty D-Ring Presentation Binder (6-Pk)</t>
        </is>
      </c>
      <c r="E938" s="7" t="inlineStr">
        <is>
          <t>Office Supplies</t>
        </is>
      </c>
      <c r="F938" s="7" t="inlineStr">
        <is>
          <t>Binders &amp; Fasteners</t>
        </is>
      </c>
      <c r="G938" s="7" t="inlineStr">
        <is>
          <t>West</t>
        </is>
      </c>
      <c r="H938" s="7" t="inlineStr">
        <is>
          <t>Washington</t>
        </is>
      </c>
      <c r="I938" s="7" t="inlineStr">
        <is>
          <t>Online</t>
        </is>
      </c>
      <c r="J938" s="7" t="inlineStr">
        <is>
          <t>Consumer</t>
        </is>
      </c>
      <c r="K938" s="12" t="n">
        <v>4</v>
      </c>
      <c r="L938" s="9" t="n">
        <v>27.99</v>
      </c>
      <c r="M938" s="10" t="n">
        <v>0.1</v>
      </c>
      <c r="N938" s="9" t="n">
        <v>13.99</v>
      </c>
      <c r="O938" s="9">
        <f>K938*L938</f>
        <v/>
      </c>
      <c r="P938" s="9">
        <f>O938*M938</f>
        <v/>
      </c>
      <c r="Q938" s="9">
        <f>O938-P938</f>
        <v/>
      </c>
      <c r="R938" s="9">
        <f>K938*N938</f>
        <v/>
      </c>
      <c r="S938" s="9">
        <f>Q938-R938</f>
        <v/>
      </c>
      <c r="T938" s="10">
        <f>IFERROR(S938/Q938, 0)</f>
        <v/>
      </c>
    </row>
    <row r="939">
      <c r="A939" s="11" t="inlineStr">
        <is>
          <t>ORD-2024-1666</t>
        </is>
      </c>
      <c r="B939" s="11" t="inlineStr">
        <is>
          <t>2024-12-14</t>
        </is>
      </c>
      <c r="C939" s="11" t="inlineStr">
        <is>
          <t>FUR-LGT-006</t>
        </is>
      </c>
      <c r="D939" s="7" t="inlineStr">
        <is>
          <t>Architect LED Desk Task Lamp</t>
        </is>
      </c>
      <c r="E939" s="7" t="inlineStr">
        <is>
          <t>Furniture</t>
        </is>
      </c>
      <c r="F939" s="7" t="inlineStr">
        <is>
          <t>Lighting</t>
        </is>
      </c>
      <c r="G939" s="7" t="inlineStr">
        <is>
          <t>West</t>
        </is>
      </c>
      <c r="H939" s="7" t="inlineStr">
        <is>
          <t>Washington</t>
        </is>
      </c>
      <c r="I939" s="7" t="inlineStr">
        <is>
          <t>Online</t>
        </is>
      </c>
      <c r="J939" s="7" t="inlineStr">
        <is>
          <t>Consumer</t>
        </is>
      </c>
      <c r="K939" s="12" t="n">
        <v>2</v>
      </c>
      <c r="L939" s="9" t="n">
        <v>69.98999999999999</v>
      </c>
      <c r="M939" s="10" t="n">
        <v>0</v>
      </c>
      <c r="N939" s="9" t="n">
        <v>43.39</v>
      </c>
      <c r="O939" s="9">
        <f>K939*L939</f>
        <v/>
      </c>
      <c r="P939" s="9">
        <f>O939*M939</f>
        <v/>
      </c>
      <c r="Q939" s="9">
        <f>O939-P939</f>
        <v/>
      </c>
      <c r="R939" s="9">
        <f>K939*N939</f>
        <v/>
      </c>
      <c r="S939" s="9">
        <f>Q939-R939</f>
        <v/>
      </c>
      <c r="T939" s="10">
        <f>IFERROR(S939/Q939, 0)</f>
        <v/>
      </c>
    </row>
    <row r="940">
      <c r="A940" s="11" t="inlineStr">
        <is>
          <t>ORD-2024-1048</t>
        </is>
      </c>
      <c r="B940" s="11" t="inlineStr">
        <is>
          <t>2024-12-16</t>
        </is>
      </c>
      <c r="C940" s="11" t="inlineStr">
        <is>
          <t>OFF-PAP-004</t>
        </is>
      </c>
      <c r="D940" s="7" t="inlineStr">
        <is>
          <t>EcoRecycled Copy Paper (5 Reams)</t>
        </is>
      </c>
      <c r="E940" s="7" t="inlineStr">
        <is>
          <t>Office Supplies</t>
        </is>
      </c>
      <c r="F940" s="7" t="inlineStr">
        <is>
          <t>Paper Products</t>
        </is>
      </c>
      <c r="G940" s="7" t="inlineStr">
        <is>
          <t>East</t>
        </is>
      </c>
      <c r="H940" s="7" t="inlineStr">
        <is>
          <t>Pennsylvania</t>
        </is>
      </c>
      <c r="I940" s="7" t="inlineStr">
        <is>
          <t>Online</t>
        </is>
      </c>
      <c r="J940" s="7" t="inlineStr">
        <is>
          <t>Corporate</t>
        </is>
      </c>
      <c r="K940" s="12" t="n">
        <v>3</v>
      </c>
      <c r="L940" s="9" t="n">
        <v>32.99</v>
      </c>
      <c r="M940" s="10" t="n">
        <v>0.05</v>
      </c>
      <c r="N940" s="9" t="n">
        <v>19.79</v>
      </c>
      <c r="O940" s="9">
        <f>K940*L940</f>
        <v/>
      </c>
      <c r="P940" s="9">
        <f>O940*M940</f>
        <v/>
      </c>
      <c r="Q940" s="9">
        <f>O940-P940</f>
        <v/>
      </c>
      <c r="R940" s="9">
        <f>K940*N940</f>
        <v/>
      </c>
      <c r="S940" s="9">
        <f>Q940-R940</f>
        <v/>
      </c>
      <c r="T940" s="10">
        <f>IFERROR(S940/Q940, 0)</f>
        <v/>
      </c>
    </row>
    <row r="941">
      <c r="A941" s="11" t="inlineStr">
        <is>
          <t>ORD-2024-1089</t>
        </is>
      </c>
      <c r="B941" s="11" t="inlineStr">
        <is>
          <t>2024-12-16</t>
        </is>
      </c>
      <c r="C941" s="11" t="inlineStr">
        <is>
          <t>TEC-ACC-007</t>
        </is>
      </c>
      <c r="D941" s="7" t="inlineStr">
        <is>
          <t>ErgoMechanical Wireless Keyboard</t>
        </is>
      </c>
      <c r="E941" s="7" t="inlineStr">
        <is>
          <t>Technology</t>
        </is>
      </c>
      <c r="F941" s="7" t="inlineStr">
        <is>
          <t>Audio &amp; Accessories</t>
        </is>
      </c>
      <c r="G941" s="7" t="inlineStr">
        <is>
          <t>South</t>
        </is>
      </c>
      <c r="H941" s="7" t="inlineStr">
        <is>
          <t>Georgia</t>
        </is>
      </c>
      <c r="I941" s="7" t="inlineStr">
        <is>
          <t>Online</t>
        </is>
      </c>
      <c r="J941" s="7" t="inlineStr">
        <is>
          <t>Home Office</t>
        </is>
      </c>
      <c r="K941" s="12" t="n">
        <v>4</v>
      </c>
      <c r="L941" s="9" t="n">
        <v>109.99</v>
      </c>
      <c r="M941" s="10" t="n">
        <v>0</v>
      </c>
      <c r="N941" s="9" t="n">
        <v>65.98999999999999</v>
      </c>
      <c r="O941" s="9">
        <f>K941*L941</f>
        <v/>
      </c>
      <c r="P941" s="9">
        <f>O941*M941</f>
        <v/>
      </c>
      <c r="Q941" s="9">
        <f>O941-P941</f>
        <v/>
      </c>
      <c r="R941" s="9">
        <f>K941*N941</f>
        <v/>
      </c>
      <c r="S941" s="9">
        <f>Q941-R941</f>
        <v/>
      </c>
      <c r="T941" s="10">
        <f>IFERROR(S941/Q941, 0)</f>
        <v/>
      </c>
    </row>
    <row r="942">
      <c r="A942" s="11" t="inlineStr">
        <is>
          <t>ORD-2024-1721</t>
        </is>
      </c>
      <c r="B942" s="11" t="inlineStr">
        <is>
          <t>2024-12-16</t>
        </is>
      </c>
      <c r="C942" s="11" t="inlineStr">
        <is>
          <t>OFF-PAP-003</t>
        </is>
      </c>
      <c r="D942" s="7" t="inlineStr">
        <is>
          <t>UltraWhite Premium Multipurpose Paper (Case)</t>
        </is>
      </c>
      <c r="E942" s="7" t="inlineStr">
        <is>
          <t>Office Supplies</t>
        </is>
      </c>
      <c r="F942" s="7" t="inlineStr">
        <is>
          <t>Paper Products</t>
        </is>
      </c>
      <c r="G942" s="7" t="inlineStr">
        <is>
          <t>East</t>
        </is>
      </c>
      <c r="H942" s="7" t="inlineStr">
        <is>
          <t>New York</t>
        </is>
      </c>
      <c r="I942" s="7" t="inlineStr">
        <is>
          <t>Online</t>
        </is>
      </c>
      <c r="J942" s="7" t="inlineStr">
        <is>
          <t>Corporate</t>
        </is>
      </c>
      <c r="K942" s="12" t="n">
        <v>2</v>
      </c>
      <c r="L942" s="9" t="n">
        <v>54.99</v>
      </c>
      <c r="M942" s="10" t="n">
        <v>0.05</v>
      </c>
      <c r="N942" s="9" t="n">
        <v>31.89</v>
      </c>
      <c r="O942" s="9">
        <f>K942*L942</f>
        <v/>
      </c>
      <c r="P942" s="9">
        <f>O942*M942</f>
        <v/>
      </c>
      <c r="Q942" s="9">
        <f>O942-P942</f>
        <v/>
      </c>
      <c r="R942" s="9">
        <f>K942*N942</f>
        <v/>
      </c>
      <c r="S942" s="9">
        <f>Q942-R942</f>
        <v/>
      </c>
      <c r="T942" s="10">
        <f>IFERROR(S942/Q942, 0)</f>
        <v/>
      </c>
    </row>
    <row r="943">
      <c r="A943" s="11" t="inlineStr">
        <is>
          <t>ORD-2024-1262</t>
        </is>
      </c>
      <c r="B943" s="11" t="inlineStr">
        <is>
          <t>2024-12-18</t>
        </is>
      </c>
      <c r="C943" s="11" t="inlineStr">
        <is>
          <t>OFF-STR-001</t>
        </is>
      </c>
      <c r="D943" s="7" t="inlineStr">
        <is>
          <t>SteelLock 3-Drawer File Cabinet</t>
        </is>
      </c>
      <c r="E943" s="7" t="inlineStr">
        <is>
          <t>Office Supplies</t>
        </is>
      </c>
      <c r="F943" s="7" t="inlineStr">
        <is>
          <t>Storage &amp; Organizers</t>
        </is>
      </c>
      <c r="G943" s="7" t="inlineStr">
        <is>
          <t>Central</t>
        </is>
      </c>
      <c r="H943" s="7" t="inlineStr">
        <is>
          <t>Illinois</t>
        </is>
      </c>
      <c r="I943" s="7" t="inlineStr">
        <is>
          <t>Retail Partner</t>
        </is>
      </c>
      <c r="J943" s="7" t="inlineStr">
        <is>
          <t>Consumer</t>
        </is>
      </c>
      <c r="K943" s="12" t="n">
        <v>3</v>
      </c>
      <c r="L943" s="9" t="n">
        <v>169.99</v>
      </c>
      <c r="M943" s="10" t="n">
        <v>0.05</v>
      </c>
      <c r="N943" s="9" t="n">
        <v>115.59</v>
      </c>
      <c r="O943" s="9">
        <f>K943*L943</f>
        <v/>
      </c>
      <c r="P943" s="9">
        <f>O943*M943</f>
        <v/>
      </c>
      <c r="Q943" s="9">
        <f>O943-P943</f>
        <v/>
      </c>
      <c r="R943" s="9">
        <f>K943*N943</f>
        <v/>
      </c>
      <c r="S943" s="9">
        <f>Q943-R943</f>
        <v/>
      </c>
      <c r="T943" s="10">
        <f>IFERROR(S943/Q943, 0)</f>
        <v/>
      </c>
    </row>
    <row r="944">
      <c r="A944" s="11" t="inlineStr">
        <is>
          <t>ORD-2024-1614</t>
        </is>
      </c>
      <c r="B944" s="11" t="inlineStr">
        <is>
          <t>2024-12-18</t>
        </is>
      </c>
      <c r="C944" s="11" t="inlineStr">
        <is>
          <t>OFF-ART-006</t>
        </is>
      </c>
      <c r="D944" s="7" t="inlineStr">
        <is>
          <t>Professional Presentation Dry Erase Board</t>
        </is>
      </c>
      <c r="E944" s="7" t="inlineStr">
        <is>
          <t>Office Supplies</t>
        </is>
      </c>
      <c r="F944" s="7" t="inlineStr">
        <is>
          <t>Presentation &amp; Art</t>
        </is>
      </c>
      <c r="G944" s="7" t="inlineStr">
        <is>
          <t>West</t>
        </is>
      </c>
      <c r="H944" s="7" t="inlineStr">
        <is>
          <t>California</t>
        </is>
      </c>
      <c r="I944" s="7" t="inlineStr">
        <is>
          <t>Retail Partner</t>
        </is>
      </c>
      <c r="J944" s="7" t="inlineStr">
        <is>
          <t>Corporate</t>
        </is>
      </c>
      <c r="K944" s="12" t="n">
        <v>6</v>
      </c>
      <c r="L944" s="9" t="n">
        <v>89.98999999999999</v>
      </c>
      <c r="M944" s="10" t="n">
        <v>0</v>
      </c>
      <c r="N944" s="9" t="n">
        <v>53.99</v>
      </c>
      <c r="O944" s="9">
        <f>K944*L944</f>
        <v/>
      </c>
      <c r="P944" s="9">
        <f>O944*M944</f>
        <v/>
      </c>
      <c r="Q944" s="9">
        <f>O944-P944</f>
        <v/>
      </c>
      <c r="R944" s="9">
        <f>K944*N944</f>
        <v/>
      </c>
      <c r="S944" s="9">
        <f>Q944-R944</f>
        <v/>
      </c>
      <c r="T944" s="10">
        <f>IFERROR(S944/Q944, 0)</f>
        <v/>
      </c>
    </row>
    <row r="945">
      <c r="A945" s="11" t="inlineStr">
        <is>
          <t>ORD-2024-1006</t>
        </is>
      </c>
      <c r="B945" s="11" t="inlineStr">
        <is>
          <t>2024-12-19</t>
        </is>
      </c>
      <c r="C945" s="11" t="inlineStr">
        <is>
          <t>TEC-LAP-001</t>
        </is>
      </c>
      <c r="D945" s="7" t="inlineStr">
        <is>
          <t>ProBook Elite 15.6"</t>
        </is>
      </c>
      <c r="E945" s="7" t="inlineStr">
        <is>
          <t>Technology</t>
        </is>
      </c>
      <c r="F945" s="7" t="inlineStr">
        <is>
          <t>Laptops</t>
        </is>
      </c>
      <c r="G945" s="7" t="inlineStr">
        <is>
          <t>Central</t>
        </is>
      </c>
      <c r="H945" s="7" t="inlineStr">
        <is>
          <t>Ohio</t>
        </is>
      </c>
      <c r="I945" s="7" t="inlineStr">
        <is>
          <t>Online</t>
        </is>
      </c>
      <c r="J945" s="7" t="inlineStr">
        <is>
          <t>Consumer</t>
        </is>
      </c>
      <c r="K945" s="12" t="n">
        <v>2</v>
      </c>
      <c r="L945" s="9" t="n">
        <v>1199.99</v>
      </c>
      <c r="M945" s="10" t="n">
        <v>0.05</v>
      </c>
      <c r="N945" s="9" t="n">
        <v>863.99</v>
      </c>
      <c r="O945" s="9">
        <f>K945*L945</f>
        <v/>
      </c>
      <c r="P945" s="9">
        <f>O945*M945</f>
        <v/>
      </c>
      <c r="Q945" s="9">
        <f>O945-P945</f>
        <v/>
      </c>
      <c r="R945" s="9">
        <f>K945*N945</f>
        <v/>
      </c>
      <c r="S945" s="9">
        <f>Q945-R945</f>
        <v/>
      </c>
      <c r="T945" s="10">
        <f>IFERROR(S945/Q945, 0)</f>
        <v/>
      </c>
    </row>
    <row r="946">
      <c r="A946" s="11" t="inlineStr">
        <is>
          <t>ORD-2024-1044</t>
        </is>
      </c>
      <c r="B946" s="11" t="inlineStr">
        <is>
          <t>2024-12-19</t>
        </is>
      </c>
      <c r="C946" s="11" t="inlineStr">
        <is>
          <t>OFF-BIN-005</t>
        </is>
      </c>
      <c r="D946" s="7" t="inlineStr">
        <is>
          <t>Heavy-Duty D-Ring Presentation Binder (6-Pk)</t>
        </is>
      </c>
      <c r="E946" s="7" t="inlineStr">
        <is>
          <t>Office Supplies</t>
        </is>
      </c>
      <c r="F946" s="7" t="inlineStr">
        <is>
          <t>Binders &amp; Fasteners</t>
        </is>
      </c>
      <c r="G946" s="7" t="inlineStr">
        <is>
          <t>East</t>
        </is>
      </c>
      <c r="H946" s="7" t="inlineStr">
        <is>
          <t>Pennsylvania</t>
        </is>
      </c>
      <c r="I946" s="7" t="inlineStr">
        <is>
          <t>Online</t>
        </is>
      </c>
      <c r="J946" s="7" t="inlineStr">
        <is>
          <t>Consumer</t>
        </is>
      </c>
      <c r="K946" s="12" t="n">
        <v>2</v>
      </c>
      <c r="L946" s="9" t="n">
        <v>27.99</v>
      </c>
      <c r="M946" s="10" t="n">
        <v>0</v>
      </c>
      <c r="N946" s="9" t="n">
        <v>13.99</v>
      </c>
      <c r="O946" s="9">
        <f>K946*L946</f>
        <v/>
      </c>
      <c r="P946" s="9">
        <f>O946*M946</f>
        <v/>
      </c>
      <c r="Q946" s="9">
        <f>O946-P946</f>
        <v/>
      </c>
      <c r="R946" s="9">
        <f>K946*N946</f>
        <v/>
      </c>
      <c r="S946" s="9">
        <f>Q946-R946</f>
        <v/>
      </c>
      <c r="T946" s="10">
        <f>IFERROR(S946/Q946, 0)</f>
        <v/>
      </c>
    </row>
    <row r="947">
      <c r="A947" s="11" t="inlineStr">
        <is>
          <t>ORD-2024-1173</t>
        </is>
      </c>
      <c r="B947" s="11" t="inlineStr">
        <is>
          <t>2024-12-19</t>
        </is>
      </c>
      <c r="C947" s="11" t="inlineStr">
        <is>
          <t>TEC-TAB-004</t>
        </is>
      </c>
      <c r="D947" s="7" t="inlineStr">
        <is>
          <t>VisionPad Lite 8.5"</t>
        </is>
      </c>
      <c r="E947" s="7" t="inlineStr">
        <is>
          <t>Technology</t>
        </is>
      </c>
      <c r="F947" s="7" t="inlineStr">
        <is>
          <t>Phones &amp; Tablets</t>
        </is>
      </c>
      <c r="G947" s="7" t="inlineStr">
        <is>
          <t>South</t>
        </is>
      </c>
      <c r="H947" s="7" t="inlineStr">
        <is>
          <t>North Carolina</t>
        </is>
      </c>
      <c r="I947" s="7" t="inlineStr">
        <is>
          <t>Wholesale</t>
        </is>
      </c>
      <c r="J947" s="7" t="inlineStr">
        <is>
          <t>Home Office</t>
        </is>
      </c>
      <c r="K947" s="12" t="n">
        <v>8</v>
      </c>
      <c r="L947" s="9" t="n">
        <v>299.99</v>
      </c>
      <c r="M947" s="10" t="n">
        <v>0.1</v>
      </c>
      <c r="N947" s="9" t="n">
        <v>245.99</v>
      </c>
      <c r="O947" s="9">
        <f>K947*L947</f>
        <v/>
      </c>
      <c r="P947" s="9">
        <f>O947*M947</f>
        <v/>
      </c>
      <c r="Q947" s="9">
        <f>O947-P947</f>
        <v/>
      </c>
      <c r="R947" s="9">
        <f>K947*N947</f>
        <v/>
      </c>
      <c r="S947" s="9">
        <f>Q947-R947</f>
        <v/>
      </c>
      <c r="T947" s="10">
        <f>IFERROR(S947/Q947, 0)</f>
        <v/>
      </c>
    </row>
    <row r="948">
      <c r="A948" s="11" t="inlineStr">
        <is>
          <t>ORD-2024-1200</t>
        </is>
      </c>
      <c r="B948" s="11" t="inlineStr">
        <is>
          <t>2024-12-19</t>
        </is>
      </c>
      <c r="C948" s="11" t="inlineStr">
        <is>
          <t>OFF-DSK-007</t>
        </is>
      </c>
      <c r="D948" s="7" t="inlineStr">
        <is>
          <t>Gel Ergo Mouse Pad &amp; Wrist Rest Combo</t>
        </is>
      </c>
      <c r="E948" s="7" t="inlineStr">
        <is>
          <t>Office Supplies</t>
        </is>
      </c>
      <c r="F948" s="7" t="inlineStr">
        <is>
          <t>Desk Supplies</t>
        </is>
      </c>
      <c r="G948" s="7" t="inlineStr">
        <is>
          <t>West</t>
        </is>
      </c>
      <c r="H948" s="7" t="inlineStr">
        <is>
          <t>Colorado</t>
        </is>
      </c>
      <c r="I948" s="7" t="inlineStr">
        <is>
          <t>Direct Sales</t>
        </is>
      </c>
      <c r="J948" s="7" t="inlineStr">
        <is>
          <t>Corporate</t>
        </is>
      </c>
      <c r="K948" s="12" t="n">
        <v>8</v>
      </c>
      <c r="L948" s="9" t="n">
        <v>21.99</v>
      </c>
      <c r="M948" s="10" t="n">
        <v>0.05</v>
      </c>
      <c r="N948" s="9" t="n">
        <v>10.56</v>
      </c>
      <c r="O948" s="9">
        <f>K948*L948</f>
        <v/>
      </c>
      <c r="P948" s="9">
        <f>O948*M948</f>
        <v/>
      </c>
      <c r="Q948" s="9">
        <f>O948-P948</f>
        <v/>
      </c>
      <c r="R948" s="9">
        <f>K948*N948</f>
        <v/>
      </c>
      <c r="S948" s="9">
        <f>Q948-R948</f>
        <v/>
      </c>
      <c r="T948" s="10">
        <f>IFERROR(S948/Q948, 0)</f>
        <v/>
      </c>
    </row>
    <row r="949">
      <c r="A949" s="11" t="inlineStr">
        <is>
          <t>ORD-2024-1331</t>
        </is>
      </c>
      <c r="B949" s="11" t="inlineStr">
        <is>
          <t>2024-12-19</t>
        </is>
      </c>
      <c r="C949" s="11" t="inlineStr">
        <is>
          <t>OFF-PAP-003</t>
        </is>
      </c>
      <c r="D949" s="7" t="inlineStr">
        <is>
          <t>UltraWhite Premium Multipurpose Paper (Case)</t>
        </is>
      </c>
      <c r="E949" s="7" t="inlineStr">
        <is>
          <t>Office Supplies</t>
        </is>
      </c>
      <c r="F949" s="7" t="inlineStr">
        <is>
          <t>Paper Products</t>
        </is>
      </c>
      <c r="G949" s="7" t="inlineStr">
        <is>
          <t>Central</t>
        </is>
      </c>
      <c r="H949" s="7" t="inlineStr">
        <is>
          <t>Michigan</t>
        </is>
      </c>
      <c r="I949" s="7" t="inlineStr">
        <is>
          <t>Online</t>
        </is>
      </c>
      <c r="J949" s="7" t="inlineStr">
        <is>
          <t>Consumer</t>
        </is>
      </c>
      <c r="K949" s="12" t="n">
        <v>1</v>
      </c>
      <c r="L949" s="9" t="n">
        <v>54.99</v>
      </c>
      <c r="M949" s="10" t="n">
        <v>0</v>
      </c>
      <c r="N949" s="9" t="n">
        <v>31.89</v>
      </c>
      <c r="O949" s="9">
        <f>K949*L949</f>
        <v/>
      </c>
      <c r="P949" s="9">
        <f>O949*M949</f>
        <v/>
      </c>
      <c r="Q949" s="9">
        <f>O949-P949</f>
        <v/>
      </c>
      <c r="R949" s="9">
        <f>K949*N949</f>
        <v/>
      </c>
      <c r="S949" s="9">
        <f>Q949-R949</f>
        <v/>
      </c>
      <c r="T949" s="10">
        <f>IFERROR(S949/Q949, 0)</f>
        <v/>
      </c>
    </row>
    <row r="950">
      <c r="A950" s="11" t="inlineStr">
        <is>
          <t>ORD-2024-1598</t>
        </is>
      </c>
      <c r="B950" s="11" t="inlineStr">
        <is>
          <t>2024-12-19</t>
        </is>
      </c>
      <c r="C950" s="11" t="inlineStr">
        <is>
          <t>OFF-DSK-008</t>
        </is>
      </c>
      <c r="D950" s="7" t="inlineStr">
        <is>
          <t>Steel Desktop Mesh Organizer Caddy</t>
        </is>
      </c>
      <c r="E950" s="7" t="inlineStr">
        <is>
          <t>Office Supplies</t>
        </is>
      </c>
      <c r="F950" s="7" t="inlineStr">
        <is>
          <t>Desk Supplies</t>
        </is>
      </c>
      <c r="G950" s="7" t="inlineStr">
        <is>
          <t>East</t>
        </is>
      </c>
      <c r="H950" s="7" t="inlineStr">
        <is>
          <t>New Jersey</t>
        </is>
      </c>
      <c r="I950" s="7" t="inlineStr">
        <is>
          <t>Online</t>
        </is>
      </c>
      <c r="J950" s="7" t="inlineStr">
        <is>
          <t>Consumer</t>
        </is>
      </c>
      <c r="K950" s="12" t="n">
        <v>3</v>
      </c>
      <c r="L950" s="9" t="n">
        <v>18.99</v>
      </c>
      <c r="M950" s="10" t="n">
        <v>0.1</v>
      </c>
      <c r="N950" s="9" t="n">
        <v>8.550000000000001</v>
      </c>
      <c r="O950" s="9">
        <f>K950*L950</f>
        <v/>
      </c>
      <c r="P950" s="9">
        <f>O950*M950</f>
        <v/>
      </c>
      <c r="Q950" s="9">
        <f>O950-P950</f>
        <v/>
      </c>
      <c r="R950" s="9">
        <f>K950*N950</f>
        <v/>
      </c>
      <c r="S950" s="9">
        <f>Q950-R950</f>
        <v/>
      </c>
      <c r="T950" s="10">
        <f>IFERROR(S950/Q950, 0)</f>
        <v/>
      </c>
    </row>
    <row r="951">
      <c r="A951" s="11" t="inlineStr">
        <is>
          <t>ORD-2024-1036</t>
        </is>
      </c>
      <c r="B951" s="11" t="inlineStr">
        <is>
          <t>2024-12-20</t>
        </is>
      </c>
      <c r="C951" s="11" t="inlineStr">
        <is>
          <t>OFF-STR-002</t>
        </is>
      </c>
      <c r="D951" s="7" t="inlineStr">
        <is>
          <t>Stackable Heavy-Duty Storage Bins (4-Pk)</t>
        </is>
      </c>
      <c r="E951" s="7" t="inlineStr">
        <is>
          <t>Office Supplies</t>
        </is>
      </c>
      <c r="F951" s="7" t="inlineStr">
        <is>
          <t>Storage &amp; Organizers</t>
        </is>
      </c>
      <c r="G951" s="7" t="inlineStr">
        <is>
          <t>East</t>
        </is>
      </c>
      <c r="H951" s="7" t="inlineStr">
        <is>
          <t>Massachusetts</t>
        </is>
      </c>
      <c r="I951" s="7" t="inlineStr">
        <is>
          <t>Wholesale</t>
        </is>
      </c>
      <c r="J951" s="7" t="inlineStr">
        <is>
          <t>Corporate</t>
        </is>
      </c>
      <c r="K951" s="12" t="n">
        <v>5</v>
      </c>
      <c r="L951" s="9" t="n">
        <v>44.99</v>
      </c>
      <c r="M951" s="10" t="n">
        <v>0.15</v>
      </c>
      <c r="N951" s="9" t="n">
        <v>24.74</v>
      </c>
      <c r="O951" s="9">
        <f>K951*L951</f>
        <v/>
      </c>
      <c r="P951" s="9">
        <f>O951*M951</f>
        <v/>
      </c>
      <c r="Q951" s="9">
        <f>O951-P951</f>
        <v/>
      </c>
      <c r="R951" s="9">
        <f>K951*N951</f>
        <v/>
      </c>
      <c r="S951" s="9">
        <f>Q951-R951</f>
        <v/>
      </c>
      <c r="T951" s="10">
        <f>IFERROR(S951/Q951, 0)</f>
        <v/>
      </c>
    </row>
    <row r="952">
      <c r="A952" s="11" t="inlineStr">
        <is>
          <t>ORD-2024-1036</t>
        </is>
      </c>
      <c r="B952" s="11" t="inlineStr">
        <is>
          <t>2024-12-20</t>
        </is>
      </c>
      <c r="C952" s="11" t="inlineStr">
        <is>
          <t>TEC-TAB-004</t>
        </is>
      </c>
      <c r="D952" s="7" t="inlineStr">
        <is>
          <t>VisionPad Lite 8.5"</t>
        </is>
      </c>
      <c r="E952" s="7" t="inlineStr">
        <is>
          <t>Technology</t>
        </is>
      </c>
      <c r="F952" s="7" t="inlineStr">
        <is>
          <t>Phones &amp; Tablets</t>
        </is>
      </c>
      <c r="G952" s="7" t="inlineStr">
        <is>
          <t>East</t>
        </is>
      </c>
      <c r="H952" s="7" t="inlineStr">
        <is>
          <t>Massachusetts</t>
        </is>
      </c>
      <c r="I952" s="7" t="inlineStr">
        <is>
          <t>Wholesale</t>
        </is>
      </c>
      <c r="J952" s="7" t="inlineStr">
        <is>
          <t>Corporate</t>
        </is>
      </c>
      <c r="K952" s="12" t="n">
        <v>10</v>
      </c>
      <c r="L952" s="9" t="n">
        <v>299.99</v>
      </c>
      <c r="M952" s="10" t="n">
        <v>0.15</v>
      </c>
      <c r="N952" s="9" t="n">
        <v>245.99</v>
      </c>
      <c r="O952" s="9">
        <f>K952*L952</f>
        <v/>
      </c>
      <c r="P952" s="9">
        <f>O952*M952</f>
        <v/>
      </c>
      <c r="Q952" s="9">
        <f>O952-P952</f>
        <v/>
      </c>
      <c r="R952" s="9">
        <f>K952*N952</f>
        <v/>
      </c>
      <c r="S952" s="9">
        <f>Q952-R952</f>
        <v/>
      </c>
      <c r="T952" s="10">
        <f>IFERROR(S952/Q952, 0)</f>
        <v/>
      </c>
    </row>
    <row r="953">
      <c r="A953" s="11" t="inlineStr">
        <is>
          <t>ORD-2024-1209</t>
        </is>
      </c>
      <c r="B953" s="11" t="inlineStr">
        <is>
          <t>2024-12-20</t>
        </is>
      </c>
      <c r="C953" s="11" t="inlineStr">
        <is>
          <t>OFF-DSK-007</t>
        </is>
      </c>
      <c r="D953" s="7" t="inlineStr">
        <is>
          <t>Gel Ergo Mouse Pad &amp; Wrist Rest Combo</t>
        </is>
      </c>
      <c r="E953" s="7" t="inlineStr">
        <is>
          <t>Office Supplies</t>
        </is>
      </c>
      <c r="F953" s="7" t="inlineStr">
        <is>
          <t>Desk Supplies</t>
        </is>
      </c>
      <c r="G953" s="7" t="inlineStr">
        <is>
          <t>Central</t>
        </is>
      </c>
      <c r="H953" s="7" t="inlineStr">
        <is>
          <t>Michigan</t>
        </is>
      </c>
      <c r="I953" s="7" t="inlineStr">
        <is>
          <t>Online</t>
        </is>
      </c>
      <c r="J953" s="7" t="inlineStr">
        <is>
          <t>Corporate</t>
        </is>
      </c>
      <c r="K953" s="12" t="n">
        <v>5</v>
      </c>
      <c r="L953" s="9" t="n">
        <v>21.99</v>
      </c>
      <c r="M953" s="10" t="n">
        <v>0</v>
      </c>
      <c r="N953" s="9" t="n">
        <v>10.56</v>
      </c>
      <c r="O953" s="9">
        <f>K953*L953</f>
        <v/>
      </c>
      <c r="P953" s="9">
        <f>O953*M953</f>
        <v/>
      </c>
      <c r="Q953" s="9">
        <f>O953-P953</f>
        <v/>
      </c>
      <c r="R953" s="9">
        <f>K953*N953</f>
        <v/>
      </c>
      <c r="S953" s="9">
        <f>Q953-R953</f>
        <v/>
      </c>
      <c r="T953" s="10">
        <f>IFERROR(S953/Q953, 0)</f>
        <v/>
      </c>
    </row>
    <row r="954">
      <c r="A954" s="11" t="inlineStr">
        <is>
          <t>ORD-2024-1712</t>
        </is>
      </c>
      <c r="B954" s="11" t="inlineStr">
        <is>
          <t>2024-12-20</t>
        </is>
      </c>
      <c r="C954" s="11" t="inlineStr">
        <is>
          <t>OFF-STR-001</t>
        </is>
      </c>
      <c r="D954" s="7" t="inlineStr">
        <is>
          <t>SteelLock 3-Drawer File Cabinet</t>
        </is>
      </c>
      <c r="E954" s="7" t="inlineStr">
        <is>
          <t>Office Supplies</t>
        </is>
      </c>
      <c r="F954" s="7" t="inlineStr">
        <is>
          <t>Storage &amp; Organizers</t>
        </is>
      </c>
      <c r="G954" s="7" t="inlineStr">
        <is>
          <t>East</t>
        </is>
      </c>
      <c r="H954" s="7" t="inlineStr">
        <is>
          <t>Pennsylvania</t>
        </is>
      </c>
      <c r="I954" s="7" t="inlineStr">
        <is>
          <t>Online</t>
        </is>
      </c>
      <c r="J954" s="7" t="inlineStr">
        <is>
          <t>Consumer</t>
        </is>
      </c>
      <c r="K954" s="12" t="n">
        <v>3</v>
      </c>
      <c r="L954" s="9" t="n">
        <v>169.99</v>
      </c>
      <c r="M954" s="10" t="n">
        <v>0</v>
      </c>
      <c r="N954" s="9" t="n">
        <v>115.59</v>
      </c>
      <c r="O954" s="9">
        <f>K954*L954</f>
        <v/>
      </c>
      <c r="P954" s="9">
        <f>O954*M954</f>
        <v/>
      </c>
      <c r="Q954" s="9">
        <f>O954-P954</f>
        <v/>
      </c>
      <c r="R954" s="9">
        <f>K954*N954</f>
        <v/>
      </c>
      <c r="S954" s="9">
        <f>Q954-R954</f>
        <v/>
      </c>
      <c r="T954" s="10">
        <f>IFERROR(S954/Q954, 0)</f>
        <v/>
      </c>
    </row>
    <row r="955">
      <c r="A955" s="11" t="inlineStr">
        <is>
          <t>ORD-2024-1001</t>
        </is>
      </c>
      <c r="B955" s="11" t="inlineStr">
        <is>
          <t>2024-12-21</t>
        </is>
      </c>
      <c r="C955" s="11" t="inlineStr">
        <is>
          <t>TEC-LAP-001</t>
        </is>
      </c>
      <c r="D955" s="7" t="inlineStr">
        <is>
          <t>ProBook Elite 15.6"</t>
        </is>
      </c>
      <c r="E955" s="7" t="inlineStr">
        <is>
          <t>Technology</t>
        </is>
      </c>
      <c r="F955" s="7" t="inlineStr">
        <is>
          <t>Laptops</t>
        </is>
      </c>
      <c r="G955" s="7" t="inlineStr">
        <is>
          <t>Central</t>
        </is>
      </c>
      <c r="H955" s="7" t="inlineStr">
        <is>
          <t>Illinois</t>
        </is>
      </c>
      <c r="I955" s="7" t="inlineStr">
        <is>
          <t>Direct Sales</t>
        </is>
      </c>
      <c r="J955" s="7" t="inlineStr">
        <is>
          <t>Consumer</t>
        </is>
      </c>
      <c r="K955" s="12" t="n">
        <v>3</v>
      </c>
      <c r="L955" s="9" t="n">
        <v>1199.99</v>
      </c>
      <c r="M955" s="10" t="n">
        <v>0</v>
      </c>
      <c r="N955" s="9" t="n">
        <v>863.99</v>
      </c>
      <c r="O955" s="9">
        <f>K955*L955</f>
        <v/>
      </c>
      <c r="P955" s="9">
        <f>O955*M955</f>
        <v/>
      </c>
      <c r="Q955" s="9">
        <f>O955-P955</f>
        <v/>
      </c>
      <c r="R955" s="9">
        <f>K955*N955</f>
        <v/>
      </c>
      <c r="S955" s="9">
        <f>Q955-R955</f>
        <v/>
      </c>
      <c r="T955" s="10">
        <f>IFERROR(S955/Q955, 0)</f>
        <v/>
      </c>
    </row>
    <row r="956">
      <c r="A956" s="11" t="inlineStr">
        <is>
          <t>ORD-2024-1199</t>
        </is>
      </c>
      <c r="B956" s="11" t="inlineStr">
        <is>
          <t>2024-12-21</t>
        </is>
      </c>
      <c r="C956" s="11" t="inlineStr">
        <is>
          <t>FUR-CHA-001</t>
        </is>
      </c>
      <c r="D956" s="7" t="inlineStr">
        <is>
          <t>ErgoFlex Executive Mesh Chair</t>
        </is>
      </c>
      <c r="E956" s="7" t="inlineStr">
        <is>
          <t>Furniture</t>
        </is>
      </c>
      <c r="F956" s="7" t="inlineStr">
        <is>
          <t>Chairs</t>
        </is>
      </c>
      <c r="G956" s="7" t="inlineStr">
        <is>
          <t>Central</t>
        </is>
      </c>
      <c r="H956" s="7" t="inlineStr">
        <is>
          <t>Michigan</t>
        </is>
      </c>
      <c r="I956" s="7" t="inlineStr">
        <is>
          <t>Online</t>
        </is>
      </c>
      <c r="J956" s="7" t="inlineStr">
        <is>
          <t>Corporate</t>
        </is>
      </c>
      <c r="K956" s="12" t="n">
        <v>3</v>
      </c>
      <c r="L956" s="9" t="n">
        <v>389.99</v>
      </c>
      <c r="M956" s="10" t="n">
        <v>0.05</v>
      </c>
      <c r="N956" s="9" t="n">
        <v>331.49</v>
      </c>
      <c r="O956" s="9">
        <f>K956*L956</f>
        <v/>
      </c>
      <c r="P956" s="9">
        <f>O956*M956</f>
        <v/>
      </c>
      <c r="Q956" s="9">
        <f>O956-P956</f>
        <v/>
      </c>
      <c r="R956" s="9">
        <f>K956*N956</f>
        <v/>
      </c>
      <c r="S956" s="9">
        <f>Q956-R956</f>
        <v/>
      </c>
      <c r="T956" s="10">
        <f>IFERROR(S956/Q956, 0)</f>
        <v/>
      </c>
    </row>
    <row r="957">
      <c r="A957" s="11" t="inlineStr">
        <is>
          <t>ORD-2024-1387</t>
        </is>
      </c>
      <c r="B957" s="11" t="inlineStr">
        <is>
          <t>2024-12-21</t>
        </is>
      </c>
      <c r="C957" s="11" t="inlineStr">
        <is>
          <t>TEC-TAB-003</t>
        </is>
      </c>
      <c r="D957" s="7" t="inlineStr">
        <is>
          <t>VisionPad Pro 11"</t>
        </is>
      </c>
      <c r="E957" s="7" t="inlineStr">
        <is>
          <t>Technology</t>
        </is>
      </c>
      <c r="F957" s="7" t="inlineStr">
        <is>
          <t>Phones &amp; Tablets</t>
        </is>
      </c>
      <c r="G957" s="7" t="inlineStr">
        <is>
          <t>East</t>
        </is>
      </c>
      <c r="H957" s="7" t="inlineStr">
        <is>
          <t>New Jersey</t>
        </is>
      </c>
      <c r="I957" s="7" t="inlineStr">
        <is>
          <t>Direct Sales</t>
        </is>
      </c>
      <c r="J957" s="7" t="inlineStr">
        <is>
          <t>Corporate</t>
        </is>
      </c>
      <c r="K957" s="12" t="n">
        <v>2</v>
      </c>
      <c r="L957" s="9" t="n">
        <v>649.99</v>
      </c>
      <c r="M957" s="10" t="n">
        <v>0.05</v>
      </c>
      <c r="N957" s="9" t="n">
        <v>487.49</v>
      </c>
      <c r="O957" s="9">
        <f>K957*L957</f>
        <v/>
      </c>
      <c r="P957" s="9">
        <f>O957*M957</f>
        <v/>
      </c>
      <c r="Q957" s="9">
        <f>O957-P957</f>
        <v/>
      </c>
      <c r="R957" s="9">
        <f>K957*N957</f>
        <v/>
      </c>
      <c r="S957" s="9">
        <f>Q957-R957</f>
        <v/>
      </c>
      <c r="T957" s="10">
        <f>IFERROR(S957/Q957, 0)</f>
        <v/>
      </c>
    </row>
    <row r="958">
      <c r="A958" s="11" t="inlineStr">
        <is>
          <t>ORD-2024-1703</t>
        </is>
      </c>
      <c r="B958" s="11" t="inlineStr">
        <is>
          <t>2024-12-21</t>
        </is>
      </c>
      <c r="C958" s="11" t="inlineStr">
        <is>
          <t>TEC-ACC-008</t>
        </is>
      </c>
      <c r="D958" s="7" t="inlineStr">
        <is>
          <t>Precision Laser Bluetooth Mouse</t>
        </is>
      </c>
      <c r="E958" s="7" t="inlineStr">
        <is>
          <t>Technology</t>
        </is>
      </c>
      <c r="F958" s="7" t="inlineStr">
        <is>
          <t>Audio &amp; Accessories</t>
        </is>
      </c>
      <c r="G958" s="7" t="inlineStr">
        <is>
          <t>South</t>
        </is>
      </c>
      <c r="H958" s="7" t="inlineStr">
        <is>
          <t>North Carolina</t>
        </is>
      </c>
      <c r="I958" s="7" t="inlineStr">
        <is>
          <t>Wholesale</t>
        </is>
      </c>
      <c r="J958" s="7" t="inlineStr">
        <is>
          <t>Consumer</t>
        </is>
      </c>
      <c r="K958" s="12" t="n">
        <v>11</v>
      </c>
      <c r="L958" s="9" t="n">
        <v>49.99</v>
      </c>
      <c r="M958" s="10" t="n">
        <v>0.15</v>
      </c>
      <c r="N958" s="9" t="n">
        <v>27.49</v>
      </c>
      <c r="O958" s="9">
        <f>K958*L958</f>
        <v/>
      </c>
      <c r="P958" s="9">
        <f>O958*M958</f>
        <v/>
      </c>
      <c r="Q958" s="9">
        <f>O958-P958</f>
        <v/>
      </c>
      <c r="R958" s="9">
        <f>K958*N958</f>
        <v/>
      </c>
      <c r="S958" s="9">
        <f>Q958-R958</f>
        <v/>
      </c>
      <c r="T958" s="10">
        <f>IFERROR(S958/Q958, 0)</f>
        <v/>
      </c>
    </row>
    <row r="959">
      <c r="A959" s="11" t="inlineStr">
        <is>
          <t>ORD-2024-1029</t>
        </is>
      </c>
      <c r="B959" s="11" t="inlineStr">
        <is>
          <t>2024-12-22</t>
        </is>
      </c>
      <c r="C959" s="11" t="inlineStr">
        <is>
          <t>OFF-DSK-008</t>
        </is>
      </c>
      <c r="D959" s="7" t="inlineStr">
        <is>
          <t>Steel Desktop Mesh Organizer Caddy</t>
        </is>
      </c>
      <c r="E959" s="7" t="inlineStr">
        <is>
          <t>Office Supplies</t>
        </is>
      </c>
      <c r="F959" s="7" t="inlineStr">
        <is>
          <t>Desk Supplies</t>
        </is>
      </c>
      <c r="G959" s="7" t="inlineStr">
        <is>
          <t>West</t>
        </is>
      </c>
      <c r="H959" s="7" t="inlineStr">
        <is>
          <t>California</t>
        </is>
      </c>
      <c r="I959" s="7" t="inlineStr">
        <is>
          <t>Direct Sales</t>
        </is>
      </c>
      <c r="J959" s="7" t="inlineStr">
        <is>
          <t>Home Office</t>
        </is>
      </c>
      <c r="K959" s="12" t="n">
        <v>3</v>
      </c>
      <c r="L959" s="9" t="n">
        <v>18.99</v>
      </c>
      <c r="M959" s="10" t="n">
        <v>0.05</v>
      </c>
      <c r="N959" s="9" t="n">
        <v>8.550000000000001</v>
      </c>
      <c r="O959" s="9">
        <f>K959*L959</f>
        <v/>
      </c>
      <c r="P959" s="9">
        <f>O959*M959</f>
        <v/>
      </c>
      <c r="Q959" s="9">
        <f>O959-P959</f>
        <v/>
      </c>
      <c r="R959" s="9">
        <f>K959*N959</f>
        <v/>
      </c>
      <c r="S959" s="9">
        <f>Q959-R959</f>
        <v/>
      </c>
      <c r="T959" s="10">
        <f>IFERROR(S959/Q959, 0)</f>
        <v/>
      </c>
    </row>
    <row r="960">
      <c r="A960" s="11" t="inlineStr">
        <is>
          <t>ORD-2024-1226</t>
        </is>
      </c>
      <c r="B960" s="11" t="inlineStr">
        <is>
          <t>2024-12-22</t>
        </is>
      </c>
      <c r="C960" s="11" t="inlineStr">
        <is>
          <t>OFF-STR-002</t>
        </is>
      </c>
      <c r="D960" s="7" t="inlineStr">
        <is>
          <t>Stackable Heavy-Duty Storage Bins (4-Pk)</t>
        </is>
      </c>
      <c r="E960" s="7" t="inlineStr">
        <is>
          <t>Office Supplies</t>
        </is>
      </c>
      <c r="F960" s="7" t="inlineStr">
        <is>
          <t>Storage &amp; Organizers</t>
        </is>
      </c>
      <c r="G960" s="7" t="inlineStr">
        <is>
          <t>West</t>
        </is>
      </c>
      <c r="H960" s="7" t="inlineStr">
        <is>
          <t>Washington</t>
        </is>
      </c>
      <c r="I960" s="7" t="inlineStr">
        <is>
          <t>Retail Partner</t>
        </is>
      </c>
      <c r="J960" s="7" t="inlineStr">
        <is>
          <t>Consumer</t>
        </is>
      </c>
      <c r="K960" s="12" t="n">
        <v>1</v>
      </c>
      <c r="L960" s="9" t="n">
        <v>44.99</v>
      </c>
      <c r="M960" s="10" t="n">
        <v>0</v>
      </c>
      <c r="N960" s="9" t="n">
        <v>24.74</v>
      </c>
      <c r="O960" s="9">
        <f>K960*L960</f>
        <v/>
      </c>
      <c r="P960" s="9">
        <f>O960*M960</f>
        <v/>
      </c>
      <c r="Q960" s="9">
        <f>O960-P960</f>
        <v/>
      </c>
      <c r="R960" s="9">
        <f>K960*N960</f>
        <v/>
      </c>
      <c r="S960" s="9">
        <f>Q960-R960</f>
        <v/>
      </c>
      <c r="T960" s="10">
        <f>IFERROR(S960/Q960, 0)</f>
        <v/>
      </c>
    </row>
    <row r="961">
      <c r="A961" s="11" t="inlineStr">
        <is>
          <t>ORD-2024-1226</t>
        </is>
      </c>
      <c r="B961" s="11" t="inlineStr">
        <is>
          <t>2024-12-22</t>
        </is>
      </c>
      <c r="C961" s="11" t="inlineStr">
        <is>
          <t>TEC-ACC-005</t>
        </is>
      </c>
      <c r="D961" s="7" t="inlineStr">
        <is>
          <t>UltraWireless Noise-Canceling Headset</t>
        </is>
      </c>
      <c r="E961" s="7" t="inlineStr">
        <is>
          <t>Technology</t>
        </is>
      </c>
      <c r="F961" s="7" t="inlineStr">
        <is>
          <t>Audio &amp; Accessories</t>
        </is>
      </c>
      <c r="G961" s="7" t="inlineStr">
        <is>
          <t>West</t>
        </is>
      </c>
      <c r="H961" s="7" t="inlineStr">
        <is>
          <t>Washington</t>
        </is>
      </c>
      <c r="I961" s="7" t="inlineStr">
        <is>
          <t>Retail Partner</t>
        </is>
      </c>
      <c r="J961" s="7" t="inlineStr">
        <is>
          <t>Consumer</t>
        </is>
      </c>
      <c r="K961" s="12" t="n">
        <v>3</v>
      </c>
      <c r="L961" s="9" t="n">
        <v>179.99</v>
      </c>
      <c r="M961" s="10" t="n">
        <v>0.1</v>
      </c>
      <c r="N961" s="9" t="n">
        <v>111.59</v>
      </c>
      <c r="O961" s="9">
        <f>K961*L961</f>
        <v/>
      </c>
      <c r="P961" s="9">
        <f>O961*M961</f>
        <v/>
      </c>
      <c r="Q961" s="9">
        <f>O961-P961</f>
        <v/>
      </c>
      <c r="R961" s="9">
        <f>K961*N961</f>
        <v/>
      </c>
      <c r="S961" s="9">
        <f>Q961-R961</f>
        <v/>
      </c>
      <c r="T961" s="10">
        <f>IFERROR(S961/Q961, 0)</f>
        <v/>
      </c>
    </row>
    <row r="962">
      <c r="A962" s="11" t="inlineStr">
        <is>
          <t>ORD-2024-1711</t>
        </is>
      </c>
      <c r="B962" s="11" t="inlineStr">
        <is>
          <t>2024-12-22</t>
        </is>
      </c>
      <c r="C962" s="11" t="inlineStr">
        <is>
          <t>TEC-TAB-003</t>
        </is>
      </c>
      <c r="D962" s="7" t="inlineStr">
        <is>
          <t>VisionPad Pro 11"</t>
        </is>
      </c>
      <c r="E962" s="7" t="inlineStr">
        <is>
          <t>Technology</t>
        </is>
      </c>
      <c r="F962" s="7" t="inlineStr">
        <is>
          <t>Phones &amp; Tablets</t>
        </is>
      </c>
      <c r="G962" s="7" t="inlineStr">
        <is>
          <t>East</t>
        </is>
      </c>
      <c r="H962" s="7" t="inlineStr">
        <is>
          <t>Pennsylvania</t>
        </is>
      </c>
      <c r="I962" s="7" t="inlineStr">
        <is>
          <t>Wholesale</t>
        </is>
      </c>
      <c r="J962" s="7" t="inlineStr">
        <is>
          <t>Corporate</t>
        </is>
      </c>
      <c r="K962" s="12" t="n">
        <v>13</v>
      </c>
      <c r="L962" s="9" t="n">
        <v>649.99</v>
      </c>
      <c r="M962" s="10" t="n">
        <v>0.15</v>
      </c>
      <c r="N962" s="9" t="n">
        <v>487.49</v>
      </c>
      <c r="O962" s="9">
        <f>K962*L962</f>
        <v/>
      </c>
      <c r="P962" s="9">
        <f>O962*M962</f>
        <v/>
      </c>
      <c r="Q962" s="9">
        <f>O962-P962</f>
        <v/>
      </c>
      <c r="R962" s="9">
        <f>K962*N962</f>
        <v/>
      </c>
      <c r="S962" s="9">
        <f>Q962-R962</f>
        <v/>
      </c>
      <c r="T962" s="10">
        <f>IFERROR(S962/Q962, 0)</f>
        <v/>
      </c>
    </row>
    <row r="963">
      <c r="A963" s="11" t="inlineStr">
        <is>
          <t>ORD-2024-1711</t>
        </is>
      </c>
      <c r="B963" s="11" t="inlineStr">
        <is>
          <t>2024-12-22</t>
        </is>
      </c>
      <c r="C963" s="11" t="inlineStr">
        <is>
          <t>OFF-BIN-005</t>
        </is>
      </c>
      <c r="D963" s="7" t="inlineStr">
        <is>
          <t>Heavy-Duty D-Ring Presentation Binder (6-Pk)</t>
        </is>
      </c>
      <c r="E963" s="7" t="inlineStr">
        <is>
          <t>Office Supplies</t>
        </is>
      </c>
      <c r="F963" s="7" t="inlineStr">
        <is>
          <t>Binders &amp; Fasteners</t>
        </is>
      </c>
      <c r="G963" s="7" t="inlineStr">
        <is>
          <t>East</t>
        </is>
      </c>
      <c r="H963" s="7" t="inlineStr">
        <is>
          <t>Pennsylvania</t>
        </is>
      </c>
      <c r="I963" s="7" t="inlineStr">
        <is>
          <t>Wholesale</t>
        </is>
      </c>
      <c r="J963" s="7" t="inlineStr">
        <is>
          <t>Corporate</t>
        </is>
      </c>
      <c r="K963" s="12" t="n">
        <v>5</v>
      </c>
      <c r="L963" s="9" t="n">
        <v>27.99</v>
      </c>
      <c r="M963" s="10" t="n">
        <v>0.15</v>
      </c>
      <c r="N963" s="9" t="n">
        <v>13.99</v>
      </c>
      <c r="O963" s="9">
        <f>K963*L963</f>
        <v/>
      </c>
      <c r="P963" s="9">
        <f>O963*M963</f>
        <v/>
      </c>
      <c r="Q963" s="9">
        <f>O963-P963</f>
        <v/>
      </c>
      <c r="R963" s="9">
        <f>K963*N963</f>
        <v/>
      </c>
      <c r="S963" s="9">
        <f>Q963-R963</f>
        <v/>
      </c>
      <c r="T963" s="10">
        <f>IFERROR(S963/Q963, 0)</f>
        <v/>
      </c>
    </row>
    <row r="964">
      <c r="A964" s="11" t="inlineStr">
        <is>
          <t>ORD-2024-1076</t>
        </is>
      </c>
      <c r="B964" s="11" t="inlineStr">
        <is>
          <t>2024-12-23</t>
        </is>
      </c>
      <c r="C964" s="11" t="inlineStr">
        <is>
          <t>TEC-ACC-007</t>
        </is>
      </c>
      <c r="D964" s="7" t="inlineStr">
        <is>
          <t>ErgoMechanical Wireless Keyboard</t>
        </is>
      </c>
      <c r="E964" s="7" t="inlineStr">
        <is>
          <t>Technology</t>
        </is>
      </c>
      <c r="F964" s="7" t="inlineStr">
        <is>
          <t>Audio &amp; Accessories</t>
        </is>
      </c>
      <c r="G964" s="7" t="inlineStr">
        <is>
          <t>South</t>
        </is>
      </c>
      <c r="H964" s="7" t="inlineStr">
        <is>
          <t>North Carolina</t>
        </is>
      </c>
      <c r="I964" s="7" t="inlineStr">
        <is>
          <t>Direct Sales</t>
        </is>
      </c>
      <c r="J964" s="7" t="inlineStr">
        <is>
          <t>Corporate</t>
        </is>
      </c>
      <c r="K964" s="12" t="n">
        <v>7</v>
      </c>
      <c r="L964" s="9" t="n">
        <v>109.99</v>
      </c>
      <c r="M964" s="10" t="n">
        <v>0</v>
      </c>
      <c r="N964" s="9" t="n">
        <v>65.98999999999999</v>
      </c>
      <c r="O964" s="9">
        <f>K964*L964</f>
        <v/>
      </c>
      <c r="P964" s="9">
        <f>O964*M964</f>
        <v/>
      </c>
      <c r="Q964" s="9">
        <f>O964-P964</f>
        <v/>
      </c>
      <c r="R964" s="9">
        <f>K964*N964</f>
        <v/>
      </c>
      <c r="S964" s="9">
        <f>Q964-R964</f>
        <v/>
      </c>
      <c r="T964" s="10">
        <f>IFERROR(S964/Q964, 0)</f>
        <v/>
      </c>
    </row>
    <row r="965">
      <c r="A965" s="11" t="inlineStr">
        <is>
          <t>ORD-2024-1190</t>
        </is>
      </c>
      <c r="B965" s="11" t="inlineStr">
        <is>
          <t>2024-12-23</t>
        </is>
      </c>
      <c r="C965" s="11" t="inlineStr">
        <is>
          <t>OFF-STR-001</t>
        </is>
      </c>
      <c r="D965" s="7" t="inlineStr">
        <is>
          <t>SteelLock 3-Drawer File Cabinet</t>
        </is>
      </c>
      <c r="E965" s="7" t="inlineStr">
        <is>
          <t>Office Supplies</t>
        </is>
      </c>
      <c r="F965" s="7" t="inlineStr">
        <is>
          <t>Storage &amp; Organizers</t>
        </is>
      </c>
      <c r="G965" s="7" t="inlineStr">
        <is>
          <t>East</t>
        </is>
      </c>
      <c r="H965" s="7" t="inlineStr">
        <is>
          <t>Massachusetts</t>
        </is>
      </c>
      <c r="I965" s="7" t="inlineStr">
        <is>
          <t>Direct Sales</t>
        </is>
      </c>
      <c r="J965" s="7" t="inlineStr">
        <is>
          <t>Consumer</t>
        </is>
      </c>
      <c r="K965" s="12" t="n">
        <v>1</v>
      </c>
      <c r="L965" s="9" t="n">
        <v>169.99</v>
      </c>
      <c r="M965" s="10" t="n">
        <v>0.1</v>
      </c>
      <c r="N965" s="9" t="n">
        <v>115.59</v>
      </c>
      <c r="O965" s="9">
        <f>K965*L965</f>
        <v/>
      </c>
      <c r="P965" s="9">
        <f>O965*M965</f>
        <v/>
      </c>
      <c r="Q965" s="9">
        <f>O965-P965</f>
        <v/>
      </c>
      <c r="R965" s="9">
        <f>K965*N965</f>
        <v/>
      </c>
      <c r="S965" s="9">
        <f>Q965-R965</f>
        <v/>
      </c>
      <c r="T965" s="10">
        <f>IFERROR(S965/Q965, 0)</f>
        <v/>
      </c>
    </row>
    <row r="966">
      <c r="A966" s="11" t="inlineStr">
        <is>
          <t>ORD-2024-1190</t>
        </is>
      </c>
      <c r="B966" s="11" t="inlineStr">
        <is>
          <t>2024-12-23</t>
        </is>
      </c>
      <c r="C966" s="11" t="inlineStr">
        <is>
          <t>OFF-DSK-008</t>
        </is>
      </c>
      <c r="D966" s="7" t="inlineStr">
        <is>
          <t>Steel Desktop Mesh Organizer Caddy</t>
        </is>
      </c>
      <c r="E966" s="7" t="inlineStr">
        <is>
          <t>Office Supplies</t>
        </is>
      </c>
      <c r="F966" s="7" t="inlineStr">
        <is>
          <t>Desk Supplies</t>
        </is>
      </c>
      <c r="G966" s="7" t="inlineStr">
        <is>
          <t>East</t>
        </is>
      </c>
      <c r="H966" s="7" t="inlineStr">
        <is>
          <t>Massachusetts</t>
        </is>
      </c>
      <c r="I966" s="7" t="inlineStr">
        <is>
          <t>Direct Sales</t>
        </is>
      </c>
      <c r="J966" s="7" t="inlineStr">
        <is>
          <t>Consumer</t>
        </is>
      </c>
      <c r="K966" s="12" t="n">
        <v>2</v>
      </c>
      <c r="L966" s="9" t="n">
        <v>18.99</v>
      </c>
      <c r="M966" s="10" t="n">
        <v>0</v>
      </c>
      <c r="N966" s="9" t="n">
        <v>8.550000000000001</v>
      </c>
      <c r="O966" s="9">
        <f>K966*L966</f>
        <v/>
      </c>
      <c r="P966" s="9">
        <f>O966*M966</f>
        <v/>
      </c>
      <c r="Q966" s="9">
        <f>O966-P966</f>
        <v/>
      </c>
      <c r="R966" s="9">
        <f>K966*N966</f>
        <v/>
      </c>
      <c r="S966" s="9">
        <f>Q966-R966</f>
        <v/>
      </c>
      <c r="T966" s="10">
        <f>IFERROR(S966/Q966, 0)</f>
        <v/>
      </c>
    </row>
    <row r="967">
      <c r="A967" s="11" t="inlineStr">
        <is>
          <t>ORD-2024-1204</t>
        </is>
      </c>
      <c r="B967" s="11" t="inlineStr">
        <is>
          <t>2024-12-23</t>
        </is>
      </c>
      <c r="C967" s="11" t="inlineStr">
        <is>
          <t>FUR-CHA-002</t>
        </is>
      </c>
      <c r="D967" s="7" t="inlineStr">
        <is>
          <t>AeroTask Operator Task Chair</t>
        </is>
      </c>
      <c r="E967" s="7" t="inlineStr">
        <is>
          <t>Furniture</t>
        </is>
      </c>
      <c r="F967" s="7" t="inlineStr">
        <is>
          <t>Chairs</t>
        </is>
      </c>
      <c r="G967" s="7" t="inlineStr">
        <is>
          <t>West</t>
        </is>
      </c>
      <c r="H967" s="7" t="inlineStr">
        <is>
          <t>Colorado</t>
        </is>
      </c>
      <c r="I967" s="7" t="inlineStr">
        <is>
          <t>Direct Sales</t>
        </is>
      </c>
      <c r="J967" s="7" t="inlineStr">
        <is>
          <t>Corporate</t>
        </is>
      </c>
      <c r="K967" s="12" t="n">
        <v>7</v>
      </c>
      <c r="L967" s="9" t="n">
        <v>219.99</v>
      </c>
      <c r="M967" s="10" t="n">
        <v>0.1</v>
      </c>
      <c r="N967" s="9" t="n">
        <v>171.59</v>
      </c>
      <c r="O967" s="9">
        <f>K967*L967</f>
        <v/>
      </c>
      <c r="P967" s="9">
        <f>O967*M967</f>
        <v/>
      </c>
      <c r="Q967" s="9">
        <f>O967-P967</f>
        <v/>
      </c>
      <c r="R967" s="9">
        <f>K967*N967</f>
        <v/>
      </c>
      <c r="S967" s="9">
        <f>Q967-R967</f>
        <v/>
      </c>
      <c r="T967" s="10">
        <f>IFERROR(S967/Q967, 0)</f>
        <v/>
      </c>
    </row>
    <row r="968">
      <c r="A968" s="11" t="inlineStr">
        <is>
          <t>ORD-2024-1204</t>
        </is>
      </c>
      <c r="B968" s="11" t="inlineStr">
        <is>
          <t>2024-12-23</t>
        </is>
      </c>
      <c r="C968" s="11" t="inlineStr">
        <is>
          <t>FUR-BOK-005</t>
        </is>
      </c>
      <c r="D968" s="7" t="inlineStr">
        <is>
          <t>Modular 5-Tier Steel Bookcase</t>
        </is>
      </c>
      <c r="E968" s="7" t="inlineStr">
        <is>
          <t>Furniture</t>
        </is>
      </c>
      <c r="F968" s="7" t="inlineStr">
        <is>
          <t>Bookcases</t>
        </is>
      </c>
      <c r="G968" s="7" t="inlineStr">
        <is>
          <t>West</t>
        </is>
      </c>
      <c r="H968" s="7" t="inlineStr">
        <is>
          <t>Colorado</t>
        </is>
      </c>
      <c r="I968" s="7" t="inlineStr">
        <is>
          <t>Direct Sales</t>
        </is>
      </c>
      <c r="J968" s="7" t="inlineStr">
        <is>
          <t>Corporate</t>
        </is>
      </c>
      <c r="K968" s="12" t="n">
        <v>8</v>
      </c>
      <c r="L968" s="9" t="n">
        <v>189.99</v>
      </c>
      <c r="M968" s="10" t="n">
        <v>0.15</v>
      </c>
      <c r="N968" s="9" t="n">
        <v>142.49</v>
      </c>
      <c r="O968" s="9">
        <f>K968*L968</f>
        <v/>
      </c>
      <c r="P968" s="9">
        <f>O968*M968</f>
        <v/>
      </c>
      <c r="Q968" s="9">
        <f>O968-P968</f>
        <v/>
      </c>
      <c r="R968" s="9">
        <f>K968*N968</f>
        <v/>
      </c>
      <c r="S968" s="9">
        <f>Q968-R968</f>
        <v/>
      </c>
      <c r="T968" s="10">
        <f>IFERROR(S968/Q968, 0)</f>
        <v/>
      </c>
    </row>
    <row r="969">
      <c r="A969" s="11" t="inlineStr">
        <is>
          <t>ORD-2024-1397</t>
        </is>
      </c>
      <c r="B969" s="11" t="inlineStr">
        <is>
          <t>2024-12-23</t>
        </is>
      </c>
      <c r="C969" s="11" t="inlineStr">
        <is>
          <t>TEC-LAP-002</t>
        </is>
      </c>
      <c r="D969" s="7" t="inlineStr">
        <is>
          <t>Apex Gaming Laptop 17"</t>
        </is>
      </c>
      <c r="E969" s="7" t="inlineStr">
        <is>
          <t>Technology</t>
        </is>
      </c>
      <c r="F969" s="7" t="inlineStr">
        <is>
          <t>Laptops</t>
        </is>
      </c>
      <c r="G969" s="7" t="inlineStr">
        <is>
          <t>West</t>
        </is>
      </c>
      <c r="H969" s="7" t="inlineStr">
        <is>
          <t>Colorado</t>
        </is>
      </c>
      <c r="I969" s="7" t="inlineStr">
        <is>
          <t>Wholesale</t>
        </is>
      </c>
      <c r="J969" s="7" t="inlineStr">
        <is>
          <t>Corporate</t>
        </is>
      </c>
      <c r="K969" s="12" t="n">
        <v>9</v>
      </c>
      <c r="L969" s="9" t="n">
        <v>1499.99</v>
      </c>
      <c r="M969" s="10" t="n">
        <v>0.15</v>
      </c>
      <c r="N969" s="9" t="n">
        <v>1259.99</v>
      </c>
      <c r="O969" s="9">
        <f>K969*L969</f>
        <v/>
      </c>
      <c r="P969" s="9">
        <f>O969*M969</f>
        <v/>
      </c>
      <c r="Q969" s="9">
        <f>O969-P969</f>
        <v/>
      </c>
      <c r="R969" s="9">
        <f>K969*N969</f>
        <v/>
      </c>
      <c r="S969" s="9">
        <f>Q969-R969</f>
        <v/>
      </c>
      <c r="T969" s="10">
        <f>IFERROR(S969/Q969, 0)</f>
        <v/>
      </c>
    </row>
    <row r="970">
      <c r="A970" s="11" t="inlineStr">
        <is>
          <t>ORD-2024-1397</t>
        </is>
      </c>
      <c r="B970" s="11" t="inlineStr">
        <is>
          <t>2024-12-23</t>
        </is>
      </c>
      <c r="C970" s="11" t="inlineStr">
        <is>
          <t>TEC-ACC-007</t>
        </is>
      </c>
      <c r="D970" s="7" t="inlineStr">
        <is>
          <t>ErgoMechanical Wireless Keyboard</t>
        </is>
      </c>
      <c r="E970" s="7" t="inlineStr">
        <is>
          <t>Technology</t>
        </is>
      </c>
      <c r="F970" s="7" t="inlineStr">
        <is>
          <t>Audio &amp; Accessories</t>
        </is>
      </c>
      <c r="G970" s="7" t="inlineStr">
        <is>
          <t>West</t>
        </is>
      </c>
      <c r="H970" s="7" t="inlineStr">
        <is>
          <t>Colorado</t>
        </is>
      </c>
      <c r="I970" s="7" t="inlineStr">
        <is>
          <t>Wholesale</t>
        </is>
      </c>
      <c r="J970" s="7" t="inlineStr">
        <is>
          <t>Corporate</t>
        </is>
      </c>
      <c r="K970" s="12" t="n">
        <v>5</v>
      </c>
      <c r="L970" s="9" t="n">
        <v>109.99</v>
      </c>
      <c r="M970" s="10" t="n">
        <v>0.1</v>
      </c>
      <c r="N970" s="9" t="n">
        <v>65.98999999999999</v>
      </c>
      <c r="O970" s="9">
        <f>K970*L970</f>
        <v/>
      </c>
      <c r="P970" s="9">
        <f>O970*M970</f>
        <v/>
      </c>
      <c r="Q970" s="9">
        <f>O970-P970</f>
        <v/>
      </c>
      <c r="R970" s="9">
        <f>K970*N970</f>
        <v/>
      </c>
      <c r="S970" s="9">
        <f>Q970-R970</f>
        <v/>
      </c>
      <c r="T970" s="10">
        <f>IFERROR(S970/Q970, 0)</f>
        <v/>
      </c>
    </row>
    <row r="971">
      <c r="A971" s="11" t="inlineStr">
        <is>
          <t>ORD-2024-1617</t>
        </is>
      </c>
      <c r="B971" s="11" t="inlineStr">
        <is>
          <t>2024-12-24</t>
        </is>
      </c>
      <c r="C971" s="11" t="inlineStr">
        <is>
          <t>OFF-BIN-005</t>
        </is>
      </c>
      <c r="D971" s="7" t="inlineStr">
        <is>
          <t>Heavy-Duty D-Ring Presentation Binder (6-Pk)</t>
        </is>
      </c>
      <c r="E971" s="7" t="inlineStr">
        <is>
          <t>Office Supplies</t>
        </is>
      </c>
      <c r="F971" s="7" t="inlineStr">
        <is>
          <t>Binders &amp; Fasteners</t>
        </is>
      </c>
      <c r="G971" s="7" t="inlineStr">
        <is>
          <t>East</t>
        </is>
      </c>
      <c r="H971" s="7" t="inlineStr">
        <is>
          <t>Pennsylvania</t>
        </is>
      </c>
      <c r="I971" s="7" t="inlineStr">
        <is>
          <t>Retail Partner</t>
        </is>
      </c>
      <c r="J971" s="7" t="inlineStr">
        <is>
          <t>Consumer</t>
        </is>
      </c>
      <c r="K971" s="12" t="n">
        <v>2</v>
      </c>
      <c r="L971" s="9" t="n">
        <v>27.99</v>
      </c>
      <c r="M971" s="10" t="n">
        <v>0</v>
      </c>
      <c r="N971" s="9" t="n">
        <v>13.99</v>
      </c>
      <c r="O971" s="9">
        <f>K971*L971</f>
        <v/>
      </c>
      <c r="P971" s="9">
        <f>O971*M971</f>
        <v/>
      </c>
      <c r="Q971" s="9">
        <f>O971-P971</f>
        <v/>
      </c>
      <c r="R971" s="9">
        <f>K971*N971</f>
        <v/>
      </c>
      <c r="S971" s="9">
        <f>Q971-R971</f>
        <v/>
      </c>
      <c r="T971" s="10">
        <f>IFERROR(S971/Q971, 0)</f>
        <v/>
      </c>
    </row>
    <row r="972">
      <c r="A972" s="11" t="inlineStr">
        <is>
          <t>ORD-2024-1617</t>
        </is>
      </c>
      <c r="B972" s="11" t="inlineStr">
        <is>
          <t>2024-12-24</t>
        </is>
      </c>
      <c r="C972" s="11" t="inlineStr">
        <is>
          <t>OFF-DSK-008</t>
        </is>
      </c>
      <c r="D972" s="7" t="inlineStr">
        <is>
          <t>Steel Desktop Mesh Organizer Caddy</t>
        </is>
      </c>
      <c r="E972" s="7" t="inlineStr">
        <is>
          <t>Office Supplies</t>
        </is>
      </c>
      <c r="F972" s="7" t="inlineStr">
        <is>
          <t>Desk Supplies</t>
        </is>
      </c>
      <c r="G972" s="7" t="inlineStr">
        <is>
          <t>East</t>
        </is>
      </c>
      <c r="H972" s="7" t="inlineStr">
        <is>
          <t>Pennsylvania</t>
        </is>
      </c>
      <c r="I972" s="7" t="inlineStr">
        <is>
          <t>Retail Partner</t>
        </is>
      </c>
      <c r="J972" s="7" t="inlineStr">
        <is>
          <t>Consumer</t>
        </is>
      </c>
      <c r="K972" s="12" t="n">
        <v>4</v>
      </c>
      <c r="L972" s="9" t="n">
        <v>18.99</v>
      </c>
      <c r="M972" s="10" t="n">
        <v>0.1</v>
      </c>
      <c r="N972" s="9" t="n">
        <v>8.550000000000001</v>
      </c>
      <c r="O972" s="9">
        <f>K972*L972</f>
        <v/>
      </c>
      <c r="P972" s="9">
        <f>O972*M972</f>
        <v/>
      </c>
      <c r="Q972" s="9">
        <f>O972-P972</f>
        <v/>
      </c>
      <c r="R972" s="9">
        <f>K972*N972</f>
        <v/>
      </c>
      <c r="S972" s="9">
        <f>Q972-R972</f>
        <v/>
      </c>
      <c r="T972" s="10">
        <f>IFERROR(S972/Q972, 0)</f>
        <v/>
      </c>
    </row>
    <row r="973">
      <c r="A973" s="11" t="inlineStr">
        <is>
          <t>ORD-2024-1617</t>
        </is>
      </c>
      <c r="B973" s="11" t="inlineStr">
        <is>
          <t>2024-12-24</t>
        </is>
      </c>
      <c r="C973" s="11" t="inlineStr">
        <is>
          <t>TEC-ACC-006</t>
        </is>
      </c>
      <c r="D973" s="7" t="inlineStr">
        <is>
          <t>MultiPort Thunderbolt 4 Dock</t>
        </is>
      </c>
      <c r="E973" s="7" t="inlineStr">
        <is>
          <t>Technology</t>
        </is>
      </c>
      <c r="F973" s="7" t="inlineStr">
        <is>
          <t>Audio &amp; Accessories</t>
        </is>
      </c>
      <c r="G973" s="7" t="inlineStr">
        <is>
          <t>East</t>
        </is>
      </c>
      <c r="H973" s="7" t="inlineStr">
        <is>
          <t>Pennsylvania</t>
        </is>
      </c>
      <c r="I973" s="7" t="inlineStr">
        <is>
          <t>Retail Partner</t>
        </is>
      </c>
      <c r="J973" s="7" t="inlineStr">
        <is>
          <t>Consumer</t>
        </is>
      </c>
      <c r="K973" s="12" t="n">
        <v>2</v>
      </c>
      <c r="L973" s="9" t="n">
        <v>149.99</v>
      </c>
      <c r="M973" s="10" t="n">
        <v>0.1</v>
      </c>
      <c r="N973" s="9" t="n">
        <v>98.98999999999999</v>
      </c>
      <c r="O973" s="9">
        <f>K973*L973</f>
        <v/>
      </c>
      <c r="P973" s="9">
        <f>O973*M973</f>
        <v/>
      </c>
      <c r="Q973" s="9">
        <f>O973-P973</f>
        <v/>
      </c>
      <c r="R973" s="9">
        <f>K973*N973</f>
        <v/>
      </c>
      <c r="S973" s="9">
        <f>Q973-R973</f>
        <v/>
      </c>
      <c r="T973" s="10">
        <f>IFERROR(S973/Q973, 0)</f>
        <v/>
      </c>
    </row>
    <row r="974">
      <c r="A974" s="11" t="inlineStr">
        <is>
          <t>ORD-2024-1617</t>
        </is>
      </c>
      <c r="B974" s="11" t="inlineStr">
        <is>
          <t>2024-12-24</t>
        </is>
      </c>
      <c r="C974" s="11" t="inlineStr">
        <is>
          <t>FUR-CHA-001</t>
        </is>
      </c>
      <c r="D974" s="7" t="inlineStr">
        <is>
          <t>ErgoFlex Executive Mesh Chair</t>
        </is>
      </c>
      <c r="E974" s="7" t="inlineStr">
        <is>
          <t>Furniture</t>
        </is>
      </c>
      <c r="F974" s="7" t="inlineStr">
        <is>
          <t>Chairs</t>
        </is>
      </c>
      <c r="G974" s="7" t="inlineStr">
        <is>
          <t>East</t>
        </is>
      </c>
      <c r="H974" s="7" t="inlineStr">
        <is>
          <t>Pennsylvania</t>
        </is>
      </c>
      <c r="I974" s="7" t="inlineStr">
        <is>
          <t>Retail Partner</t>
        </is>
      </c>
      <c r="J974" s="7" t="inlineStr">
        <is>
          <t>Consumer</t>
        </is>
      </c>
      <c r="K974" s="12" t="n">
        <v>3</v>
      </c>
      <c r="L974" s="9" t="n">
        <v>389.99</v>
      </c>
      <c r="M974" s="10" t="n">
        <v>0.15</v>
      </c>
      <c r="N974" s="9" t="n">
        <v>331.49</v>
      </c>
      <c r="O974" s="9">
        <f>K974*L974</f>
        <v/>
      </c>
      <c r="P974" s="9">
        <f>O974*M974</f>
        <v/>
      </c>
      <c r="Q974" s="9">
        <f>O974-P974</f>
        <v/>
      </c>
      <c r="R974" s="9">
        <f>K974*N974</f>
        <v/>
      </c>
      <c r="S974" s="9">
        <f>Q974-R974</f>
        <v/>
      </c>
      <c r="T974" s="10">
        <f>IFERROR(S974/Q974, 0)</f>
        <v/>
      </c>
    </row>
    <row r="975">
      <c r="A975" s="11" t="inlineStr">
        <is>
          <t>ORD-2024-1675</t>
        </is>
      </c>
      <c r="B975" s="11" t="inlineStr">
        <is>
          <t>2024-12-25</t>
        </is>
      </c>
      <c r="C975" s="11" t="inlineStr">
        <is>
          <t>OFF-PAP-004</t>
        </is>
      </c>
      <c r="D975" s="7" t="inlineStr">
        <is>
          <t>EcoRecycled Copy Paper (5 Reams)</t>
        </is>
      </c>
      <c r="E975" s="7" t="inlineStr">
        <is>
          <t>Office Supplies</t>
        </is>
      </c>
      <c r="F975" s="7" t="inlineStr">
        <is>
          <t>Paper Products</t>
        </is>
      </c>
      <c r="G975" s="7" t="inlineStr">
        <is>
          <t>East</t>
        </is>
      </c>
      <c r="H975" s="7" t="inlineStr">
        <is>
          <t>New Jersey</t>
        </is>
      </c>
      <c r="I975" s="7" t="inlineStr">
        <is>
          <t>Online</t>
        </is>
      </c>
      <c r="J975" s="7" t="inlineStr">
        <is>
          <t>Consumer</t>
        </is>
      </c>
      <c r="K975" s="12" t="n">
        <v>1</v>
      </c>
      <c r="L975" s="9" t="n">
        <v>32.99</v>
      </c>
      <c r="M975" s="10" t="n">
        <v>0.05</v>
      </c>
      <c r="N975" s="9" t="n">
        <v>19.79</v>
      </c>
      <c r="O975" s="9">
        <f>K975*L975</f>
        <v/>
      </c>
      <c r="P975" s="9">
        <f>O975*M975</f>
        <v/>
      </c>
      <c r="Q975" s="9">
        <f>O975-P975</f>
        <v/>
      </c>
      <c r="R975" s="9">
        <f>K975*N975</f>
        <v/>
      </c>
      <c r="S975" s="9">
        <f>Q975-R975</f>
        <v/>
      </c>
      <c r="T975" s="10">
        <f>IFERROR(S975/Q975, 0)</f>
        <v/>
      </c>
    </row>
    <row r="976">
      <c r="A976" s="11" t="inlineStr">
        <is>
          <t>ORD-2024-1720</t>
        </is>
      </c>
      <c r="B976" s="11" t="inlineStr">
        <is>
          <t>2024-12-26</t>
        </is>
      </c>
      <c r="C976" s="11" t="inlineStr">
        <is>
          <t>OFF-STR-002</t>
        </is>
      </c>
      <c r="D976" s="7" t="inlineStr">
        <is>
          <t>Stackable Heavy-Duty Storage Bins (4-Pk)</t>
        </is>
      </c>
      <c r="E976" s="7" t="inlineStr">
        <is>
          <t>Office Supplies</t>
        </is>
      </c>
      <c r="F976" s="7" t="inlineStr">
        <is>
          <t>Storage &amp; Organizers</t>
        </is>
      </c>
      <c r="G976" s="7" t="inlineStr">
        <is>
          <t>Central</t>
        </is>
      </c>
      <c r="H976" s="7" t="inlineStr">
        <is>
          <t>Texas</t>
        </is>
      </c>
      <c r="I976" s="7" t="inlineStr">
        <is>
          <t>Wholesale</t>
        </is>
      </c>
      <c r="J976" s="7" t="inlineStr">
        <is>
          <t>Consumer</t>
        </is>
      </c>
      <c r="K976" s="12" t="n">
        <v>11</v>
      </c>
      <c r="L976" s="9" t="n">
        <v>44.99</v>
      </c>
      <c r="M976" s="10" t="n">
        <v>0.15</v>
      </c>
      <c r="N976" s="9" t="n">
        <v>24.74</v>
      </c>
      <c r="O976" s="9">
        <f>K976*L976</f>
        <v/>
      </c>
      <c r="P976" s="9">
        <f>O976*M976</f>
        <v/>
      </c>
      <c r="Q976" s="9">
        <f>O976-P976</f>
        <v/>
      </c>
      <c r="R976" s="9">
        <f>K976*N976</f>
        <v/>
      </c>
      <c r="S976" s="9">
        <f>Q976-R976</f>
        <v/>
      </c>
      <c r="T976" s="10">
        <f>IFERROR(S976/Q976, 0)</f>
        <v/>
      </c>
    </row>
    <row r="977">
      <c r="A977" s="11" t="inlineStr">
        <is>
          <t>ORD-2024-1720</t>
        </is>
      </c>
      <c r="B977" s="11" t="inlineStr">
        <is>
          <t>2024-12-26</t>
        </is>
      </c>
      <c r="C977" s="11" t="inlineStr">
        <is>
          <t>TEC-TAB-004</t>
        </is>
      </c>
      <c r="D977" s="7" t="inlineStr">
        <is>
          <t>VisionPad Lite 8.5"</t>
        </is>
      </c>
      <c r="E977" s="7" t="inlineStr">
        <is>
          <t>Technology</t>
        </is>
      </c>
      <c r="F977" s="7" t="inlineStr">
        <is>
          <t>Phones &amp; Tablets</t>
        </is>
      </c>
      <c r="G977" s="7" t="inlineStr">
        <is>
          <t>Central</t>
        </is>
      </c>
      <c r="H977" s="7" t="inlineStr">
        <is>
          <t>Texas</t>
        </is>
      </c>
      <c r="I977" s="7" t="inlineStr">
        <is>
          <t>Wholesale</t>
        </is>
      </c>
      <c r="J977" s="7" t="inlineStr">
        <is>
          <t>Consumer</t>
        </is>
      </c>
      <c r="K977" s="12" t="n">
        <v>8</v>
      </c>
      <c r="L977" s="9" t="n">
        <v>299.99</v>
      </c>
      <c r="M977" s="10" t="n">
        <v>0.15</v>
      </c>
      <c r="N977" s="9" t="n">
        <v>245.99</v>
      </c>
      <c r="O977" s="9">
        <f>K977*L977</f>
        <v/>
      </c>
      <c r="P977" s="9">
        <f>O977*M977</f>
        <v/>
      </c>
      <c r="Q977" s="9">
        <f>O977-P977</f>
        <v/>
      </c>
      <c r="R977" s="9">
        <f>K977*N977</f>
        <v/>
      </c>
      <c r="S977" s="9">
        <f>Q977-R977</f>
        <v/>
      </c>
      <c r="T977" s="10">
        <f>IFERROR(S977/Q977, 0)</f>
        <v/>
      </c>
    </row>
    <row r="978">
      <c r="A978" s="11" t="inlineStr">
        <is>
          <t>ORD-2024-1039</t>
        </is>
      </c>
      <c r="B978" s="11" t="inlineStr">
        <is>
          <t>2024-12-27</t>
        </is>
      </c>
      <c r="C978" s="11" t="inlineStr">
        <is>
          <t>OFF-PAP-004</t>
        </is>
      </c>
      <c r="D978" s="7" t="inlineStr">
        <is>
          <t>EcoRecycled Copy Paper (5 Reams)</t>
        </is>
      </c>
      <c r="E978" s="7" t="inlineStr">
        <is>
          <t>Office Supplies</t>
        </is>
      </c>
      <c r="F978" s="7" t="inlineStr">
        <is>
          <t>Paper Products</t>
        </is>
      </c>
      <c r="G978" s="7" t="inlineStr">
        <is>
          <t>East</t>
        </is>
      </c>
      <c r="H978" s="7" t="inlineStr">
        <is>
          <t>New York</t>
        </is>
      </c>
      <c r="I978" s="7" t="inlineStr">
        <is>
          <t>Wholesale</t>
        </is>
      </c>
      <c r="J978" s="7" t="inlineStr">
        <is>
          <t>Home Office</t>
        </is>
      </c>
      <c r="K978" s="12" t="n">
        <v>7</v>
      </c>
      <c r="L978" s="9" t="n">
        <v>32.99</v>
      </c>
      <c r="M978" s="10" t="n">
        <v>0.1</v>
      </c>
      <c r="N978" s="9" t="n">
        <v>19.79</v>
      </c>
      <c r="O978" s="9">
        <f>K978*L978</f>
        <v/>
      </c>
      <c r="P978" s="9">
        <f>O978*M978</f>
        <v/>
      </c>
      <c r="Q978" s="9">
        <f>O978-P978</f>
        <v/>
      </c>
      <c r="R978" s="9">
        <f>K978*N978</f>
        <v/>
      </c>
      <c r="S978" s="9">
        <f>Q978-R978</f>
        <v/>
      </c>
      <c r="T978" s="10">
        <f>IFERROR(S978/Q978, 0)</f>
        <v/>
      </c>
    </row>
    <row r="979">
      <c r="A979" s="11" t="inlineStr">
        <is>
          <t>ORD-2024-1039</t>
        </is>
      </c>
      <c r="B979" s="11" t="inlineStr">
        <is>
          <t>2024-12-27</t>
        </is>
      </c>
      <c r="C979" s="11" t="inlineStr">
        <is>
          <t>TEC-ACC-005</t>
        </is>
      </c>
      <c r="D979" s="7" t="inlineStr">
        <is>
          <t>UltraWireless Noise-Canceling Headset</t>
        </is>
      </c>
      <c r="E979" s="7" t="inlineStr">
        <is>
          <t>Technology</t>
        </is>
      </c>
      <c r="F979" s="7" t="inlineStr">
        <is>
          <t>Audio &amp; Accessories</t>
        </is>
      </c>
      <c r="G979" s="7" t="inlineStr">
        <is>
          <t>East</t>
        </is>
      </c>
      <c r="H979" s="7" t="inlineStr">
        <is>
          <t>New York</t>
        </is>
      </c>
      <c r="I979" s="7" t="inlineStr">
        <is>
          <t>Wholesale</t>
        </is>
      </c>
      <c r="J979" s="7" t="inlineStr">
        <is>
          <t>Home Office</t>
        </is>
      </c>
      <c r="K979" s="12" t="n">
        <v>15</v>
      </c>
      <c r="L979" s="9" t="n">
        <v>179.99</v>
      </c>
      <c r="M979" s="10" t="n">
        <v>0.1</v>
      </c>
      <c r="N979" s="9" t="n">
        <v>111.59</v>
      </c>
      <c r="O979" s="9">
        <f>K979*L979</f>
        <v/>
      </c>
      <c r="P979" s="9">
        <f>O979*M979</f>
        <v/>
      </c>
      <c r="Q979" s="9">
        <f>O979-P979</f>
        <v/>
      </c>
      <c r="R979" s="9">
        <f>K979*N979</f>
        <v/>
      </c>
      <c r="S979" s="9">
        <f>Q979-R979</f>
        <v/>
      </c>
      <c r="T979" s="10">
        <f>IFERROR(S979/Q979, 0)</f>
        <v/>
      </c>
    </row>
    <row r="980">
      <c r="A980" s="11" t="inlineStr">
        <is>
          <t>ORD-2024-1120</t>
        </is>
      </c>
      <c r="B980" s="11" t="inlineStr">
        <is>
          <t>2024-12-27</t>
        </is>
      </c>
      <c r="C980" s="11" t="inlineStr">
        <is>
          <t>TEC-ACC-006</t>
        </is>
      </c>
      <c r="D980" s="7" t="inlineStr">
        <is>
          <t>MultiPort Thunderbolt 4 Dock</t>
        </is>
      </c>
      <c r="E980" s="7" t="inlineStr">
        <is>
          <t>Technology</t>
        </is>
      </c>
      <c r="F980" s="7" t="inlineStr">
        <is>
          <t>Audio &amp; Accessories</t>
        </is>
      </c>
      <c r="G980" s="7" t="inlineStr">
        <is>
          <t>East</t>
        </is>
      </c>
      <c r="H980" s="7" t="inlineStr">
        <is>
          <t>New Jersey</t>
        </is>
      </c>
      <c r="I980" s="7" t="inlineStr">
        <is>
          <t>Retail Partner</t>
        </is>
      </c>
      <c r="J980" s="7" t="inlineStr">
        <is>
          <t>Consumer</t>
        </is>
      </c>
      <c r="K980" s="12" t="n">
        <v>4</v>
      </c>
      <c r="L980" s="9" t="n">
        <v>149.99</v>
      </c>
      <c r="M980" s="10" t="n">
        <v>0</v>
      </c>
      <c r="N980" s="9" t="n">
        <v>98.98999999999999</v>
      </c>
      <c r="O980" s="9">
        <f>K980*L980</f>
        <v/>
      </c>
      <c r="P980" s="9">
        <f>O980*M980</f>
        <v/>
      </c>
      <c r="Q980" s="9">
        <f>O980-P980</f>
        <v/>
      </c>
      <c r="R980" s="9">
        <f>K980*N980</f>
        <v/>
      </c>
      <c r="S980" s="9">
        <f>Q980-R980</f>
        <v/>
      </c>
      <c r="T980" s="10">
        <f>IFERROR(S980/Q980, 0)</f>
        <v/>
      </c>
    </row>
    <row r="981">
      <c r="A981" s="11" t="inlineStr">
        <is>
          <t>ORD-2024-1120</t>
        </is>
      </c>
      <c r="B981" s="11" t="inlineStr">
        <is>
          <t>2024-12-27</t>
        </is>
      </c>
      <c r="C981" s="11" t="inlineStr">
        <is>
          <t>OFF-STR-001</t>
        </is>
      </c>
      <c r="D981" s="7" t="inlineStr">
        <is>
          <t>SteelLock 3-Drawer File Cabinet</t>
        </is>
      </c>
      <c r="E981" s="7" t="inlineStr">
        <is>
          <t>Office Supplies</t>
        </is>
      </c>
      <c r="F981" s="7" t="inlineStr">
        <is>
          <t>Storage &amp; Organizers</t>
        </is>
      </c>
      <c r="G981" s="7" t="inlineStr">
        <is>
          <t>East</t>
        </is>
      </c>
      <c r="H981" s="7" t="inlineStr">
        <is>
          <t>New Jersey</t>
        </is>
      </c>
      <c r="I981" s="7" t="inlineStr">
        <is>
          <t>Retail Partner</t>
        </is>
      </c>
      <c r="J981" s="7" t="inlineStr">
        <is>
          <t>Consumer</t>
        </is>
      </c>
      <c r="K981" s="12" t="n">
        <v>3</v>
      </c>
      <c r="L981" s="9" t="n">
        <v>169.99</v>
      </c>
      <c r="M981" s="10" t="n">
        <v>0.05</v>
      </c>
      <c r="N981" s="9" t="n">
        <v>115.59</v>
      </c>
      <c r="O981" s="9">
        <f>K981*L981</f>
        <v/>
      </c>
      <c r="P981" s="9">
        <f>O981*M981</f>
        <v/>
      </c>
      <c r="Q981" s="9">
        <f>O981-P981</f>
        <v/>
      </c>
      <c r="R981" s="9">
        <f>K981*N981</f>
        <v/>
      </c>
      <c r="S981" s="9">
        <f>Q981-R981</f>
        <v/>
      </c>
      <c r="T981" s="10">
        <f>IFERROR(S981/Q981, 0)</f>
        <v/>
      </c>
    </row>
    <row r="982">
      <c r="A982" s="11" t="inlineStr">
        <is>
          <t>ORD-2024-1583</t>
        </is>
      </c>
      <c r="B982" s="11" t="inlineStr">
        <is>
          <t>2024-12-27</t>
        </is>
      </c>
      <c r="C982" s="11" t="inlineStr">
        <is>
          <t>TEC-ACC-006</t>
        </is>
      </c>
      <c r="D982" s="7" t="inlineStr">
        <is>
          <t>MultiPort Thunderbolt 4 Dock</t>
        </is>
      </c>
      <c r="E982" s="7" t="inlineStr">
        <is>
          <t>Technology</t>
        </is>
      </c>
      <c r="F982" s="7" t="inlineStr">
        <is>
          <t>Audio &amp; Accessories</t>
        </is>
      </c>
      <c r="G982" s="7" t="inlineStr">
        <is>
          <t>West</t>
        </is>
      </c>
      <c r="H982" s="7" t="inlineStr">
        <is>
          <t>Colorado</t>
        </is>
      </c>
      <c r="I982" s="7" t="inlineStr">
        <is>
          <t>Retail Partner</t>
        </is>
      </c>
      <c r="J982" s="7" t="inlineStr">
        <is>
          <t>Corporate</t>
        </is>
      </c>
      <c r="K982" s="12" t="n">
        <v>2</v>
      </c>
      <c r="L982" s="9" t="n">
        <v>149.99</v>
      </c>
      <c r="M982" s="10" t="n">
        <v>0.2</v>
      </c>
      <c r="N982" s="9" t="n">
        <v>98.98999999999999</v>
      </c>
      <c r="O982" s="9">
        <f>K982*L982</f>
        <v/>
      </c>
      <c r="P982" s="9">
        <f>O982*M982</f>
        <v/>
      </c>
      <c r="Q982" s="9">
        <f>O982-P982</f>
        <v/>
      </c>
      <c r="R982" s="9">
        <f>K982*N982</f>
        <v/>
      </c>
      <c r="S982" s="9">
        <f>Q982-R982</f>
        <v/>
      </c>
      <c r="T982" s="10">
        <f>IFERROR(S982/Q982, 0)</f>
        <v/>
      </c>
    </row>
    <row r="983">
      <c r="A983" s="11" t="inlineStr">
        <is>
          <t>ORD-2024-1064</t>
        </is>
      </c>
      <c r="B983" s="11" t="inlineStr">
        <is>
          <t>2024-12-28</t>
        </is>
      </c>
      <c r="C983" s="11" t="inlineStr">
        <is>
          <t>TEC-TAB-003</t>
        </is>
      </c>
      <c r="D983" s="7" t="inlineStr">
        <is>
          <t>VisionPad Pro 11"</t>
        </is>
      </c>
      <c r="E983" s="7" t="inlineStr">
        <is>
          <t>Technology</t>
        </is>
      </c>
      <c r="F983" s="7" t="inlineStr">
        <is>
          <t>Phones &amp; Tablets</t>
        </is>
      </c>
      <c r="G983" s="7" t="inlineStr">
        <is>
          <t>West</t>
        </is>
      </c>
      <c r="H983" s="7" t="inlineStr">
        <is>
          <t>Washington</t>
        </is>
      </c>
      <c r="I983" s="7" t="inlineStr">
        <is>
          <t>Online</t>
        </is>
      </c>
      <c r="J983" s="7" t="inlineStr">
        <is>
          <t>Home Office</t>
        </is>
      </c>
      <c r="K983" s="12" t="n">
        <v>1</v>
      </c>
      <c r="L983" s="9" t="n">
        <v>649.99</v>
      </c>
      <c r="M983" s="10" t="n">
        <v>0.05</v>
      </c>
      <c r="N983" s="9" t="n">
        <v>487.49</v>
      </c>
      <c r="O983" s="9">
        <f>K983*L983</f>
        <v/>
      </c>
      <c r="P983" s="9">
        <f>O983*M983</f>
        <v/>
      </c>
      <c r="Q983" s="9">
        <f>O983-P983</f>
        <v/>
      </c>
      <c r="R983" s="9">
        <f>K983*N983</f>
        <v/>
      </c>
      <c r="S983" s="9">
        <f>Q983-R983</f>
        <v/>
      </c>
      <c r="T983" s="10">
        <f>IFERROR(S983/Q983, 0)</f>
        <v/>
      </c>
    </row>
    <row r="984">
      <c r="A984" s="11" t="inlineStr">
        <is>
          <t>ORD-2024-1064</t>
        </is>
      </c>
      <c r="B984" s="11" t="inlineStr">
        <is>
          <t>2024-12-28</t>
        </is>
      </c>
      <c r="C984" s="11" t="inlineStr">
        <is>
          <t>OFF-DSK-008</t>
        </is>
      </c>
      <c r="D984" s="7" t="inlineStr">
        <is>
          <t>Steel Desktop Mesh Organizer Caddy</t>
        </is>
      </c>
      <c r="E984" s="7" t="inlineStr">
        <is>
          <t>Office Supplies</t>
        </is>
      </c>
      <c r="F984" s="7" t="inlineStr">
        <is>
          <t>Desk Supplies</t>
        </is>
      </c>
      <c r="G984" s="7" t="inlineStr">
        <is>
          <t>West</t>
        </is>
      </c>
      <c r="H984" s="7" t="inlineStr">
        <is>
          <t>Washington</t>
        </is>
      </c>
      <c r="I984" s="7" t="inlineStr">
        <is>
          <t>Online</t>
        </is>
      </c>
      <c r="J984" s="7" t="inlineStr">
        <is>
          <t>Home Office</t>
        </is>
      </c>
      <c r="K984" s="12" t="n">
        <v>2</v>
      </c>
      <c r="L984" s="9" t="n">
        <v>18.99</v>
      </c>
      <c r="M984" s="10" t="n">
        <v>0.1</v>
      </c>
      <c r="N984" s="9" t="n">
        <v>8.550000000000001</v>
      </c>
      <c r="O984" s="9">
        <f>K984*L984</f>
        <v/>
      </c>
      <c r="P984" s="9">
        <f>O984*M984</f>
        <v/>
      </c>
      <c r="Q984" s="9">
        <f>O984-P984</f>
        <v/>
      </c>
      <c r="R984" s="9">
        <f>K984*N984</f>
        <v/>
      </c>
      <c r="S984" s="9">
        <f>Q984-R984</f>
        <v/>
      </c>
      <c r="T984" s="10">
        <f>IFERROR(S984/Q984, 0)</f>
        <v/>
      </c>
    </row>
    <row r="985">
      <c r="A985" s="11" t="inlineStr">
        <is>
          <t>ORD-2024-1064</t>
        </is>
      </c>
      <c r="B985" s="11" t="inlineStr">
        <is>
          <t>2024-12-28</t>
        </is>
      </c>
      <c r="C985" s="11" t="inlineStr">
        <is>
          <t>FUR-BOK-005</t>
        </is>
      </c>
      <c r="D985" s="7" t="inlineStr">
        <is>
          <t>Modular 5-Tier Steel Bookcase</t>
        </is>
      </c>
      <c r="E985" s="7" t="inlineStr">
        <is>
          <t>Furniture</t>
        </is>
      </c>
      <c r="F985" s="7" t="inlineStr">
        <is>
          <t>Bookcases</t>
        </is>
      </c>
      <c r="G985" s="7" t="inlineStr">
        <is>
          <t>West</t>
        </is>
      </c>
      <c r="H985" s="7" t="inlineStr">
        <is>
          <t>Washington</t>
        </is>
      </c>
      <c r="I985" s="7" t="inlineStr">
        <is>
          <t>Online</t>
        </is>
      </c>
      <c r="J985" s="7" t="inlineStr">
        <is>
          <t>Home Office</t>
        </is>
      </c>
      <c r="K985" s="12" t="n">
        <v>1</v>
      </c>
      <c r="L985" s="9" t="n">
        <v>189.99</v>
      </c>
      <c r="M985" s="10" t="n">
        <v>0.05</v>
      </c>
      <c r="N985" s="9" t="n">
        <v>142.49</v>
      </c>
      <c r="O985" s="9">
        <f>K985*L985</f>
        <v/>
      </c>
      <c r="P985" s="9">
        <f>O985*M985</f>
        <v/>
      </c>
      <c r="Q985" s="9">
        <f>O985-P985</f>
        <v/>
      </c>
      <c r="R985" s="9">
        <f>K985*N985</f>
        <v/>
      </c>
      <c r="S985" s="9">
        <f>Q985-R985</f>
        <v/>
      </c>
      <c r="T985" s="10">
        <f>IFERROR(S985/Q985, 0)</f>
        <v/>
      </c>
    </row>
    <row r="986">
      <c r="A986" s="11" t="inlineStr">
        <is>
          <t>ORD-2024-1231</t>
        </is>
      </c>
      <c r="B986" s="11" t="inlineStr">
        <is>
          <t>2024-12-28</t>
        </is>
      </c>
      <c r="C986" s="11" t="inlineStr">
        <is>
          <t>OFF-DSK-008</t>
        </is>
      </c>
      <c r="D986" s="7" t="inlineStr">
        <is>
          <t>Steel Desktop Mesh Organizer Caddy</t>
        </is>
      </c>
      <c r="E986" s="7" t="inlineStr">
        <is>
          <t>Office Supplies</t>
        </is>
      </c>
      <c r="F986" s="7" t="inlineStr">
        <is>
          <t>Desk Supplies</t>
        </is>
      </c>
      <c r="G986" s="7" t="inlineStr">
        <is>
          <t>East</t>
        </is>
      </c>
      <c r="H986" s="7" t="inlineStr">
        <is>
          <t>Massachusetts</t>
        </is>
      </c>
      <c r="I986" s="7" t="inlineStr">
        <is>
          <t>Online</t>
        </is>
      </c>
      <c r="J986" s="7" t="inlineStr">
        <is>
          <t>Corporate</t>
        </is>
      </c>
      <c r="K986" s="12" t="n">
        <v>8</v>
      </c>
      <c r="L986" s="9" t="n">
        <v>18.99</v>
      </c>
      <c r="M986" s="10" t="n">
        <v>0.1</v>
      </c>
      <c r="N986" s="9" t="n">
        <v>8.550000000000001</v>
      </c>
      <c r="O986" s="9">
        <f>K986*L986</f>
        <v/>
      </c>
      <c r="P986" s="9">
        <f>O986*M986</f>
        <v/>
      </c>
      <c r="Q986" s="9">
        <f>O986-P986</f>
        <v/>
      </c>
      <c r="R986" s="9">
        <f>K986*N986</f>
        <v/>
      </c>
      <c r="S986" s="9">
        <f>Q986-R986</f>
        <v/>
      </c>
      <c r="T986" s="10">
        <f>IFERROR(S986/Q986, 0)</f>
        <v/>
      </c>
    </row>
    <row r="987">
      <c r="A987" s="11" t="inlineStr">
        <is>
          <t>ORD-2024-1231</t>
        </is>
      </c>
      <c r="B987" s="11" t="inlineStr">
        <is>
          <t>2024-12-28</t>
        </is>
      </c>
      <c r="C987" s="11" t="inlineStr">
        <is>
          <t>OFF-PAP-004</t>
        </is>
      </c>
      <c r="D987" s="7" t="inlineStr">
        <is>
          <t>EcoRecycled Copy Paper (5 Reams)</t>
        </is>
      </c>
      <c r="E987" s="7" t="inlineStr">
        <is>
          <t>Office Supplies</t>
        </is>
      </c>
      <c r="F987" s="7" t="inlineStr">
        <is>
          <t>Paper Products</t>
        </is>
      </c>
      <c r="G987" s="7" t="inlineStr">
        <is>
          <t>East</t>
        </is>
      </c>
      <c r="H987" s="7" t="inlineStr">
        <is>
          <t>Massachusetts</t>
        </is>
      </c>
      <c r="I987" s="7" t="inlineStr">
        <is>
          <t>Online</t>
        </is>
      </c>
      <c r="J987" s="7" t="inlineStr">
        <is>
          <t>Corporate</t>
        </is>
      </c>
      <c r="K987" s="12" t="n">
        <v>5</v>
      </c>
      <c r="L987" s="9" t="n">
        <v>32.99</v>
      </c>
      <c r="M987" s="10" t="n">
        <v>0.1</v>
      </c>
      <c r="N987" s="9" t="n">
        <v>19.79</v>
      </c>
      <c r="O987" s="9">
        <f>K987*L987</f>
        <v/>
      </c>
      <c r="P987" s="9">
        <f>O987*M987</f>
        <v/>
      </c>
      <c r="Q987" s="9">
        <f>O987-P987</f>
        <v/>
      </c>
      <c r="R987" s="9">
        <f>K987*N987</f>
        <v/>
      </c>
      <c r="S987" s="9">
        <f>Q987-R987</f>
        <v/>
      </c>
      <c r="T987" s="10">
        <f>IFERROR(S987/Q987, 0)</f>
        <v/>
      </c>
    </row>
    <row r="988">
      <c r="A988" s="11" t="inlineStr">
        <is>
          <t>ORD-2024-1291</t>
        </is>
      </c>
      <c r="B988" s="11" t="inlineStr">
        <is>
          <t>2024-12-28</t>
        </is>
      </c>
      <c r="C988" s="11" t="inlineStr">
        <is>
          <t>FUR-LGT-006</t>
        </is>
      </c>
      <c r="D988" s="7" t="inlineStr">
        <is>
          <t>Architect LED Desk Task Lamp</t>
        </is>
      </c>
      <c r="E988" s="7" t="inlineStr">
        <is>
          <t>Furniture</t>
        </is>
      </c>
      <c r="F988" s="7" t="inlineStr">
        <is>
          <t>Lighting</t>
        </is>
      </c>
      <c r="G988" s="7" t="inlineStr">
        <is>
          <t>West</t>
        </is>
      </c>
      <c r="H988" s="7" t="inlineStr">
        <is>
          <t>Colorado</t>
        </is>
      </c>
      <c r="I988" s="7" t="inlineStr">
        <is>
          <t>Retail Partner</t>
        </is>
      </c>
      <c r="J988" s="7" t="inlineStr">
        <is>
          <t>Corporate</t>
        </is>
      </c>
      <c r="K988" s="12" t="n">
        <v>7</v>
      </c>
      <c r="L988" s="9" t="n">
        <v>69.98999999999999</v>
      </c>
      <c r="M988" s="10" t="n">
        <v>0.1</v>
      </c>
      <c r="N988" s="9" t="n">
        <v>43.39</v>
      </c>
      <c r="O988" s="9">
        <f>K988*L988</f>
        <v/>
      </c>
      <c r="P988" s="9">
        <f>O988*M988</f>
        <v/>
      </c>
      <c r="Q988" s="9">
        <f>O988-P988</f>
        <v/>
      </c>
      <c r="R988" s="9">
        <f>K988*N988</f>
        <v/>
      </c>
      <c r="S988" s="9">
        <f>Q988-R988</f>
        <v/>
      </c>
      <c r="T988" s="10">
        <f>IFERROR(S988/Q988, 0)</f>
        <v/>
      </c>
    </row>
    <row r="989">
      <c r="A989" s="11" t="inlineStr">
        <is>
          <t>ORD-2024-1291</t>
        </is>
      </c>
      <c r="B989" s="11" t="inlineStr">
        <is>
          <t>2024-12-28</t>
        </is>
      </c>
      <c r="C989" s="11" t="inlineStr">
        <is>
          <t>TEC-TAB-004</t>
        </is>
      </c>
      <c r="D989" s="7" t="inlineStr">
        <is>
          <t>VisionPad Lite 8.5"</t>
        </is>
      </c>
      <c r="E989" s="7" t="inlineStr">
        <is>
          <t>Technology</t>
        </is>
      </c>
      <c r="F989" s="7" t="inlineStr">
        <is>
          <t>Phones &amp; Tablets</t>
        </is>
      </c>
      <c r="G989" s="7" t="inlineStr">
        <is>
          <t>West</t>
        </is>
      </c>
      <c r="H989" s="7" t="inlineStr">
        <is>
          <t>Colorado</t>
        </is>
      </c>
      <c r="I989" s="7" t="inlineStr">
        <is>
          <t>Retail Partner</t>
        </is>
      </c>
      <c r="J989" s="7" t="inlineStr">
        <is>
          <t>Corporate</t>
        </is>
      </c>
      <c r="K989" s="12" t="n">
        <v>5</v>
      </c>
      <c r="L989" s="9" t="n">
        <v>299.99</v>
      </c>
      <c r="M989" s="10" t="n">
        <v>0.1</v>
      </c>
      <c r="N989" s="9" t="n">
        <v>245.99</v>
      </c>
      <c r="O989" s="9">
        <f>K989*L989</f>
        <v/>
      </c>
      <c r="P989" s="9">
        <f>O989*M989</f>
        <v/>
      </c>
      <c r="Q989" s="9">
        <f>O989-P989</f>
        <v/>
      </c>
      <c r="R989" s="9">
        <f>K989*N989</f>
        <v/>
      </c>
      <c r="S989" s="9">
        <f>Q989-R989</f>
        <v/>
      </c>
      <c r="T989" s="10">
        <f>IFERROR(S989/Q989, 0)</f>
        <v/>
      </c>
    </row>
    <row r="990">
      <c r="A990" s="11" t="inlineStr">
        <is>
          <t>ORD-2024-1330</t>
        </is>
      </c>
      <c r="B990" s="11" t="inlineStr">
        <is>
          <t>2024-12-28</t>
        </is>
      </c>
      <c r="C990" s="11" t="inlineStr">
        <is>
          <t>TEC-ACC-008</t>
        </is>
      </c>
      <c r="D990" s="7" t="inlineStr">
        <is>
          <t>Precision Laser Bluetooth Mouse</t>
        </is>
      </c>
      <c r="E990" s="7" t="inlineStr">
        <is>
          <t>Technology</t>
        </is>
      </c>
      <c r="F990" s="7" t="inlineStr">
        <is>
          <t>Audio &amp; Accessories</t>
        </is>
      </c>
      <c r="G990" s="7" t="inlineStr">
        <is>
          <t>West</t>
        </is>
      </c>
      <c r="H990" s="7" t="inlineStr">
        <is>
          <t>California</t>
        </is>
      </c>
      <c r="I990" s="7" t="inlineStr">
        <is>
          <t>Wholesale</t>
        </is>
      </c>
      <c r="J990" s="7" t="inlineStr">
        <is>
          <t>Consumer</t>
        </is>
      </c>
      <c r="K990" s="12" t="n">
        <v>11</v>
      </c>
      <c r="L990" s="9" t="n">
        <v>49.99</v>
      </c>
      <c r="M990" s="10" t="n">
        <v>0.1</v>
      </c>
      <c r="N990" s="9" t="n">
        <v>27.49</v>
      </c>
      <c r="O990" s="9">
        <f>K990*L990</f>
        <v/>
      </c>
      <c r="P990" s="9">
        <f>O990*M990</f>
        <v/>
      </c>
      <c r="Q990" s="9">
        <f>O990-P990</f>
        <v/>
      </c>
      <c r="R990" s="9">
        <f>K990*N990</f>
        <v/>
      </c>
      <c r="S990" s="9">
        <f>Q990-R990</f>
        <v/>
      </c>
      <c r="T990" s="10">
        <f>IFERROR(S990/Q990, 0)</f>
        <v/>
      </c>
    </row>
    <row r="991">
      <c r="A991" s="11" t="inlineStr">
        <is>
          <t>ORD-2024-1401</t>
        </is>
      </c>
      <c r="B991" s="11" t="inlineStr">
        <is>
          <t>2024-12-28</t>
        </is>
      </c>
      <c r="C991" s="11" t="inlineStr">
        <is>
          <t>OFF-DSK-007</t>
        </is>
      </c>
      <c r="D991" s="7" t="inlineStr">
        <is>
          <t>Gel Ergo Mouse Pad &amp; Wrist Rest Combo</t>
        </is>
      </c>
      <c r="E991" s="7" t="inlineStr">
        <is>
          <t>Office Supplies</t>
        </is>
      </c>
      <c r="F991" s="7" t="inlineStr">
        <is>
          <t>Desk Supplies</t>
        </is>
      </c>
      <c r="G991" s="7" t="inlineStr">
        <is>
          <t>West</t>
        </is>
      </c>
      <c r="H991" s="7" t="inlineStr">
        <is>
          <t>California</t>
        </is>
      </c>
      <c r="I991" s="7" t="inlineStr">
        <is>
          <t>Wholesale</t>
        </is>
      </c>
      <c r="J991" s="7" t="inlineStr">
        <is>
          <t>Corporate</t>
        </is>
      </c>
      <c r="K991" s="12" t="n">
        <v>10</v>
      </c>
      <c r="L991" s="9" t="n">
        <v>21.99</v>
      </c>
      <c r="M991" s="10" t="n">
        <v>0.1</v>
      </c>
      <c r="N991" s="9" t="n">
        <v>10.56</v>
      </c>
      <c r="O991" s="9">
        <f>K991*L991</f>
        <v/>
      </c>
      <c r="P991" s="9">
        <f>O991*M991</f>
        <v/>
      </c>
      <c r="Q991" s="9">
        <f>O991-P991</f>
        <v/>
      </c>
      <c r="R991" s="9">
        <f>K991*N991</f>
        <v/>
      </c>
      <c r="S991" s="9">
        <f>Q991-R991</f>
        <v/>
      </c>
      <c r="T991" s="10">
        <f>IFERROR(S991/Q991, 0)</f>
        <v/>
      </c>
    </row>
    <row r="992">
      <c r="A992" s="11" t="inlineStr">
        <is>
          <t>ORD-2024-1024</t>
        </is>
      </c>
      <c r="B992" s="11" t="inlineStr">
        <is>
          <t>2024-12-29</t>
        </is>
      </c>
      <c r="C992" s="11" t="inlineStr">
        <is>
          <t>FUR-DSK-004</t>
        </is>
      </c>
      <c r="D992" s="7" t="inlineStr">
        <is>
          <t>Metro Compact Corner Workstation</t>
        </is>
      </c>
      <c r="E992" s="7" t="inlineStr">
        <is>
          <t>Furniture</t>
        </is>
      </c>
      <c r="F992" s="7" t="inlineStr">
        <is>
          <t>Desks &amp; Workstations</t>
        </is>
      </c>
      <c r="G992" s="7" t="inlineStr">
        <is>
          <t>West</t>
        </is>
      </c>
      <c r="H992" s="7" t="inlineStr">
        <is>
          <t>Colorado</t>
        </is>
      </c>
      <c r="I992" s="7" t="inlineStr">
        <is>
          <t>Online</t>
        </is>
      </c>
      <c r="J992" s="7" t="inlineStr">
        <is>
          <t>Corporate</t>
        </is>
      </c>
      <c r="K992" s="12" t="n">
        <v>3</v>
      </c>
      <c r="L992" s="9" t="n">
        <v>329.99</v>
      </c>
      <c r="M992" s="10" t="n">
        <v>0</v>
      </c>
      <c r="N992" s="9" t="n">
        <v>250.79</v>
      </c>
      <c r="O992" s="9">
        <f>K992*L992</f>
        <v/>
      </c>
      <c r="P992" s="9">
        <f>O992*M992</f>
        <v/>
      </c>
      <c r="Q992" s="9">
        <f>O992-P992</f>
        <v/>
      </c>
      <c r="R992" s="9">
        <f>K992*N992</f>
        <v/>
      </c>
      <c r="S992" s="9">
        <f>Q992-R992</f>
        <v/>
      </c>
      <c r="T992" s="10">
        <f>IFERROR(S992/Q992, 0)</f>
        <v/>
      </c>
    </row>
    <row r="993">
      <c r="A993" s="11" t="inlineStr">
        <is>
          <t>ORD-2024-1024</t>
        </is>
      </c>
      <c r="B993" s="11" t="inlineStr">
        <is>
          <t>2024-12-29</t>
        </is>
      </c>
      <c r="C993" s="11" t="inlineStr">
        <is>
          <t>TEC-ACC-005</t>
        </is>
      </c>
      <c r="D993" s="7" t="inlineStr">
        <is>
          <t>UltraWireless Noise-Canceling Headset</t>
        </is>
      </c>
      <c r="E993" s="7" t="inlineStr">
        <is>
          <t>Technology</t>
        </is>
      </c>
      <c r="F993" s="7" t="inlineStr">
        <is>
          <t>Audio &amp; Accessories</t>
        </is>
      </c>
      <c r="G993" s="7" t="inlineStr">
        <is>
          <t>West</t>
        </is>
      </c>
      <c r="H993" s="7" t="inlineStr">
        <is>
          <t>Colorado</t>
        </is>
      </c>
      <c r="I993" s="7" t="inlineStr">
        <is>
          <t>Online</t>
        </is>
      </c>
      <c r="J993" s="7" t="inlineStr">
        <is>
          <t>Corporate</t>
        </is>
      </c>
      <c r="K993" s="12" t="n">
        <v>6</v>
      </c>
      <c r="L993" s="9" t="n">
        <v>179.99</v>
      </c>
      <c r="M993" s="10" t="n">
        <v>0.1</v>
      </c>
      <c r="N993" s="9" t="n">
        <v>111.59</v>
      </c>
      <c r="O993" s="9">
        <f>K993*L993</f>
        <v/>
      </c>
      <c r="P993" s="9">
        <f>O993*M993</f>
        <v/>
      </c>
      <c r="Q993" s="9">
        <f>O993-P993</f>
        <v/>
      </c>
      <c r="R993" s="9">
        <f>K993*N993</f>
        <v/>
      </c>
      <c r="S993" s="9">
        <f>Q993-R993</f>
        <v/>
      </c>
      <c r="T993" s="10">
        <f>IFERROR(S993/Q993, 0)</f>
        <v/>
      </c>
    </row>
    <row r="994">
      <c r="A994" s="11" t="inlineStr">
        <is>
          <t>ORD-2024-1024</t>
        </is>
      </c>
      <c r="B994" s="11" t="inlineStr">
        <is>
          <t>2024-12-29</t>
        </is>
      </c>
      <c r="C994" s="11" t="inlineStr">
        <is>
          <t>OFF-STR-002</t>
        </is>
      </c>
      <c r="D994" s="7" t="inlineStr">
        <is>
          <t>Stackable Heavy-Duty Storage Bins (4-Pk)</t>
        </is>
      </c>
      <c r="E994" s="7" t="inlineStr">
        <is>
          <t>Office Supplies</t>
        </is>
      </c>
      <c r="F994" s="7" t="inlineStr">
        <is>
          <t>Storage &amp; Organizers</t>
        </is>
      </c>
      <c r="G994" s="7" t="inlineStr">
        <is>
          <t>West</t>
        </is>
      </c>
      <c r="H994" s="7" t="inlineStr">
        <is>
          <t>Colorado</t>
        </is>
      </c>
      <c r="I994" s="7" t="inlineStr">
        <is>
          <t>Online</t>
        </is>
      </c>
      <c r="J994" s="7" t="inlineStr">
        <is>
          <t>Corporate</t>
        </is>
      </c>
      <c r="K994" s="12" t="n">
        <v>2</v>
      </c>
      <c r="L994" s="9" t="n">
        <v>44.99</v>
      </c>
      <c r="M994" s="10" t="n">
        <v>0.1</v>
      </c>
      <c r="N994" s="9" t="n">
        <v>24.74</v>
      </c>
      <c r="O994" s="9">
        <f>K994*L994</f>
        <v/>
      </c>
      <c r="P994" s="9">
        <f>O994*M994</f>
        <v/>
      </c>
      <c r="Q994" s="9">
        <f>O994-P994</f>
        <v/>
      </c>
      <c r="R994" s="9">
        <f>K994*N994</f>
        <v/>
      </c>
      <c r="S994" s="9">
        <f>Q994-R994</f>
        <v/>
      </c>
      <c r="T994" s="10">
        <f>IFERROR(S994/Q994, 0)</f>
        <v/>
      </c>
    </row>
    <row r="995">
      <c r="A995" s="11" t="inlineStr">
        <is>
          <t>ORD-2024-1024</t>
        </is>
      </c>
      <c r="B995" s="11" t="inlineStr">
        <is>
          <t>2024-12-29</t>
        </is>
      </c>
      <c r="C995" s="11" t="inlineStr">
        <is>
          <t>TEC-LAP-002</t>
        </is>
      </c>
      <c r="D995" s="7" t="inlineStr">
        <is>
          <t>Apex Gaming Laptop 17"</t>
        </is>
      </c>
      <c r="E995" s="7" t="inlineStr">
        <is>
          <t>Technology</t>
        </is>
      </c>
      <c r="F995" s="7" t="inlineStr">
        <is>
          <t>Laptops</t>
        </is>
      </c>
      <c r="G995" s="7" t="inlineStr">
        <is>
          <t>West</t>
        </is>
      </c>
      <c r="H995" s="7" t="inlineStr">
        <is>
          <t>Colorado</t>
        </is>
      </c>
      <c r="I995" s="7" t="inlineStr">
        <is>
          <t>Online</t>
        </is>
      </c>
      <c r="J995" s="7" t="inlineStr">
        <is>
          <t>Corporate</t>
        </is>
      </c>
      <c r="K995" s="12" t="n">
        <v>8</v>
      </c>
      <c r="L995" s="9" t="n">
        <v>1499.99</v>
      </c>
      <c r="M995" s="10" t="n">
        <v>0.15</v>
      </c>
      <c r="N995" s="9" t="n">
        <v>1259.99</v>
      </c>
      <c r="O995" s="9">
        <f>K995*L995</f>
        <v/>
      </c>
      <c r="P995" s="9">
        <f>O995*M995</f>
        <v/>
      </c>
      <c r="Q995" s="9">
        <f>O995-P995</f>
        <v/>
      </c>
      <c r="R995" s="9">
        <f>K995*N995</f>
        <v/>
      </c>
      <c r="S995" s="9">
        <f>Q995-R995</f>
        <v/>
      </c>
      <c r="T995" s="10">
        <f>IFERROR(S995/Q995, 0)</f>
        <v/>
      </c>
    </row>
    <row r="996">
      <c r="A996" s="11" t="inlineStr">
        <is>
          <t>ORD-2024-1594</t>
        </is>
      </c>
      <c r="B996" s="11" t="inlineStr">
        <is>
          <t>2024-12-29</t>
        </is>
      </c>
      <c r="C996" s="11" t="inlineStr">
        <is>
          <t>FUR-CHA-001</t>
        </is>
      </c>
      <c r="D996" s="7" t="inlineStr">
        <is>
          <t>ErgoFlex Executive Mesh Chair</t>
        </is>
      </c>
      <c r="E996" s="7" t="inlineStr">
        <is>
          <t>Furniture</t>
        </is>
      </c>
      <c r="F996" s="7" t="inlineStr">
        <is>
          <t>Chairs</t>
        </is>
      </c>
      <c r="G996" s="7" t="inlineStr">
        <is>
          <t>East</t>
        </is>
      </c>
      <c r="H996" s="7" t="inlineStr">
        <is>
          <t>New Jersey</t>
        </is>
      </c>
      <c r="I996" s="7" t="inlineStr">
        <is>
          <t>Online</t>
        </is>
      </c>
      <c r="J996" s="7" t="inlineStr">
        <is>
          <t>Consumer</t>
        </is>
      </c>
      <c r="K996" s="12" t="n">
        <v>1</v>
      </c>
      <c r="L996" s="9" t="n">
        <v>389.99</v>
      </c>
      <c r="M996" s="10" t="n">
        <v>0.15</v>
      </c>
      <c r="N996" s="9" t="n">
        <v>331.49</v>
      </c>
      <c r="O996" s="9">
        <f>K996*L996</f>
        <v/>
      </c>
      <c r="P996" s="9">
        <f>O996*M996</f>
        <v/>
      </c>
      <c r="Q996" s="9">
        <f>O996-P996</f>
        <v/>
      </c>
      <c r="R996" s="9">
        <f>K996*N996</f>
        <v/>
      </c>
      <c r="S996" s="9">
        <f>Q996-R996</f>
        <v/>
      </c>
      <c r="T996" s="10">
        <f>IFERROR(S996/Q996, 0)</f>
        <v/>
      </c>
    </row>
    <row r="997">
      <c r="A997" s="11" t="inlineStr">
        <is>
          <t>ORD-2024-1594</t>
        </is>
      </c>
      <c r="B997" s="11" t="inlineStr">
        <is>
          <t>2024-12-29</t>
        </is>
      </c>
      <c r="C997" s="11" t="inlineStr">
        <is>
          <t>TEC-TAB-003</t>
        </is>
      </c>
      <c r="D997" s="7" t="inlineStr">
        <is>
          <t>VisionPad Pro 11"</t>
        </is>
      </c>
      <c r="E997" s="7" t="inlineStr">
        <is>
          <t>Technology</t>
        </is>
      </c>
      <c r="F997" s="7" t="inlineStr">
        <is>
          <t>Phones &amp; Tablets</t>
        </is>
      </c>
      <c r="G997" s="7" t="inlineStr">
        <is>
          <t>East</t>
        </is>
      </c>
      <c r="H997" s="7" t="inlineStr">
        <is>
          <t>New Jersey</t>
        </is>
      </c>
      <c r="I997" s="7" t="inlineStr">
        <is>
          <t>Online</t>
        </is>
      </c>
      <c r="J997" s="7" t="inlineStr">
        <is>
          <t>Consumer</t>
        </is>
      </c>
      <c r="K997" s="12" t="n">
        <v>3</v>
      </c>
      <c r="L997" s="9" t="n">
        <v>649.99</v>
      </c>
      <c r="M997" s="10" t="n">
        <v>0</v>
      </c>
      <c r="N997" s="9" t="n">
        <v>487.49</v>
      </c>
      <c r="O997" s="9">
        <f>K997*L997</f>
        <v/>
      </c>
      <c r="P997" s="9">
        <f>O997*M997</f>
        <v/>
      </c>
      <c r="Q997" s="9">
        <f>O997-P997</f>
        <v/>
      </c>
      <c r="R997" s="9">
        <f>K997*N997</f>
        <v/>
      </c>
      <c r="S997" s="9">
        <f>Q997-R997</f>
        <v/>
      </c>
      <c r="T997" s="10">
        <f>IFERROR(S997/Q997, 0)</f>
        <v/>
      </c>
    </row>
    <row r="998">
      <c r="A998" s="11" t="inlineStr">
        <is>
          <t>ORD-2024-1510</t>
        </is>
      </c>
      <c r="B998" s="11" t="inlineStr">
        <is>
          <t>2024-12-30</t>
        </is>
      </c>
      <c r="C998" s="11" t="inlineStr">
        <is>
          <t>TEC-LAP-001</t>
        </is>
      </c>
      <c r="D998" s="7" t="inlineStr">
        <is>
          <t>ProBook Elite 15.6"</t>
        </is>
      </c>
      <c r="E998" s="7" t="inlineStr">
        <is>
          <t>Technology</t>
        </is>
      </c>
      <c r="F998" s="7" t="inlineStr">
        <is>
          <t>Laptops</t>
        </is>
      </c>
      <c r="G998" s="7" t="inlineStr">
        <is>
          <t>Central</t>
        </is>
      </c>
      <c r="H998" s="7" t="inlineStr">
        <is>
          <t>Texas</t>
        </is>
      </c>
      <c r="I998" s="7" t="inlineStr">
        <is>
          <t>Direct Sales</t>
        </is>
      </c>
      <c r="J998" s="7" t="inlineStr">
        <is>
          <t>Consumer</t>
        </is>
      </c>
      <c r="K998" s="12" t="n">
        <v>3</v>
      </c>
      <c r="L998" s="9" t="n">
        <v>1199.99</v>
      </c>
      <c r="M998" s="10" t="n">
        <v>0</v>
      </c>
      <c r="N998" s="9" t="n">
        <v>863.99</v>
      </c>
      <c r="O998" s="9">
        <f>K998*L998</f>
        <v/>
      </c>
      <c r="P998" s="9">
        <f>O998*M998</f>
        <v/>
      </c>
      <c r="Q998" s="9">
        <f>O998-P998</f>
        <v/>
      </c>
      <c r="R998" s="9">
        <f>K998*N998</f>
        <v/>
      </c>
      <c r="S998" s="9">
        <f>Q998-R998</f>
        <v/>
      </c>
      <c r="T998" s="10">
        <f>IFERROR(S998/Q998, 0)</f>
        <v/>
      </c>
    </row>
    <row r="999">
      <c r="A999" s="11" t="inlineStr">
        <is>
          <t>ORD-2024-1557</t>
        </is>
      </c>
      <c r="B999" s="11" t="inlineStr">
        <is>
          <t>2024-12-30</t>
        </is>
      </c>
      <c r="C999" s="11" t="inlineStr">
        <is>
          <t>FUR-DSK-004</t>
        </is>
      </c>
      <c r="D999" s="7" t="inlineStr">
        <is>
          <t>Metro Compact Corner Workstation</t>
        </is>
      </c>
      <c r="E999" s="7" t="inlineStr">
        <is>
          <t>Furniture</t>
        </is>
      </c>
      <c r="F999" s="7" t="inlineStr">
        <is>
          <t>Desks &amp; Workstations</t>
        </is>
      </c>
      <c r="G999" s="7" t="inlineStr">
        <is>
          <t>West</t>
        </is>
      </c>
      <c r="H999" s="7" t="inlineStr">
        <is>
          <t>Colorado</t>
        </is>
      </c>
      <c r="I999" s="7" t="inlineStr">
        <is>
          <t>Online</t>
        </is>
      </c>
      <c r="J999" s="7" t="inlineStr">
        <is>
          <t>Corporate</t>
        </is>
      </c>
      <c r="K999" s="12" t="n">
        <v>2</v>
      </c>
      <c r="L999" s="9" t="n">
        <v>329.99</v>
      </c>
      <c r="M999" s="10" t="n">
        <v>0.05</v>
      </c>
      <c r="N999" s="9" t="n">
        <v>250.79</v>
      </c>
      <c r="O999" s="9">
        <f>K999*L999</f>
        <v/>
      </c>
      <c r="P999" s="9">
        <f>O999*M999</f>
        <v/>
      </c>
      <c r="Q999" s="9">
        <f>O999-P999</f>
        <v/>
      </c>
      <c r="R999" s="9">
        <f>K999*N999</f>
        <v/>
      </c>
      <c r="S999" s="9">
        <f>Q999-R999</f>
        <v/>
      </c>
      <c r="T999" s="10">
        <f>IFERROR(S999/Q999, 0)</f>
        <v/>
      </c>
    </row>
    <row r="1000">
      <c r="A1000" s="11" t="inlineStr">
        <is>
          <t>ORD-2024-1081</t>
        </is>
      </c>
      <c r="B1000" s="11" t="inlineStr">
        <is>
          <t>2024-12-31</t>
        </is>
      </c>
      <c r="C1000" s="11" t="inlineStr">
        <is>
          <t>OFF-PAP-004</t>
        </is>
      </c>
      <c r="D1000" s="7" t="inlineStr">
        <is>
          <t>EcoRecycled Copy Paper (5 Reams)</t>
        </is>
      </c>
      <c r="E1000" s="7" t="inlineStr">
        <is>
          <t>Office Supplies</t>
        </is>
      </c>
      <c r="F1000" s="7" t="inlineStr">
        <is>
          <t>Paper Products</t>
        </is>
      </c>
      <c r="G1000" s="7" t="inlineStr">
        <is>
          <t>Central</t>
        </is>
      </c>
      <c r="H1000" s="7" t="inlineStr">
        <is>
          <t>Texas</t>
        </is>
      </c>
      <c r="I1000" s="7" t="inlineStr">
        <is>
          <t>Retail Partner</t>
        </is>
      </c>
      <c r="J1000" s="7" t="inlineStr">
        <is>
          <t>Corporate</t>
        </is>
      </c>
      <c r="K1000" s="12" t="n">
        <v>2</v>
      </c>
      <c r="L1000" s="9" t="n">
        <v>32.99</v>
      </c>
      <c r="M1000" s="10" t="n">
        <v>0</v>
      </c>
      <c r="N1000" s="9" t="n">
        <v>19.79</v>
      </c>
      <c r="O1000" s="9">
        <f>K1000*L1000</f>
        <v/>
      </c>
      <c r="P1000" s="9">
        <f>O1000*M1000</f>
        <v/>
      </c>
      <c r="Q1000" s="9">
        <f>O1000-P1000</f>
        <v/>
      </c>
      <c r="R1000" s="9">
        <f>K1000*N1000</f>
        <v/>
      </c>
      <c r="S1000" s="9">
        <f>Q1000-R1000</f>
        <v/>
      </c>
      <c r="T1000" s="10">
        <f>IFERROR(S1000/Q1000, 0)</f>
        <v/>
      </c>
    </row>
    <row r="1001">
      <c r="A1001" s="11" t="inlineStr">
        <is>
          <t>ORD-2024-1610</t>
        </is>
      </c>
      <c r="B1001" s="11" t="inlineStr">
        <is>
          <t>2024-12-31</t>
        </is>
      </c>
      <c r="C1001" s="11" t="inlineStr">
        <is>
          <t>OFF-STR-001</t>
        </is>
      </c>
      <c r="D1001" s="7" t="inlineStr">
        <is>
          <t>SteelLock 3-Drawer File Cabinet</t>
        </is>
      </c>
      <c r="E1001" s="7" t="inlineStr">
        <is>
          <t>Office Supplies</t>
        </is>
      </c>
      <c r="F1001" s="7" t="inlineStr">
        <is>
          <t>Storage &amp; Organizers</t>
        </is>
      </c>
      <c r="G1001" s="7" t="inlineStr">
        <is>
          <t>East</t>
        </is>
      </c>
      <c r="H1001" s="7" t="inlineStr">
        <is>
          <t>Massachusetts</t>
        </is>
      </c>
      <c r="I1001" s="7" t="inlineStr">
        <is>
          <t>Online</t>
        </is>
      </c>
      <c r="J1001" s="7" t="inlineStr">
        <is>
          <t>Corporate</t>
        </is>
      </c>
      <c r="K1001" s="12" t="n">
        <v>4</v>
      </c>
      <c r="L1001" s="9" t="n">
        <v>169.99</v>
      </c>
      <c r="M1001" s="10" t="n">
        <v>0.2</v>
      </c>
      <c r="N1001" s="9" t="n">
        <v>115.59</v>
      </c>
      <c r="O1001" s="9">
        <f>K1001*L1001</f>
        <v/>
      </c>
      <c r="P1001" s="9">
        <f>O1001*M1001</f>
        <v/>
      </c>
      <c r="Q1001" s="9">
        <f>O1001-P1001</f>
        <v/>
      </c>
      <c r="R1001" s="9">
        <f>K1001*N1001</f>
        <v/>
      </c>
      <c r="S1001" s="9">
        <f>Q1001-R1001</f>
        <v/>
      </c>
      <c r="T1001" s="10">
        <f>IFERROR(S1001/Q1001,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38" customWidth="1" min="4" max="4"/>
    <col width="18" customWidth="1" min="5" max="5"/>
    <col width="40" customWidth="1" min="6" max="6"/>
    <col width="16" customWidth="1" min="7" max="7"/>
  </cols>
  <sheetData>
    <row r="1">
      <c r="A1" s="1" t="inlineStr">
        <is>
          <t>DATA QUALITY AUDIT &amp; HYGIENE DASHBOARD</t>
        </is>
      </c>
    </row>
    <row r="2"/>
    <row r="3">
      <c r="A3" s="2" t="inlineStr">
        <is>
          <t>Automated Validation Rules, Exception Detection Log &amp; Data Reconciliation Checks</t>
        </is>
      </c>
    </row>
    <row r="5">
      <c r="A5" s="13" t="inlineStr">
        <is>
          <t>TOTAL RAW RECORDS</t>
        </is>
      </c>
      <c r="C5" s="13" t="inlineStr">
        <is>
          <t>CLEAN RECORDS VALIDATED</t>
        </is>
      </c>
      <c r="D5" s="13" t="inlineStr">
        <is>
          <t>DUPLICATES DETECTED</t>
        </is>
      </c>
      <c r="E5" s="13" t="inlineStr">
        <is>
          <t>FORMATTING / CASING FIXED</t>
        </is>
      </c>
      <c r="F5" s="13" t="inlineStr">
        <is>
          <t>NULL VALUES IMPUTED</t>
        </is>
      </c>
      <c r="G5" s="13" t="inlineStr">
        <is>
          <t>ERRONEOUS VALUES FIXED</t>
        </is>
      </c>
    </row>
    <row r="6">
      <c r="A6" s="14" t="inlineStr">
        <is>
          <t>1,004</t>
        </is>
      </c>
      <c r="C6" s="14" t="inlineStr">
        <is>
          <t>1,000</t>
        </is>
      </c>
      <c r="D6" s="14" t="inlineStr">
        <is>
          <t>4</t>
        </is>
      </c>
      <c r="E6" s="14" t="inlineStr">
        <is>
          <t>3</t>
        </is>
      </c>
      <c r="F6" s="14" t="inlineStr">
        <is>
          <t>2</t>
        </is>
      </c>
      <c r="G6" s="14" t="inlineStr">
        <is>
          <t>1</t>
        </is>
      </c>
    </row>
    <row r="7">
      <c r="A7" s="15" t="inlineStr">
        <is>
          <t>Source: Raw_Data sheet</t>
        </is>
      </c>
      <c r="C7" s="15" t="inlineStr">
        <is>
          <t>Production ready</t>
        </is>
      </c>
      <c r="D7" s="15" t="inlineStr">
        <is>
          <t>Purged from clean layer</t>
        </is>
      </c>
      <c r="E7" s="15" t="inlineStr">
        <is>
          <t>Trimmed &amp; standardized</t>
        </is>
      </c>
      <c r="F7" s="15" t="inlineStr">
        <is>
          <t>Segment mode imputed</t>
        </is>
      </c>
      <c r="G7" s="15" t="inlineStr">
        <is>
          <t>Negative qty corrected</t>
        </is>
      </c>
    </row>
    <row r="9">
      <c r="A9" s="16" t="inlineStr">
        <is>
          <t>1. AUTOMATED DATA VALIDATION RULES &amp; STATUS</t>
        </is>
      </c>
    </row>
    <row r="10">
      <c r="A10" s="17" t="inlineStr">
        <is>
          <t>Rule ID</t>
        </is>
      </c>
      <c r="B10" s="17" t="inlineStr">
        <is>
          <t>Target Field</t>
        </is>
      </c>
      <c r="C10" s="17" t="inlineStr">
        <is>
          <t>Validation Condition &amp; Rule</t>
        </is>
      </c>
      <c r="D10" s="17" t="inlineStr">
        <is>
          <t>Excel Audit Formula</t>
        </is>
      </c>
      <c r="E10" s="17" t="inlineStr">
        <is>
          <t>Failed Count</t>
        </is>
      </c>
      <c r="F10" s="17" t="inlineStr">
        <is>
          <t>Remediation Action Taken</t>
        </is>
      </c>
      <c r="G10" s="17" t="inlineStr">
        <is>
          <t>Status</t>
        </is>
      </c>
    </row>
    <row r="11">
      <c r="A11" s="11" t="inlineStr">
        <is>
          <t>VR-001</t>
        </is>
      </c>
      <c r="B11" s="7" t="inlineStr">
        <is>
          <t>Order ID</t>
        </is>
      </c>
      <c r="C11" s="7" t="inlineStr">
        <is>
          <t>Primary Order row integrity (no exact duplicate transactions)</t>
        </is>
      </c>
      <c r="D11" s="7">
        <f>COUNTIF(Raw_Data!A:A, Raw_Data!A2)&gt;1</f>
        <v/>
      </c>
      <c r="E11" s="11" t="inlineStr">
        <is>
          <t>4</t>
        </is>
      </c>
      <c r="F11" s="7" t="inlineStr">
        <is>
          <t>Deduplicated via unique index filter</t>
        </is>
      </c>
      <c r="G11" s="18" t="inlineStr">
        <is>
          <t>PASSED</t>
        </is>
      </c>
    </row>
    <row r="12">
      <c r="A12" s="11" t="inlineStr">
        <is>
          <t>VR-002</t>
        </is>
      </c>
      <c r="B12" s="7" t="inlineStr">
        <is>
          <t>Order Date</t>
        </is>
      </c>
      <c r="C12" s="7" t="inlineStr">
        <is>
          <t>Valid calendar dates within FY 2024 (2024-01-01 to 2024-12-31)</t>
        </is>
      </c>
      <c r="D12" s="7">
        <f>AND(ISNUMBER(B2), B2&gt;=DATE(2024,1,1), B2&lt;=DATE(2024,12,31))</f>
        <v/>
      </c>
      <c r="E12" s="11" t="inlineStr">
        <is>
          <t>0</t>
        </is>
      </c>
      <c r="F12" s="7" t="inlineStr">
        <is>
          <t>All dates verified as Excel serial dates</t>
        </is>
      </c>
      <c r="G12" s="18" t="inlineStr">
        <is>
          <t>PASSED</t>
        </is>
      </c>
    </row>
    <row r="13">
      <c r="A13" s="11" t="inlineStr">
        <is>
          <t>VR-003</t>
        </is>
      </c>
      <c r="B13" s="7" t="inlineStr">
        <is>
          <t>Product ID &amp; Name</t>
        </is>
      </c>
      <c r="C13" s="7" t="inlineStr">
        <is>
          <t>Referential integrity against master product catalog (22 items)</t>
        </is>
      </c>
      <c r="D13" s="7">
        <f>ISNUMBER(MATCH(C2, Catalog_IDs, 0))</f>
        <v/>
      </c>
      <c r="E13" s="11" t="inlineStr">
        <is>
          <t>0</t>
        </is>
      </c>
      <c r="F13" s="7" t="inlineStr">
        <is>
          <t>100% matched to product dictionary</t>
        </is>
      </c>
      <c r="G13" s="18" t="inlineStr">
        <is>
          <t>PASSED</t>
        </is>
      </c>
    </row>
    <row r="14">
      <c r="A14" s="11" t="inlineStr">
        <is>
          <t>VR-004</t>
        </is>
      </c>
      <c r="B14" s="7" t="inlineStr">
        <is>
          <t>Category &amp; Region</t>
        </is>
      </c>
      <c r="C14" s="7" t="inlineStr">
        <is>
          <t>Text fields standardized (no leading/trailing whitespace, proper case)</t>
        </is>
      </c>
      <c r="D14" s="7">
        <f>EXACT(E2, TRIM(PROPER(E2)))</f>
        <v/>
      </c>
      <c r="E14" s="11" t="inlineStr">
        <is>
          <t>3</t>
        </is>
      </c>
      <c r="F14" s="7" t="inlineStr">
        <is>
          <t>Applied =TRIM(PROPER(text)) across columns</t>
        </is>
      </c>
      <c r="G14" s="18" t="inlineStr">
        <is>
          <t>PASSED</t>
        </is>
      </c>
    </row>
    <row r="15">
      <c r="A15" s="11" t="inlineStr">
        <is>
          <t>VR-005</t>
        </is>
      </c>
      <c r="B15" s="7" t="inlineStr">
        <is>
          <t>Customer Segment</t>
        </is>
      </c>
      <c r="C15" s="7" t="inlineStr">
        <is>
          <t>No missing or null customer segment assignments</t>
        </is>
      </c>
      <c r="D15" s="7">
        <f>ISBLANK(J2)</f>
        <v/>
      </c>
      <c r="E15" s="11" t="inlineStr">
        <is>
          <t>2</t>
        </is>
      </c>
      <c r="F15" s="7" t="inlineStr">
        <is>
          <t>Imputed modal segment (Consumer/Corporate)</t>
        </is>
      </c>
      <c r="G15" s="18" t="inlineStr">
        <is>
          <t>PASSED</t>
        </is>
      </c>
    </row>
    <row r="16">
      <c r="A16" s="11" t="inlineStr">
        <is>
          <t>VR-006</t>
        </is>
      </c>
      <c r="B16" s="7" t="inlineStr">
        <is>
          <t>Quantity</t>
        </is>
      </c>
      <c r="C16" s="7" t="inlineStr">
        <is>
          <t>Strictly positive integers (Quantity &gt; 0)</t>
        </is>
      </c>
      <c r="D16" s="7">
        <f>K2&gt;0</f>
        <v/>
      </c>
      <c r="E16" s="11" t="inlineStr">
        <is>
          <t>1</t>
        </is>
      </c>
      <c r="F16" s="7" t="inlineStr">
        <is>
          <t>Row 513 had -3; inverted sign to +3</t>
        </is>
      </c>
      <c r="G16" s="18" t="inlineStr">
        <is>
          <t>PASSED</t>
        </is>
      </c>
    </row>
    <row r="17">
      <c r="A17" s="11" t="inlineStr">
        <is>
          <t>VR-007</t>
        </is>
      </c>
      <c r="B17" s="7" t="inlineStr">
        <is>
          <t>Unit Price &amp; Cost</t>
        </is>
      </c>
      <c r="C17" s="7" t="inlineStr">
        <is>
          <t>Strictly positive numbers (Unit Price &gt; 0, Unit Cost &gt; 0)</t>
        </is>
      </c>
      <c r="D17" s="7">
        <f>AND(L2&gt;0, N2&gt;0)</f>
        <v/>
      </c>
      <c r="E17" s="11" t="inlineStr">
        <is>
          <t>0</t>
        </is>
      </c>
      <c r="F17" s="7" t="inlineStr">
        <is>
          <t>Zero price anomalies detected</t>
        </is>
      </c>
      <c r="G17" s="18" t="inlineStr">
        <is>
          <t>PASSED</t>
        </is>
      </c>
    </row>
    <row r="18">
      <c r="A18" s="11" t="inlineStr">
        <is>
          <t>VR-008</t>
        </is>
      </c>
      <c r="B18" s="7" t="inlineStr">
        <is>
          <t>Discount %</t>
        </is>
      </c>
      <c r="C18" s="7" t="inlineStr">
        <is>
          <t>Discounts constrained between 0.0% and 100.0%</t>
        </is>
      </c>
      <c r="D18" s="7">
        <f>AND(M2&gt;=0, M2&lt;=1)</f>
        <v/>
      </c>
      <c r="E18" s="11" t="inlineStr">
        <is>
          <t>0</t>
        </is>
      </c>
      <c r="F18" s="7" t="inlineStr">
        <is>
          <t>All discounts strictly between 0% and 25%</t>
        </is>
      </c>
      <c r="G18" s="18" t="inlineStr">
        <is>
          <t>PASSED</t>
        </is>
      </c>
    </row>
    <row r="19">
      <c r="A19" s="11" t="inlineStr">
        <is>
          <t>VR-009</t>
        </is>
      </c>
      <c r="B19" s="7" t="inlineStr">
        <is>
          <t>Financial Integrity</t>
        </is>
      </c>
      <c r="C19" s="7" t="inlineStr">
        <is>
          <t>Net Sales = Gross Sales - Discount; Profit = Net Sales - Total Cost</t>
        </is>
      </c>
      <c r="D19" s="7">
        <f>ROUND(Q2-(O2-P2), 2)=0</f>
        <v/>
      </c>
      <c r="E19" s="11" t="inlineStr">
        <is>
          <t>0</t>
        </is>
      </c>
      <c r="F19" s="7" t="inlineStr">
        <is>
          <t>Reconciled with zero rounding variance</t>
        </is>
      </c>
      <c r="G19" s="18" t="inlineStr">
        <is>
          <t>PASSED</t>
        </is>
      </c>
    </row>
    <row r="22">
      <c r="A22" s="16" t="inlineStr">
        <is>
          <t>2. RAW DATA AUDIT TRAIL &amp; EXCEPTION LOG (10 IDENTIFIED ANOMALIES)</t>
        </is>
      </c>
    </row>
    <row r="23">
      <c r="A23" s="17" t="inlineStr">
        <is>
          <t>Log ID</t>
        </is>
      </c>
      <c r="B23" s="17" t="inlineStr">
        <is>
          <t>Raw Row #</t>
        </is>
      </c>
      <c r="C23" s="17" t="inlineStr">
        <is>
          <t>Field</t>
        </is>
      </c>
      <c r="D23" s="17" t="inlineStr">
        <is>
          <t>Raw Ingested Value</t>
        </is>
      </c>
      <c r="E23" s="17" t="inlineStr">
        <is>
          <t>Detected Anomaly Type</t>
        </is>
      </c>
      <c r="F23" s="17" t="inlineStr">
        <is>
          <t>Remediation Action in Clean_Data</t>
        </is>
      </c>
      <c r="G23" s="17" t="inlineStr">
        <is>
          <t>Resolution Status</t>
        </is>
      </c>
    </row>
    <row r="24">
      <c r="A24" s="11" t="inlineStr">
        <is>
          <t>LOG-001</t>
        </is>
      </c>
      <c r="B24" s="11" t="inlineStr">
        <is>
          <t>Row 1001</t>
        </is>
      </c>
      <c r="C24" s="7" t="inlineStr">
        <is>
          <t>Order ID</t>
        </is>
      </c>
      <c r="D24" s="7" t="inlineStr">
        <is>
          <t>ORD-2024-1011</t>
        </is>
      </c>
      <c r="E24" s="7" t="inlineStr">
        <is>
          <t>Exact Duplicate Transaction (Duplicate of Row 13)</t>
        </is>
      </c>
      <c r="F24" s="7" t="inlineStr">
        <is>
          <t>Removed duplicate row from production table</t>
        </is>
      </c>
      <c r="G24" s="18" t="inlineStr">
        <is>
          <t>Resolved</t>
        </is>
      </c>
    </row>
    <row r="25">
      <c r="A25" s="11" t="inlineStr">
        <is>
          <t>LOG-002</t>
        </is>
      </c>
      <c r="B25" s="11" t="inlineStr">
        <is>
          <t>Row 1002</t>
        </is>
      </c>
      <c r="C25" s="7" t="inlineStr">
        <is>
          <t>Order ID</t>
        </is>
      </c>
      <c r="D25" s="7" t="inlineStr">
        <is>
          <t>ORD-2024-1120</t>
        </is>
      </c>
      <c r="E25" s="7" t="inlineStr">
        <is>
          <t>Exact Duplicate Transaction (Duplicate of Row 146)</t>
        </is>
      </c>
      <c r="F25" s="7" t="inlineStr">
        <is>
          <t>Removed duplicate row from production table</t>
        </is>
      </c>
      <c r="G25" s="18" t="inlineStr">
        <is>
          <t>Resolved</t>
        </is>
      </c>
    </row>
    <row r="26">
      <c r="A26" s="11" t="inlineStr">
        <is>
          <t>LOG-003</t>
        </is>
      </c>
      <c r="B26" s="11" t="inlineStr">
        <is>
          <t>Row 1003</t>
        </is>
      </c>
      <c r="C26" s="7" t="inlineStr">
        <is>
          <t>Order ID</t>
        </is>
      </c>
      <c r="D26" s="7" t="inlineStr">
        <is>
          <t>ORD-2024-1335</t>
        </is>
      </c>
      <c r="E26" s="7" t="inlineStr">
        <is>
          <t>Exact Duplicate Transaction (Duplicate of Row 411)</t>
        </is>
      </c>
      <c r="F26" s="7" t="inlineStr">
        <is>
          <t>Removed duplicate row from production table</t>
        </is>
      </c>
      <c r="G26" s="18" t="inlineStr">
        <is>
          <t>Resolved</t>
        </is>
      </c>
    </row>
    <row r="27">
      <c r="A27" s="11" t="inlineStr">
        <is>
          <t>LOG-004</t>
        </is>
      </c>
      <c r="B27" s="11" t="inlineStr">
        <is>
          <t>Row 1004</t>
        </is>
      </c>
      <c r="C27" s="7" t="inlineStr">
        <is>
          <t>Order ID</t>
        </is>
      </c>
      <c r="D27" s="7" t="inlineStr">
        <is>
          <t>ORD-2024-1718</t>
        </is>
      </c>
      <c r="E27" s="7" t="inlineStr">
        <is>
          <t>Exact Duplicate Transaction (Duplicate of Row 891)</t>
        </is>
      </c>
      <c r="F27" s="7" t="inlineStr">
        <is>
          <t>Removed duplicate row from production table</t>
        </is>
      </c>
      <c r="G27" s="18" t="inlineStr">
        <is>
          <t>Resolved</t>
        </is>
      </c>
    </row>
    <row r="28">
      <c r="A28" s="11" t="inlineStr">
        <is>
          <t>LOG-005</t>
        </is>
      </c>
      <c r="B28" s="11" t="inlineStr">
        <is>
          <t>Row 26</t>
        </is>
      </c>
      <c r="C28" s="7" t="inlineStr">
        <is>
          <t>Category</t>
        </is>
      </c>
      <c r="D28" s="7" t="inlineStr">
        <is>
          <t>' Technology '</t>
        </is>
      </c>
      <c r="E28" s="7" t="inlineStr">
        <is>
          <t>Leading and trailing whitespace padding</t>
        </is>
      </c>
      <c r="F28" s="7" t="inlineStr">
        <is>
          <t>Cleaned with Excel TRIM() function</t>
        </is>
      </c>
      <c r="G28" s="18" t="inlineStr">
        <is>
          <t>Resolved</t>
        </is>
      </c>
    </row>
    <row r="29">
      <c r="A29" s="11" t="inlineStr">
        <is>
          <t>LOG-006</t>
        </is>
      </c>
      <c r="B29" s="11" t="inlineStr">
        <is>
          <t>Row 79</t>
        </is>
      </c>
      <c r="C29" s="7" t="inlineStr">
        <is>
          <t>Region</t>
        </is>
      </c>
      <c r="D29" s="7" t="inlineStr">
        <is>
          <t>'west '</t>
        </is>
      </c>
      <c r="E29" s="7" t="inlineStr">
        <is>
          <t>Lowercase casing and trailing space</t>
        </is>
      </c>
      <c r="F29" s="7" t="inlineStr">
        <is>
          <t>Standardized with TRIM(PROPER()) to 'West'</t>
        </is>
      </c>
      <c r="G29" s="18" t="inlineStr">
        <is>
          <t>Resolved</t>
        </is>
      </c>
    </row>
    <row r="30">
      <c r="A30" s="11" t="inlineStr">
        <is>
          <t>LOG-007</t>
        </is>
      </c>
      <c r="B30" s="11" t="inlineStr">
        <is>
          <t>Row 191</t>
        </is>
      </c>
      <c r="C30" s="7" t="inlineStr">
        <is>
          <t>Sales Channel</t>
        </is>
      </c>
      <c r="D30" s="7" t="inlineStr">
        <is>
          <t>'ONLINE'</t>
        </is>
      </c>
      <c r="E30" s="7" t="inlineStr">
        <is>
          <t>Uppercase text style mismatch</t>
        </is>
      </c>
      <c r="F30" s="7" t="inlineStr">
        <is>
          <t>Standardized to Proper Case 'Online'</t>
        </is>
      </c>
      <c r="G30" s="18" t="inlineStr">
        <is>
          <t>Resolved</t>
        </is>
      </c>
    </row>
    <row r="31">
      <c r="A31" s="11" t="inlineStr">
        <is>
          <t>LOG-008</t>
        </is>
      </c>
      <c r="B31" s="11" t="inlineStr">
        <is>
          <t>Row 51</t>
        </is>
      </c>
      <c r="C31" s="7" t="inlineStr">
        <is>
          <t>Customer Segment</t>
        </is>
      </c>
      <c r="D31" s="7" t="inlineStr">
        <is>
          <t>NaN / Blank</t>
        </is>
      </c>
      <c r="E31" s="7" t="inlineStr">
        <is>
          <t>Missing value in non-critical categorical field</t>
        </is>
      </c>
      <c r="F31" s="7" t="inlineStr">
        <is>
          <t>Imputed modal segment 'Consumer'</t>
        </is>
      </c>
      <c r="G31" s="18" t="inlineStr">
        <is>
          <t>Resolved</t>
        </is>
      </c>
    </row>
    <row r="32">
      <c r="A32" s="11" t="inlineStr">
        <is>
          <t>LOG-009</t>
        </is>
      </c>
      <c r="B32" s="11" t="inlineStr">
        <is>
          <t>Row 313</t>
        </is>
      </c>
      <c r="C32" s="7" t="inlineStr">
        <is>
          <t>Customer Segment</t>
        </is>
      </c>
      <c r="D32" s="7" t="inlineStr">
        <is>
          <t>NaN / Blank</t>
        </is>
      </c>
      <c r="E32" s="7" t="inlineStr">
        <is>
          <t>Missing value in non-critical categorical field</t>
        </is>
      </c>
      <c r="F32" s="7" t="inlineStr">
        <is>
          <t>Imputed modal segment 'Corporate'</t>
        </is>
      </c>
      <c r="G32" s="18" t="inlineStr">
        <is>
          <t>Resolved</t>
        </is>
      </c>
    </row>
    <row r="33">
      <c r="A33" s="11" t="inlineStr">
        <is>
          <t>LOG-010</t>
        </is>
      </c>
      <c r="B33" s="11" t="inlineStr">
        <is>
          <t>Row 513</t>
        </is>
      </c>
      <c r="C33" s="7" t="inlineStr">
        <is>
          <t>Quantity</t>
        </is>
      </c>
      <c r="D33" s="7" t="inlineStr">
        <is>
          <t>-3</t>
        </is>
      </c>
      <c r="E33" s="7" t="inlineStr">
        <is>
          <t>Data entry sign error (negative quantity)</t>
        </is>
      </c>
      <c r="F33" s="7" t="inlineStr">
        <is>
          <t>Inverted sign to +3 based on positive sales credit</t>
        </is>
      </c>
      <c r="G33" s="18" t="inlineStr">
        <is>
          <t>Resolved</t>
        </is>
      </c>
    </row>
    <row r="35">
      <c r="A35" s="16" t="inlineStr">
        <is>
          <t>3. RECONCILIATION SUMMARY (RAW LAYER VS CLEAN PRODUCTION LAYER)</t>
        </is>
      </c>
    </row>
    <row r="36">
      <c r="A36" s="17" t="inlineStr">
        <is>
          <t>Metric</t>
        </is>
      </c>
      <c r="B36" s="17" t="inlineStr">
        <is>
          <t>Raw Data Sum</t>
        </is>
      </c>
      <c r="C36" s="17" t="inlineStr">
        <is>
          <t>Clean Data Sum</t>
        </is>
      </c>
      <c r="D36" s="17" t="inlineStr">
        <is>
          <t>Variance ($ / %)</t>
        </is>
      </c>
      <c r="E36" s="17" t="inlineStr">
        <is>
          <t>Reconciliation Explanation</t>
        </is>
      </c>
    </row>
    <row r="37">
      <c r="A37" s="7" t="inlineStr">
        <is>
          <t>Total Records</t>
        </is>
      </c>
      <c r="B37" s="19" t="inlineStr">
        <is>
          <t>1,004</t>
        </is>
      </c>
      <c r="C37" s="19" t="inlineStr">
        <is>
          <t>1,000</t>
        </is>
      </c>
      <c r="D37" s="19" t="inlineStr">
        <is>
          <t>-4 (-0.40%)</t>
        </is>
      </c>
      <c r="E37" s="7" t="inlineStr">
        <is>
          <t>4 duplicate rows removed</t>
        </is>
      </c>
    </row>
    <row r="38">
      <c r="A38" s="7" t="inlineStr">
        <is>
          <t>Total Units Sold</t>
        </is>
      </c>
      <c r="B38" s="19" t="inlineStr">
        <is>
          <t>4,213</t>
        </is>
      </c>
      <c r="C38" s="19" t="inlineStr">
        <is>
          <t>4,191</t>
        </is>
      </c>
      <c r="D38" s="19" t="inlineStr">
        <is>
          <t>-22 (-0.52%)</t>
        </is>
      </c>
      <c r="E38" s="7" t="inlineStr">
        <is>
          <t>Excludes duplicate units and corrected negative qty</t>
        </is>
      </c>
    </row>
    <row r="39">
      <c r="A39" s="7" t="inlineStr">
        <is>
          <t>Gross Sales ($)</t>
        </is>
      </c>
      <c r="B39" s="19" t="inlineStr">
        <is>
          <t>$1,158,412.09</t>
        </is>
      </c>
      <c r="C39" s="19" t="inlineStr">
        <is>
          <t>$1,154,032.09</t>
        </is>
      </c>
      <c r="D39" s="19" t="inlineStr">
        <is>
          <t>-$4,380.00 (-0.38%)</t>
        </is>
      </c>
      <c r="E39" s="7" t="inlineStr">
        <is>
          <t>Net variance from purged duplicates</t>
        </is>
      </c>
    </row>
    <row r="40">
      <c r="A40" s="7" t="inlineStr">
        <is>
          <t>Discount Amount ($)</t>
        </is>
      </c>
      <c r="B40" s="19" t="inlineStr">
        <is>
          <t>$112,173.99</t>
        </is>
      </c>
      <c r="C40" s="19" t="inlineStr">
        <is>
          <t>$111,755.89</t>
        </is>
      </c>
      <c r="D40" s="19" t="inlineStr">
        <is>
          <t>-$418.10 (-0.37%)</t>
        </is>
      </c>
      <c r="E40" s="7" t="inlineStr">
        <is>
          <t>Reconciled promotional discount pool</t>
        </is>
      </c>
    </row>
    <row r="41">
      <c r="A41" s="7" t="inlineStr">
        <is>
          <t>Net Sales ($)</t>
        </is>
      </c>
      <c r="B41" s="19" t="inlineStr">
        <is>
          <t>$1,046,238.10</t>
        </is>
      </c>
      <c r="C41" s="19" t="inlineStr">
        <is>
          <t>$1,042,276.20</t>
        </is>
      </c>
      <c r="D41" s="19" t="inlineStr">
        <is>
          <t>-$3,961.90 (-0.38%)</t>
        </is>
      </c>
      <c r="E41" s="7" t="inlineStr">
        <is>
          <t>True operational net revenue baseline</t>
        </is>
      </c>
    </row>
    <row r="42">
      <c r="A42" s="7" t="inlineStr">
        <is>
          <t>Total Cost ($)</t>
        </is>
      </c>
      <c r="B42" s="19" t="inlineStr">
        <is>
          <t>$881,452.70</t>
        </is>
      </c>
      <c r="C42" s="19" t="inlineStr">
        <is>
          <t>$878,143.57</t>
        </is>
      </c>
      <c r="D42" s="19" t="inlineStr">
        <is>
          <t>-$3,309.13 (-0.38%)</t>
        </is>
      </c>
      <c r="E42" s="7" t="inlineStr">
        <is>
          <t>Reconciled cost of goods sold (COGS)</t>
        </is>
      </c>
    </row>
    <row r="43">
      <c r="A43" s="7" t="inlineStr">
        <is>
          <t>Total Profit ($)</t>
        </is>
      </c>
      <c r="B43" s="19" t="inlineStr">
        <is>
          <t>$164,785.40</t>
        </is>
      </c>
      <c r="C43" s="19" t="inlineStr">
        <is>
          <t>$164,132.63</t>
        </is>
      </c>
      <c r="D43" s="19" t="inlineStr">
        <is>
          <t>-$652.77 (-0.40%)</t>
        </is>
      </c>
      <c r="E43" s="7" t="inlineStr">
        <is>
          <t>Reconciled operational bottom-line profit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18" customWidth="1" min="10" max="10"/>
    <col width="18" customWidth="1" min="11" max="11"/>
  </cols>
  <sheetData>
    <row r="1">
      <c r="A1" s="1" t="inlineStr">
        <is>
          <t>MULTI-DIMENSIONAL PIVOT &amp; SUMMARY ANALYSIS</t>
        </is>
      </c>
    </row>
    <row r="2"/>
    <row r="3"/>
    <row r="4">
      <c r="A4" s="16" t="inlineStr">
        <is>
          <t>TABLE 1: MONTHLY SALES &amp; PROFITABILITY PERFORMANCE</t>
        </is>
      </c>
    </row>
    <row r="5">
      <c r="A5" s="17" t="inlineStr">
        <is>
          <t>Month #</t>
        </is>
      </c>
      <c r="B5" s="17" t="inlineStr">
        <is>
          <t>Month Name</t>
        </is>
      </c>
      <c r="C5" s="17" t="inlineStr">
        <is>
          <t>Gross Sales</t>
        </is>
      </c>
      <c r="D5" s="17" t="inlineStr">
        <is>
          <t>Discount Amount</t>
        </is>
      </c>
      <c r="E5" s="17" t="inlineStr">
        <is>
          <t>Net Sales</t>
        </is>
      </c>
      <c r="F5" s="17" t="inlineStr">
        <is>
          <t>Total Cost</t>
        </is>
      </c>
      <c r="G5" s="17" t="inlineStr">
        <is>
          <t>Profit</t>
        </is>
      </c>
      <c r="H5" s="17" t="inlineStr">
        <is>
          <t>Profit Margin</t>
        </is>
      </c>
      <c r="I5" s="17" t="inlineStr">
        <is>
          <t>Unique Orders</t>
        </is>
      </c>
      <c r="J5" s="17" t="inlineStr">
        <is>
          <t>AOV</t>
        </is>
      </c>
      <c r="K5" s="17" t="inlineStr">
        <is>
          <t>MoM Growth</t>
        </is>
      </c>
    </row>
    <row r="6">
      <c r="A6" s="11" t="n">
        <v>1</v>
      </c>
      <c r="B6" s="11" t="inlineStr">
        <is>
          <t>Jan</t>
        </is>
      </c>
      <c r="C6" s="20" t="n">
        <v>75637.67999999999</v>
      </c>
      <c r="D6" s="20" t="n">
        <v>6981.6</v>
      </c>
      <c r="E6" s="20" t="n">
        <v>68656.08</v>
      </c>
      <c r="F6" s="20" t="n">
        <v>56809.78</v>
      </c>
      <c r="G6" s="20" t="n">
        <v>11846.3</v>
      </c>
      <c r="H6" s="21" t="n">
        <v>0.172545534204691</v>
      </c>
      <c r="I6" s="12" t="n">
        <v>47</v>
      </c>
      <c r="J6" s="20" t="n">
        <v>1460.767659574468</v>
      </c>
      <c r="K6" s="22" t="n">
        <v>0</v>
      </c>
    </row>
    <row r="7">
      <c r="A7" s="11" t="n">
        <v>2</v>
      </c>
      <c r="B7" s="11" t="inlineStr">
        <is>
          <t>Feb</t>
        </is>
      </c>
      <c r="C7" s="20" t="n">
        <v>74382.44</v>
      </c>
      <c r="D7" s="20" t="n">
        <v>8777.09</v>
      </c>
      <c r="E7" s="20" t="n">
        <v>65605.35000000001</v>
      </c>
      <c r="F7" s="20" t="n">
        <v>57094.52</v>
      </c>
      <c r="G7" s="20" t="n">
        <v>8510.830000000002</v>
      </c>
      <c r="H7" s="21" t="n">
        <v>0.1297276822698149</v>
      </c>
      <c r="I7" s="12" t="n">
        <v>41</v>
      </c>
      <c r="J7" s="20" t="n">
        <v>1600.130487804878</v>
      </c>
      <c r="K7" s="22" t="n">
        <v>-0.04443495754491075</v>
      </c>
    </row>
    <row r="8">
      <c r="A8" s="11" t="n">
        <v>3</v>
      </c>
      <c r="B8" s="11" t="inlineStr">
        <is>
          <t>Mar</t>
        </is>
      </c>
      <c r="C8" s="20" t="n">
        <v>92863.60000000001</v>
      </c>
      <c r="D8" s="20" t="n">
        <v>9091.400000000001</v>
      </c>
      <c r="E8" s="20" t="n">
        <v>83772.2</v>
      </c>
      <c r="F8" s="20" t="n">
        <v>70432.7</v>
      </c>
      <c r="G8" s="20" t="n">
        <v>13339.5</v>
      </c>
      <c r="H8" s="21" t="n">
        <v>0.1592354026753506</v>
      </c>
      <c r="I8" s="12" t="n">
        <v>62</v>
      </c>
      <c r="J8" s="20" t="n">
        <v>1351.164516129032</v>
      </c>
      <c r="K8" s="22" t="n">
        <v>0.2769111055729447</v>
      </c>
    </row>
    <row r="9">
      <c r="A9" s="11" t="n">
        <v>4</v>
      </c>
      <c r="B9" s="11" t="inlineStr">
        <is>
          <t>Apr</t>
        </is>
      </c>
      <c r="C9" s="20" t="n">
        <v>76868.84999999999</v>
      </c>
      <c r="D9" s="20" t="n">
        <v>6739.41</v>
      </c>
      <c r="E9" s="20" t="n">
        <v>70129.44</v>
      </c>
      <c r="F9" s="20" t="n">
        <v>59287.32999999999</v>
      </c>
      <c r="G9" s="20" t="n">
        <v>10842.11</v>
      </c>
      <c r="H9" s="21" t="n">
        <v>0.1546014056293619</v>
      </c>
      <c r="I9" s="12" t="n">
        <v>53</v>
      </c>
      <c r="J9" s="20" t="n">
        <v>1323.196981132076</v>
      </c>
      <c r="K9" s="22" t="n">
        <v>-0.162855458015905</v>
      </c>
    </row>
    <row r="10">
      <c r="A10" s="11" t="n">
        <v>5</v>
      </c>
      <c r="B10" s="11" t="inlineStr">
        <is>
          <t>May</t>
        </is>
      </c>
      <c r="C10" s="20" t="n">
        <v>100409.42</v>
      </c>
      <c r="D10" s="20" t="n">
        <v>8520.42</v>
      </c>
      <c r="E10" s="20" t="n">
        <v>91889</v>
      </c>
      <c r="F10" s="20" t="n">
        <v>75271.46999999999</v>
      </c>
      <c r="G10" s="20" t="n">
        <v>16617.53</v>
      </c>
      <c r="H10" s="21" t="n">
        <v>0.1808435177224695</v>
      </c>
      <c r="I10" s="12" t="n">
        <v>59</v>
      </c>
      <c r="J10" s="20" t="n">
        <v>1557.440677966102</v>
      </c>
      <c r="K10" s="22" t="n">
        <v>0.3102771104403514</v>
      </c>
    </row>
    <row r="11">
      <c r="A11" s="11" t="n">
        <v>6</v>
      </c>
      <c r="B11" s="11" t="inlineStr">
        <is>
          <t>Jun</t>
        </is>
      </c>
      <c r="C11" s="20" t="n">
        <v>79795.35000000001</v>
      </c>
      <c r="D11" s="20" t="n">
        <v>7519.179999999998</v>
      </c>
      <c r="E11" s="20" t="n">
        <v>72276.17000000001</v>
      </c>
      <c r="F11" s="20" t="n">
        <v>60051.74999999999</v>
      </c>
      <c r="G11" s="20" t="n">
        <v>12224.42</v>
      </c>
      <c r="H11" s="21" t="n">
        <v>0.169134861462637</v>
      </c>
      <c r="I11" s="12" t="n">
        <v>54</v>
      </c>
      <c r="J11" s="20" t="n">
        <v>1338.447592592593</v>
      </c>
      <c r="K11" s="22" t="n">
        <v>-0.2134404553319765</v>
      </c>
    </row>
    <row r="12">
      <c r="A12" s="11" t="n">
        <v>7</v>
      </c>
      <c r="B12" s="11" t="inlineStr">
        <is>
          <t>Jul</t>
        </is>
      </c>
      <c r="C12" s="20" t="n">
        <v>104300.74</v>
      </c>
      <c r="D12" s="20" t="n">
        <v>10726.75</v>
      </c>
      <c r="E12" s="20" t="n">
        <v>93573.99000000001</v>
      </c>
      <c r="F12" s="20" t="n">
        <v>80798.62</v>
      </c>
      <c r="G12" s="20" t="n">
        <v>12775.37</v>
      </c>
      <c r="H12" s="21" t="n">
        <v>0.1365269344611681</v>
      </c>
      <c r="I12" s="12" t="n">
        <v>52</v>
      </c>
      <c r="J12" s="20" t="n">
        <v>1799.499807692308</v>
      </c>
      <c r="K12" s="22" t="n">
        <v>0.2946727808072839</v>
      </c>
    </row>
    <row r="13">
      <c r="A13" s="11" t="n">
        <v>8</v>
      </c>
      <c r="B13" s="11" t="inlineStr">
        <is>
          <t>Aug</t>
        </is>
      </c>
      <c r="C13" s="20" t="n">
        <v>65658.84</v>
      </c>
      <c r="D13" s="20" t="n">
        <v>6293.440000000001</v>
      </c>
      <c r="E13" s="20" t="n">
        <v>59365.4</v>
      </c>
      <c r="F13" s="20" t="n">
        <v>51005.45</v>
      </c>
      <c r="G13" s="20" t="n">
        <v>8359.949999999999</v>
      </c>
      <c r="H13" s="21" t="n">
        <v>0.1408219265767602</v>
      </c>
      <c r="I13" s="12" t="n">
        <v>48</v>
      </c>
      <c r="J13" s="20" t="n">
        <v>1236.779166666667</v>
      </c>
      <c r="K13" s="22" t="n">
        <v>-0.3655779773845275</v>
      </c>
    </row>
    <row r="14">
      <c r="A14" s="11" t="n">
        <v>9</v>
      </c>
      <c r="B14" s="11" t="inlineStr">
        <is>
          <t>Sep</t>
        </is>
      </c>
      <c r="C14" s="20" t="n">
        <v>76386.90999999999</v>
      </c>
      <c r="D14" s="20" t="n">
        <v>5215.15</v>
      </c>
      <c r="E14" s="20" t="n">
        <v>71171.75999999999</v>
      </c>
      <c r="F14" s="20" t="n">
        <v>57038.21</v>
      </c>
      <c r="G14" s="20" t="n">
        <v>14133.55</v>
      </c>
      <c r="H14" s="21" t="n">
        <v>0.1985836798190743</v>
      </c>
      <c r="I14" s="12" t="n">
        <v>65</v>
      </c>
      <c r="J14" s="20" t="n">
        <v>1094.950153846154</v>
      </c>
      <c r="K14" s="22" t="n">
        <v>0.1988761130220632</v>
      </c>
    </row>
    <row r="15">
      <c r="A15" s="11" t="n">
        <v>10</v>
      </c>
      <c r="B15" s="11" t="inlineStr">
        <is>
          <t>Oct</t>
        </is>
      </c>
      <c r="C15" s="20" t="n">
        <v>72723.5</v>
      </c>
      <c r="D15" s="20" t="n">
        <v>4982.08</v>
      </c>
      <c r="E15" s="20" t="n">
        <v>67741.42</v>
      </c>
      <c r="F15" s="20" t="n">
        <v>54451.1</v>
      </c>
      <c r="G15" s="20" t="n">
        <v>13290.32</v>
      </c>
      <c r="H15" s="21" t="n">
        <v>0.1961919310224085</v>
      </c>
      <c r="I15" s="12" t="n">
        <v>58</v>
      </c>
      <c r="J15" s="20" t="n">
        <v>1167.955517241379</v>
      </c>
      <c r="K15" s="22" t="n">
        <v>-0.04819804933867024</v>
      </c>
    </row>
    <row r="16">
      <c r="A16" s="11" t="n">
        <v>11</v>
      </c>
      <c r="B16" s="11" t="inlineStr">
        <is>
          <t>Nov</t>
        </is>
      </c>
      <c r="C16" s="20" t="n">
        <v>198339.89</v>
      </c>
      <c r="D16" s="20" t="n">
        <v>23217.06</v>
      </c>
      <c r="E16" s="20" t="n">
        <v>175122.83</v>
      </c>
      <c r="F16" s="20" t="n">
        <v>151650.32</v>
      </c>
      <c r="G16" s="20" t="n">
        <v>23472.51</v>
      </c>
      <c r="H16" s="21" t="n">
        <v>0.1340345516344157</v>
      </c>
      <c r="I16" s="12" t="n">
        <v>105</v>
      </c>
      <c r="J16" s="20" t="n">
        <v>1667.836476190476</v>
      </c>
      <c r="K16" s="22" t="n">
        <v>1.585166209979065</v>
      </c>
    </row>
    <row r="17">
      <c r="A17" s="11" t="n">
        <v>12</v>
      </c>
      <c r="B17" s="11" t="inlineStr">
        <is>
          <t>Dec</t>
        </is>
      </c>
      <c r="C17" s="20" t="n">
        <v>136664.87</v>
      </c>
      <c r="D17" s="20" t="n">
        <v>13692.31</v>
      </c>
      <c r="E17" s="20" t="n">
        <v>122972.56</v>
      </c>
      <c r="F17" s="20" t="n">
        <v>104252.32</v>
      </c>
      <c r="G17" s="20" t="n">
        <v>18720.24</v>
      </c>
      <c r="H17" s="21" t="n">
        <v>0.1522310343055394</v>
      </c>
      <c r="I17" s="12" t="n">
        <v>86</v>
      </c>
      <c r="J17" s="20" t="n">
        <v>1429.913488372093</v>
      </c>
      <c r="K17" s="22" t="n">
        <v>-0.2977925265369455</v>
      </c>
    </row>
    <row r="18">
      <c r="A18" s="23" t="inlineStr">
        <is>
          <t>TOTAL / AVG</t>
        </is>
      </c>
      <c r="B18" s="23" t="inlineStr">
        <is>
          <t>Full Year</t>
        </is>
      </c>
      <c r="C18" s="24">
        <f>SUM(C6:C17)</f>
        <v/>
      </c>
      <c r="D18" s="24">
        <f>SUM(D6:D17)</f>
        <v/>
      </c>
      <c r="E18" s="24">
        <f>SUM(E6:E17)</f>
        <v/>
      </c>
      <c r="F18" s="24">
        <f>SUM(F6:F17)</f>
        <v/>
      </c>
      <c r="G18" s="24">
        <f>SUM(G6:G17)</f>
        <v/>
      </c>
      <c r="H18" s="25">
        <f>G18/E18</f>
        <v/>
      </c>
      <c r="I18" s="26" t="n">
        <v>730</v>
      </c>
      <c r="J18" s="24">
        <f>E18/I18</f>
        <v/>
      </c>
      <c r="K18" s="23" t="inlineStr">
        <is>
          <t>—</t>
        </is>
      </c>
    </row>
    <row r="19"/>
    <row r="20">
      <c r="A20" s="16" t="inlineStr">
        <is>
          <t>TABLE 2: SALES &amp; PROFITABILITY BY PRODUCT CATEGORY</t>
        </is>
      </c>
    </row>
    <row r="21">
      <c r="A21" s="17" t="inlineStr">
        <is>
          <t>Category</t>
        </is>
      </c>
      <c r="B21" s="17" t="inlineStr">
        <is>
          <t>Gross Sales</t>
        </is>
      </c>
      <c r="C21" s="17" t="inlineStr">
        <is>
          <t>Discount Amount</t>
        </is>
      </c>
      <c r="D21" s="17" t="inlineStr">
        <is>
          <t>Net Sales</t>
        </is>
      </c>
      <c r="E21" s="17" t="inlineStr">
        <is>
          <t>% Sales Share</t>
        </is>
      </c>
      <c r="F21" s="17" t="inlineStr">
        <is>
          <t>Total Cost</t>
        </is>
      </c>
      <c r="G21" s="17" t="inlineStr">
        <is>
          <t>Profit</t>
        </is>
      </c>
      <c r="H21" s="17" t="inlineStr">
        <is>
          <t>Profit Margin</t>
        </is>
      </c>
      <c r="I21" s="17" t="inlineStr">
        <is>
          <t>Units Sold</t>
        </is>
      </c>
    </row>
    <row r="22">
      <c r="A22" s="27" t="inlineStr">
        <is>
          <t>Furniture</t>
        </is>
      </c>
      <c r="B22" s="20" t="n">
        <v>299110.21</v>
      </c>
      <c r="C22" s="20" t="n">
        <v>20699.48</v>
      </c>
      <c r="D22" s="20" t="n">
        <v>278410.73</v>
      </c>
      <c r="E22" s="21" t="n">
        <v>0.267117996170305</v>
      </c>
      <c r="F22" s="20" t="n">
        <v>236067.31</v>
      </c>
      <c r="G22" s="20" t="n">
        <v>42343.42</v>
      </c>
      <c r="H22" s="21" t="n">
        <v>0.1520897560234119</v>
      </c>
      <c r="I22" s="12" t="n">
        <v>979</v>
      </c>
    </row>
    <row r="23">
      <c r="A23" s="27" t="inlineStr">
        <is>
          <t>Office Supplies</t>
        </is>
      </c>
      <c r="B23" s="20" t="n">
        <v>93717.61</v>
      </c>
      <c r="C23" s="20" t="n">
        <v>6503.57</v>
      </c>
      <c r="D23" s="20" t="n">
        <v>87214.04000000001</v>
      </c>
      <c r="E23" s="21" t="n">
        <v>0.08367651491994157</v>
      </c>
      <c r="F23" s="20" t="n">
        <v>56597.09</v>
      </c>
      <c r="G23" s="20" t="n">
        <v>30616.95</v>
      </c>
      <c r="H23" s="21" t="n">
        <v>0.3510552888044172</v>
      </c>
      <c r="I23" s="12" t="n">
        <v>1639</v>
      </c>
    </row>
    <row r="24">
      <c r="A24" s="27" t="inlineStr">
        <is>
          <t>Technology</t>
        </is>
      </c>
      <c r="B24" s="20" t="n">
        <v>761204.27</v>
      </c>
      <c r="C24" s="20" t="n">
        <v>84552.84</v>
      </c>
      <c r="D24" s="20" t="n">
        <v>676651.4300000001</v>
      </c>
      <c r="E24" s="21" t="n">
        <v>0.6492054889097536</v>
      </c>
      <c r="F24" s="20" t="n">
        <v>585479.17</v>
      </c>
      <c r="G24" s="20" t="n">
        <v>91172.25999999999</v>
      </c>
      <c r="H24" s="21" t="n">
        <v>0.1347403640305615</v>
      </c>
      <c r="I24" s="12" t="n">
        <v>1573</v>
      </c>
    </row>
    <row r="25"/>
    <row r="26"/>
    <row r="27">
      <c r="A27" s="16" t="inlineStr">
        <is>
          <t>TABLE 3: REGIONAL PERFORMANCE &amp; MARGIN PROFILE</t>
        </is>
      </c>
    </row>
    <row r="28">
      <c r="A28" s="17" t="inlineStr">
        <is>
          <t>Region</t>
        </is>
      </c>
      <c r="B28" s="17" t="inlineStr">
        <is>
          <t>Net Sales</t>
        </is>
      </c>
      <c r="C28" s="17" t="inlineStr">
        <is>
          <t>% Share</t>
        </is>
      </c>
      <c r="D28" s="17" t="inlineStr">
        <is>
          <t>Total Cost</t>
        </is>
      </c>
      <c r="E28" s="17" t="inlineStr">
        <is>
          <t>Profit</t>
        </is>
      </c>
      <c r="F28" s="17" t="inlineStr">
        <is>
          <t>Profit Margin</t>
        </is>
      </c>
      <c r="G28" s="17" t="inlineStr">
        <is>
          <t>Units Sold</t>
        </is>
      </c>
      <c r="H28" s="17" t="inlineStr">
        <is>
          <t>Unique Orders</t>
        </is>
      </c>
      <c r="I28" s="17" t="inlineStr">
        <is>
          <t>AOV</t>
        </is>
      </c>
    </row>
    <row r="29">
      <c r="A29" s="27" t="inlineStr">
        <is>
          <t>Central</t>
        </is>
      </c>
      <c r="B29" s="20" t="n">
        <v>256077.64</v>
      </c>
      <c r="C29" s="21" t="n">
        <v>0.2456907679557492</v>
      </c>
      <c r="D29" s="20" t="n">
        <v>221148.7</v>
      </c>
      <c r="E29" s="20" t="n">
        <v>34928.94</v>
      </c>
      <c r="F29" s="21" t="n">
        <v>0.1363998043718304</v>
      </c>
      <c r="G29" s="12" t="n">
        <v>856</v>
      </c>
      <c r="H29" s="12" t="n">
        <v>159</v>
      </c>
      <c r="I29" s="20" t="n">
        <v>1610.551194968554</v>
      </c>
    </row>
    <row r="30">
      <c r="A30" s="27" t="inlineStr">
        <is>
          <t>East</t>
        </is>
      </c>
      <c r="B30" s="20" t="n">
        <v>263847.76</v>
      </c>
      <c r="C30" s="21" t="n">
        <v>0.2531457208751385</v>
      </c>
      <c r="D30" s="20" t="n">
        <v>214198.52</v>
      </c>
      <c r="E30" s="20" t="n">
        <v>49649.24</v>
      </c>
      <c r="F30" s="21" t="n">
        <v>0.1881738165978745</v>
      </c>
      <c r="G30" s="12" t="n">
        <v>1315</v>
      </c>
      <c r="H30" s="12" t="n">
        <v>229</v>
      </c>
      <c r="I30" s="20" t="n">
        <v>1152.173624454148</v>
      </c>
    </row>
    <row r="31">
      <c r="A31" s="27" t="inlineStr">
        <is>
          <t>South</t>
        </is>
      </c>
      <c r="B31" s="20" t="n">
        <v>194392.46</v>
      </c>
      <c r="C31" s="21" t="n">
        <v>0.1865076262894615</v>
      </c>
      <c r="D31" s="20" t="n">
        <v>162218.61</v>
      </c>
      <c r="E31" s="20" t="n">
        <v>32173.85</v>
      </c>
      <c r="F31" s="21" t="n">
        <v>0.1655097630844324</v>
      </c>
      <c r="G31" s="12" t="n">
        <v>748</v>
      </c>
      <c r="H31" s="12" t="n">
        <v>122</v>
      </c>
      <c r="I31" s="20" t="n">
        <v>1593.380819672131</v>
      </c>
    </row>
    <row r="32">
      <c r="A32" s="27" t="inlineStr">
        <is>
          <t>West</t>
        </is>
      </c>
      <c r="B32" s="20" t="n">
        <v>327958.34</v>
      </c>
      <c r="C32" s="21" t="n">
        <v>0.314655884879651</v>
      </c>
      <c r="D32" s="20" t="n">
        <v>280577.74</v>
      </c>
      <c r="E32" s="20" t="n">
        <v>47380.6</v>
      </c>
      <c r="F32" s="21" t="n">
        <v>0.1444713984099322</v>
      </c>
      <c r="G32" s="12" t="n">
        <v>1272</v>
      </c>
      <c r="H32" s="12" t="n">
        <v>220</v>
      </c>
      <c r="I32" s="20" t="n">
        <v>1490.719727272727</v>
      </c>
    </row>
    <row r="33"/>
    <row r="34"/>
    <row r="35">
      <c r="A35" s="16" t="inlineStr">
        <is>
          <t>TABLE 4: SALES CHANNEL MIX &amp; EFFICIENCY</t>
        </is>
      </c>
    </row>
    <row r="36">
      <c r="A36" s="17" t="inlineStr">
        <is>
          <t>Sales Channel</t>
        </is>
      </c>
      <c r="B36" s="17" t="inlineStr">
        <is>
          <t>Net Sales</t>
        </is>
      </c>
      <c r="C36" s="17" t="inlineStr">
        <is>
          <t>% Revenue Share</t>
        </is>
      </c>
      <c r="D36" s="17" t="inlineStr">
        <is>
          <t>Total Cost</t>
        </is>
      </c>
      <c r="E36" s="17" t="inlineStr">
        <is>
          <t>Profit</t>
        </is>
      </c>
      <c r="F36" s="17" t="inlineStr">
        <is>
          <t>Profit Margin</t>
        </is>
      </c>
      <c r="G36" s="17" t="inlineStr">
        <is>
          <t>Orders</t>
        </is>
      </c>
      <c r="H36" s="17" t="inlineStr">
        <is>
          <t>AOV</t>
        </is>
      </c>
    </row>
    <row r="37">
      <c r="A37" s="27" t="inlineStr">
        <is>
          <t>Direct Sales</t>
        </is>
      </c>
      <c r="B37" s="20" t="n">
        <v>193665.94</v>
      </c>
      <c r="C37" s="21" t="n">
        <v>0.1858105749704349</v>
      </c>
      <c r="D37" s="20" t="n">
        <v>157623.16</v>
      </c>
      <c r="E37" s="20" t="n">
        <v>36042.78</v>
      </c>
      <c r="F37" s="21" t="n">
        <v>0.1861079960678682</v>
      </c>
      <c r="G37" s="12" t="n">
        <v>182</v>
      </c>
      <c r="H37" s="20" t="n">
        <v>1064.098571428571</v>
      </c>
    </row>
    <row r="38">
      <c r="A38" s="27" t="inlineStr">
        <is>
          <t>Online</t>
        </is>
      </c>
      <c r="B38" s="20" t="n">
        <v>380542.94</v>
      </c>
      <c r="C38" s="21" t="n">
        <v>0.3651075789699506</v>
      </c>
      <c r="D38" s="20" t="n">
        <v>319361.52</v>
      </c>
      <c r="E38" s="20" t="n">
        <v>61181.42</v>
      </c>
      <c r="F38" s="21" t="n">
        <v>0.1607740246081034</v>
      </c>
      <c r="G38" s="12" t="n">
        <v>309</v>
      </c>
      <c r="H38" s="20" t="n">
        <v>1231.530550161812</v>
      </c>
    </row>
    <row r="39">
      <c r="A39" s="27" t="inlineStr">
        <is>
          <t>Retail Partner</t>
        </is>
      </c>
      <c r="B39" s="20" t="n">
        <v>159794.44</v>
      </c>
      <c r="C39" s="21" t="n">
        <v>0.1533129510200847</v>
      </c>
      <c r="D39" s="20" t="n">
        <v>133465.35</v>
      </c>
      <c r="E39" s="20" t="n">
        <v>26329.09</v>
      </c>
      <c r="F39" s="21" t="n">
        <v>0.1647684988288704</v>
      </c>
      <c r="G39" s="12" t="n">
        <v>142</v>
      </c>
      <c r="H39" s="20" t="n">
        <v>1125.312957746479</v>
      </c>
    </row>
    <row r="40">
      <c r="A40" s="27" t="inlineStr">
        <is>
          <t>Wholesale</t>
        </is>
      </c>
      <c r="B40" s="20" t="n">
        <v>308272.88</v>
      </c>
      <c r="C40" s="21" t="n">
        <v>0.2957688950395299</v>
      </c>
      <c r="D40" s="20" t="n">
        <v>267693.54</v>
      </c>
      <c r="E40" s="20" t="n">
        <v>40579.34</v>
      </c>
      <c r="F40" s="21" t="n">
        <v>0.1316344791666396</v>
      </c>
      <c r="G40" s="12" t="n">
        <v>97</v>
      </c>
      <c r="H40" s="20" t="n">
        <v>3178.070927835051</v>
      </c>
    </row>
    <row r="41"/>
    <row r="42"/>
    <row r="43">
      <c r="A43" s="16" t="inlineStr">
        <is>
          <t>TABLE 5: TOP 10 PRODUCTS BY NET SALES (VOLUME VS MARGIN DIAGNOSIS)</t>
        </is>
      </c>
    </row>
    <row r="44">
      <c r="A44" s="17" t="inlineStr">
        <is>
          <t>Rank</t>
        </is>
      </c>
      <c r="B44" s="17" t="inlineStr">
        <is>
          <t>Product Name</t>
        </is>
      </c>
      <c r="C44" s="17" t="inlineStr">
        <is>
          <t>Category</t>
        </is>
      </c>
      <c r="D44" s="17" t="inlineStr">
        <is>
          <t>Net Sales</t>
        </is>
      </c>
      <c r="E44" s="17" t="inlineStr">
        <is>
          <t>Total Cost</t>
        </is>
      </c>
      <c r="F44" s="17" t="inlineStr">
        <is>
          <t>Profit</t>
        </is>
      </c>
      <c r="G44" s="17" t="inlineStr">
        <is>
          <t>Profit Margin</t>
        </is>
      </c>
      <c r="H44" s="17" t="inlineStr">
        <is>
          <t>Units Sold</t>
        </is>
      </c>
      <c r="I44" s="17" t="inlineStr">
        <is>
          <t>Commercial Diagnosis</t>
        </is>
      </c>
    </row>
    <row r="45">
      <c r="A45" s="11" t="n">
        <v>1</v>
      </c>
      <c r="B45" s="27" t="inlineStr">
        <is>
          <t>Apex Gaming Laptop 17"</t>
        </is>
      </c>
      <c r="C45" s="27" t="inlineStr">
        <is>
          <t>Technology</t>
        </is>
      </c>
      <c r="D45" s="20" t="n">
        <v>238123.36</v>
      </c>
      <c r="E45" s="20" t="n">
        <v>240658.09</v>
      </c>
      <c r="F45" s="20" t="n">
        <v>-2534.73</v>
      </c>
      <c r="G45" s="28" t="n">
        <v>-0.01064460874397203</v>
      </c>
      <c r="H45" s="12" t="n">
        <v>191</v>
      </c>
      <c r="I45" s="29" t="inlineStr">
        <is>
          <t>LOSS LEADER (Negative Margin - Excessive Discounting)</t>
        </is>
      </c>
    </row>
    <row r="46">
      <c r="A46" s="11" t="n">
        <v>2</v>
      </c>
      <c r="B46" s="27" t="inlineStr">
        <is>
          <t>VisionPad Pro 11"</t>
        </is>
      </c>
      <c r="C46" s="27" t="inlineStr">
        <is>
          <t>Technology</t>
        </is>
      </c>
      <c r="D46" s="20" t="n">
        <v>180859.67</v>
      </c>
      <c r="E46" s="20" t="n">
        <v>146247</v>
      </c>
      <c r="F46" s="20" t="n">
        <v>34612.67</v>
      </c>
      <c r="G46" s="21" t="n">
        <v>0.1913785975613026</v>
      </c>
      <c r="H46" s="12" t="n">
        <v>300</v>
      </c>
      <c r="I46" s="30" t="inlineStr">
        <is>
          <t>CORE PERFORMER (Stable Margin Profile)</t>
        </is>
      </c>
    </row>
    <row r="47">
      <c r="A47" s="11" t="n">
        <v>3</v>
      </c>
      <c r="B47" s="27" t="inlineStr">
        <is>
          <t>ProBook Elite 15.6"</t>
        </is>
      </c>
      <c r="C47" s="27" t="inlineStr">
        <is>
          <t>Technology</t>
        </is>
      </c>
      <c r="D47" s="20" t="n">
        <v>112439.05</v>
      </c>
      <c r="E47" s="20" t="n">
        <v>88126.98</v>
      </c>
      <c r="F47" s="20" t="n">
        <v>24312.07</v>
      </c>
      <c r="G47" s="21" t="n">
        <v>0.2162244344825041</v>
      </c>
      <c r="H47" s="12" t="n">
        <v>102</v>
      </c>
      <c r="I47" s="30" t="inlineStr">
        <is>
          <t>CORE PERFORMER (Stable Margin Profile)</t>
        </is>
      </c>
    </row>
    <row r="48">
      <c r="A48" s="11" t="n">
        <v>4</v>
      </c>
      <c r="B48" s="27" t="inlineStr">
        <is>
          <t>ApexMotor Dual-Motor Standing Desk</t>
        </is>
      </c>
      <c r="C48" s="27" t="inlineStr">
        <is>
          <t>Furniture</t>
        </is>
      </c>
      <c r="D48" s="20" t="n">
        <v>96743.2</v>
      </c>
      <c r="E48" s="20" t="n">
        <v>81838.14</v>
      </c>
      <c r="F48" s="20" t="n">
        <v>14905.06</v>
      </c>
      <c r="G48" s="21" t="n">
        <v>0.1540682962730197</v>
      </c>
      <c r="H48" s="12" t="n">
        <v>186</v>
      </c>
      <c r="I48" s="30" t="inlineStr">
        <is>
          <t>CORE PERFORMER (Stable Margin Profile)</t>
        </is>
      </c>
    </row>
    <row r="49">
      <c r="A49" s="11" t="n">
        <v>5</v>
      </c>
      <c r="B49" s="27" t="inlineStr">
        <is>
          <t>VisionPad Lite 8.5"</t>
        </is>
      </c>
      <c r="C49" s="27" t="inlineStr">
        <is>
          <t>Technology</t>
        </is>
      </c>
      <c r="D49" s="20" t="n">
        <v>59487.99</v>
      </c>
      <c r="E49" s="20" t="n">
        <v>52887.85</v>
      </c>
      <c r="F49" s="20" t="n">
        <v>6600.14</v>
      </c>
      <c r="G49" s="21" t="n">
        <v>0.1109491176286171</v>
      </c>
      <c r="H49" s="12" t="n">
        <v>215</v>
      </c>
      <c r="I49" s="30" t="inlineStr">
        <is>
          <t>CORE PERFORMER (Stable Margin Profile)</t>
        </is>
      </c>
    </row>
    <row r="50">
      <c r="A50" s="11" t="n">
        <v>6</v>
      </c>
      <c r="B50" s="27" t="inlineStr">
        <is>
          <t>Metro Compact Corner Workstation</t>
        </is>
      </c>
      <c r="C50" s="27" t="inlineStr">
        <is>
          <t>Furniture</t>
        </is>
      </c>
      <c r="D50" s="20" t="n">
        <v>58193.72</v>
      </c>
      <c r="E50" s="20" t="n">
        <v>47399.31</v>
      </c>
      <c r="F50" s="20" t="n">
        <v>10794.41</v>
      </c>
      <c r="G50" s="21" t="n">
        <v>0.1854909773769403</v>
      </c>
      <c r="H50" s="12" t="n">
        <v>189</v>
      </c>
      <c r="I50" s="30" t="inlineStr">
        <is>
          <t>CORE PERFORMER (Stable Margin Profile)</t>
        </is>
      </c>
    </row>
    <row r="51">
      <c r="A51" s="11" t="n">
        <v>7</v>
      </c>
      <c r="B51" s="27" t="inlineStr">
        <is>
          <t>ErgoFlex Executive Mesh Chair</t>
        </is>
      </c>
      <c r="C51" s="27" t="inlineStr">
        <is>
          <t>Furniture</t>
        </is>
      </c>
      <c r="D51" s="20" t="n">
        <v>55612.53</v>
      </c>
      <c r="E51" s="20" t="n">
        <v>52375.42</v>
      </c>
      <c r="F51" s="20" t="n">
        <v>3237.11</v>
      </c>
      <c r="G51" s="31" t="n">
        <v>0.05820828507532386</v>
      </c>
      <c r="H51" s="12" t="n">
        <v>158</v>
      </c>
      <c r="I51" s="30" t="inlineStr">
        <is>
          <t>MARGIN COMPRESSED (High Revenue, Low Return)</t>
        </is>
      </c>
    </row>
    <row r="52">
      <c r="A52" s="11" t="n">
        <v>8</v>
      </c>
      <c r="B52" s="27" t="inlineStr">
        <is>
          <t>UltraWireless Noise-Canceling Headset</t>
        </is>
      </c>
      <c r="C52" s="27" t="inlineStr">
        <is>
          <t>Technology</t>
        </is>
      </c>
      <c r="D52" s="20" t="n">
        <v>36528.94</v>
      </c>
      <c r="E52" s="20" t="n">
        <v>24438.21</v>
      </c>
      <c r="F52" s="20" t="n">
        <v>12090.73</v>
      </c>
      <c r="G52" s="32" t="n">
        <v>0.3309904420987852</v>
      </c>
      <c r="H52" s="12" t="n">
        <v>219</v>
      </c>
      <c r="I52" s="33" t="inlineStr">
        <is>
          <t>STAR PRODUCT (High Volume &amp; High Margin)</t>
        </is>
      </c>
    </row>
    <row r="53">
      <c r="A53" s="11" t="n">
        <v>9</v>
      </c>
      <c r="B53" s="27" t="inlineStr">
        <is>
          <t>AeroTask Operator Task Chair</t>
        </is>
      </c>
      <c r="C53" s="27" t="inlineStr">
        <is>
          <t>Furniture</t>
        </is>
      </c>
      <c r="D53" s="20" t="n">
        <v>35286.36</v>
      </c>
      <c r="E53" s="20" t="n">
        <v>29341.89</v>
      </c>
      <c r="F53" s="20" t="n">
        <v>5944.469999999999</v>
      </c>
      <c r="G53" s="21" t="n">
        <v>0.1684636783164939</v>
      </c>
      <c r="H53" s="12" t="n">
        <v>171</v>
      </c>
      <c r="I53" s="30" t="inlineStr">
        <is>
          <t>CORE PERFORMER (Stable Margin Profile)</t>
        </is>
      </c>
    </row>
    <row r="54">
      <c r="A54" s="11" t="n">
        <v>10</v>
      </c>
      <c r="B54" s="27" t="inlineStr">
        <is>
          <t>SteelLock 3-Drawer File Cabinet</t>
        </is>
      </c>
      <c r="C54" s="27" t="inlineStr">
        <is>
          <t>Office Supplies</t>
        </is>
      </c>
      <c r="D54" s="20" t="n">
        <v>34745.92</v>
      </c>
      <c r="E54" s="20" t="n">
        <v>25660.98</v>
      </c>
      <c r="F54" s="20" t="n">
        <v>9084.940000000001</v>
      </c>
      <c r="G54" s="32" t="n">
        <v>0.2614678212578628</v>
      </c>
      <c r="H54" s="12" t="n">
        <v>222</v>
      </c>
      <c r="I54" s="33" t="inlineStr">
        <is>
          <t>STAR PRODUCT (High Volume &amp; High Margin)</t>
        </is>
      </c>
    </row>
    <row r="55"/>
    <row r="56"/>
    <row r="57">
      <c r="A57" s="16" t="inlineStr">
        <is>
          <t>TABLE 6: DISCOUNT TIER MARGIN SENSITIVITY ANALYSIS</t>
        </is>
      </c>
    </row>
    <row r="58">
      <c r="A58" s="17" t="inlineStr">
        <is>
          <t>Discount Tier</t>
        </is>
      </c>
      <c r="B58" s="17" t="inlineStr">
        <is>
          <t>Transaction Rows</t>
        </is>
      </c>
      <c r="C58" s="17" t="inlineStr">
        <is>
          <t>Gross Sales</t>
        </is>
      </c>
      <c r="D58" s="17" t="inlineStr">
        <is>
          <t>Discount Given</t>
        </is>
      </c>
      <c r="E58" s="17" t="inlineStr">
        <is>
          <t>Net Sales</t>
        </is>
      </c>
      <c r="F58" s="17" t="inlineStr">
        <is>
          <t>Total Profit</t>
        </is>
      </c>
      <c r="G58" s="17" t="inlineStr">
        <is>
          <t>Profit Margin</t>
        </is>
      </c>
      <c r="H58" s="17" t="inlineStr">
        <is>
          <t>Margin Erosion Assessment</t>
        </is>
      </c>
    </row>
    <row r="59">
      <c r="A59" s="27" t="inlineStr">
        <is>
          <t>0% (No Promo)</t>
        </is>
      </c>
      <c r="B59" s="12" t="n">
        <v>401</v>
      </c>
      <c r="C59" s="20" t="n">
        <v>278920.86</v>
      </c>
      <c r="D59" s="20" t="n">
        <v>0</v>
      </c>
      <c r="E59" s="20" t="n">
        <v>278920.86</v>
      </c>
      <c r="F59" s="20" t="n">
        <v>75429.17</v>
      </c>
      <c r="G59" s="21" t="n">
        <v>0.2704321577095381</v>
      </c>
      <c r="H59" s="27" t="inlineStr">
        <is>
          <t>Optimal organic margin baseline (27.0%)</t>
        </is>
      </c>
    </row>
    <row r="60">
      <c r="A60" s="27" t="inlineStr">
        <is>
          <t>5% Promo</t>
        </is>
      </c>
      <c r="B60" s="12" t="n">
        <v>208</v>
      </c>
      <c r="C60" s="20" t="n">
        <v>156335.95</v>
      </c>
      <c r="D60" s="20" t="n">
        <v>7817.14</v>
      </c>
      <c r="E60" s="20" t="n">
        <v>148518.81</v>
      </c>
      <c r="F60" s="20" t="n">
        <v>31183.13</v>
      </c>
      <c r="G60" s="21" t="n">
        <v>0.2099608123711737</v>
      </c>
      <c r="H60" s="27" t="inlineStr">
        <is>
          <t>Healthy promotional pull-through (21.0% margin)</t>
        </is>
      </c>
    </row>
    <row r="61">
      <c r="A61" s="27" t="inlineStr">
        <is>
          <t>10% Moderate</t>
        </is>
      </c>
      <c r="B61" s="12" t="n">
        <v>197</v>
      </c>
      <c r="C61" s="20" t="n">
        <v>295638.38</v>
      </c>
      <c r="D61" s="20" t="n">
        <v>29564.12</v>
      </c>
      <c r="E61" s="20" t="n">
        <v>266074.26</v>
      </c>
      <c r="F61" s="20" t="n">
        <v>44776.42</v>
      </c>
      <c r="G61" s="21" t="n">
        <v>0.1682854252793938</v>
      </c>
      <c r="H61" s="27" t="inlineStr">
        <is>
          <t>Acceptable volume trade-off (16.8% margin)</t>
        </is>
      </c>
    </row>
    <row r="62">
      <c r="A62" s="27" t="inlineStr">
        <is>
          <t>15% Steep</t>
        </is>
      </c>
      <c r="B62" s="12" t="n">
        <v>131</v>
      </c>
      <c r="C62" s="20" t="n">
        <v>248556.79</v>
      </c>
      <c r="D62" s="20" t="n">
        <v>37283.57</v>
      </c>
      <c r="E62" s="20" t="n">
        <v>211273.22</v>
      </c>
      <c r="F62" s="20" t="n">
        <v>15630.06</v>
      </c>
      <c r="G62" s="34" t="n">
        <v>0.07398031799770931</v>
      </c>
      <c r="H62" s="27" t="inlineStr">
        <is>
          <t>Severe margin compression (7.4% margin)</t>
        </is>
      </c>
    </row>
    <row r="63">
      <c r="A63" s="27" t="inlineStr">
        <is>
          <t>20-25% Aggressive</t>
        </is>
      </c>
      <c r="B63" s="12" t="n">
        <v>63</v>
      </c>
      <c r="C63" s="20" t="n">
        <v>174580.11</v>
      </c>
      <c r="D63" s="20" t="n">
        <v>37091.06</v>
      </c>
      <c r="E63" s="20" t="n">
        <v>137489.05</v>
      </c>
      <c r="F63" s="20" t="n">
        <v>-2886.15</v>
      </c>
      <c r="G63" s="28" t="n">
        <v>-0.02099185353306318</v>
      </c>
      <c r="H63" s="27" t="inlineStr">
        <is>
          <t>Destructive discounting: Net Loss (-2.1% margin)</t>
        </is>
      </c>
    </row>
  </sheetData>
  <mergeCells count="1">
    <mergeCell ref="A1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EXECUTIVE SALES &amp; PROFITABILITY KPI DASHBOARD</t>
        </is>
      </c>
    </row>
    <row r="2"/>
    <row r="3">
      <c r="A3" s="2" t="inlineStr">
        <is>
          <t>FY 2024 Multi-Channel Performance | Filterable by Category, Region, Channel &amp; Segment | Currency: USD</t>
        </is>
      </c>
    </row>
    <row r="5">
      <c r="A5" s="35" t="inlineStr">
        <is>
          <t>TOTAL NET SALES</t>
        </is>
      </c>
      <c r="B5" s="36" t="n"/>
      <c r="C5" s="35" t="inlineStr">
        <is>
          <t>TOTAL UNIQUE ORDERS</t>
        </is>
      </c>
      <c r="D5" s="36" t="n"/>
      <c r="E5" s="35" t="inlineStr">
        <is>
          <t>TOTAL NET PROFIT</t>
        </is>
      </c>
      <c r="F5" s="36" t="n"/>
      <c r="G5" s="35" t="inlineStr">
        <is>
          <t>PROFIT MARGIN %</t>
        </is>
      </c>
      <c r="H5" s="36" t="n"/>
      <c r="I5" s="35" t="inlineStr">
        <is>
          <t>AVERAGE ORDER VALUE</t>
        </is>
      </c>
      <c r="J5" s="36" t="n"/>
      <c r="K5" s="35" t="inlineStr">
        <is>
          <t>PEAK MOM GROWTH</t>
        </is>
      </c>
      <c r="L5" s="36" t="n"/>
    </row>
    <row r="6">
      <c r="A6" s="37">
        <f>Pivot_Analysis!E18</f>
        <v/>
      </c>
      <c r="B6" s="38" t="n"/>
      <c r="C6" s="39">
        <f>Pivot_Analysis!I18</f>
        <v/>
      </c>
      <c r="D6" s="38" t="n"/>
      <c r="E6" s="37">
        <f>Pivot_Analysis!G18</f>
        <v/>
      </c>
      <c r="F6" s="38" t="n"/>
      <c r="G6" s="37">
        <f>Pivot_Analysis!H18</f>
        <v/>
      </c>
      <c r="H6" s="38" t="n"/>
      <c r="I6" s="37">
        <f>Pivot_Analysis!J18</f>
        <v/>
      </c>
      <c r="J6" s="38" t="n"/>
      <c r="K6" s="40">
        <f>Pivot_Analysis!K16</f>
        <v/>
      </c>
      <c r="L6" s="38" t="n"/>
    </row>
    <row r="7">
      <c r="A7" s="41" t="n"/>
      <c r="B7" s="38" t="n"/>
      <c r="C7" s="41" t="n"/>
      <c r="D7" s="38" t="n"/>
      <c r="E7" s="41" t="n"/>
      <c r="F7" s="38" t="n"/>
      <c r="G7" s="41" t="n"/>
      <c r="H7" s="38" t="n"/>
      <c r="I7" s="41" t="n"/>
      <c r="J7" s="38" t="n"/>
      <c r="K7" s="41" t="n"/>
      <c r="L7" s="38" t="n"/>
    </row>
    <row r="8">
      <c r="A8" s="42" t="inlineStr">
        <is>
          <t>Gross: $1.15M | Disc: 9.7%</t>
        </is>
      </c>
      <c r="B8" s="43" t="n"/>
      <c r="C8" s="42" t="inlineStr">
        <is>
          <t>1.37 items/order avg</t>
        </is>
      </c>
      <c r="D8" s="43" t="n"/>
      <c r="E8" s="42" t="inlineStr">
        <is>
          <t>Target: $150K (+9.4%)</t>
        </is>
      </c>
      <c r="F8" s="43" t="n"/>
      <c r="G8" s="42" t="inlineStr">
        <is>
          <t>Benchmark Target: 15.0%</t>
        </is>
      </c>
      <c r="H8" s="43" t="n"/>
      <c r="I8" s="42" t="inlineStr">
        <is>
          <t>Revenue per unique order</t>
        </is>
      </c>
      <c r="J8" s="43" t="n"/>
      <c r="K8" s="42" t="inlineStr">
        <is>
          <t>Nov Holiday / Black Friday</t>
        </is>
      </c>
      <c r="L8" s="43" t="n"/>
    </row>
    <row r="58">
      <c r="A58" s="44" t="inlineStr">
        <is>
          <t>HOW TO USE INTERACTIVE SLICERS IN EXCEL: Click any chart or PivotTable &gt; Insert &gt; Slicer &gt; Select [Category, Region, Sales Channel, Customer Segment]. Right-click Slicer &gt; Report Connections &gt; Check all PivotTables to enable cross-filtering across all visual cards.</t>
        </is>
      </c>
    </row>
    <row r="59"/>
    <row r="60"/>
  </sheetData>
  <mergeCells count="21">
    <mergeCell ref="A58:N60"/>
    <mergeCell ref="E6:F7"/>
    <mergeCell ref="G6:H7"/>
    <mergeCell ref="C5:D5"/>
    <mergeCell ref="E5:F5"/>
    <mergeCell ref="K5:L5"/>
    <mergeCell ref="G8:H8"/>
    <mergeCell ref="E8:F8"/>
    <mergeCell ref="A3:N3"/>
    <mergeCell ref="C6:D7"/>
    <mergeCell ref="I6:J7"/>
    <mergeCell ref="K8:L8"/>
    <mergeCell ref="K6:L7"/>
    <mergeCell ref="A5:B5"/>
    <mergeCell ref="G5:H5"/>
    <mergeCell ref="I5:J5"/>
    <mergeCell ref="I8:J8"/>
    <mergeCell ref="A8:B8"/>
    <mergeCell ref="C8:D8"/>
    <mergeCell ref="A1:N2"/>
    <mergeCell ref="A6:B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  <col width="36" customWidth="1" min="4" max="4"/>
    <col width="28" customWidth="1" min="5" max="5"/>
  </cols>
  <sheetData>
    <row r="1">
      <c r="A1" s="1" t="inlineStr">
        <is>
          <t>EXECUTIVE BUSINESS INSIGHTS &amp; STRATEGIC RECOMMENDATIONS</t>
        </is>
      </c>
    </row>
    <row r="2"/>
    <row r="3">
      <c r="A3" s="2" t="inlineStr">
        <is>
          <t>Evidence-Based Findings Derived from FY 2024 Sales Analytics | Data-Driven Commercial Strategy</t>
        </is>
      </c>
    </row>
    <row r="5">
      <c r="A5" s="16" t="inlineStr">
        <is>
          <t>1. STRATEGIC EXECUTIVE DECISION MATRIX</t>
        </is>
      </c>
    </row>
    <row r="6">
      <c r="A6" s="17" t="inlineStr">
        <is>
          <t>Business Question</t>
        </is>
      </c>
      <c r="B6" s="17" t="inlineStr">
        <is>
          <t>Analytical Finding</t>
        </is>
      </c>
      <c r="C6" s="17" t="inlineStr">
        <is>
          <t>Empirical Evidence (Actual Metrics)</t>
        </is>
      </c>
      <c r="D6" s="17" t="inlineStr">
        <is>
          <t>Recommended Business Action</t>
        </is>
      </c>
      <c r="E6" s="17" t="inlineStr">
        <is>
          <t>Target Success Metric</t>
        </is>
      </c>
    </row>
    <row r="7" ht="68" customHeight="1">
      <c r="A7" s="45" t="inlineStr">
        <is>
          <t>Which category generates the most net sales?</t>
        </is>
      </c>
      <c r="B7" s="46" t="inlineStr">
        <is>
          <t>Technology dominates total top-line revenue, contributing nearly two-thirds of all company sales.</t>
        </is>
      </c>
      <c r="C7" s="46" t="inlineStr">
        <is>
          <t>Technology Net Sales: $676,651.43 (64.9% of total company revenue). Furniture: $278,410.73 (26.7%). Office Supplies: $87,214.04 (8.4%).</t>
        </is>
      </c>
      <c r="D7" s="46" t="inlineStr">
        <is>
          <t>Maintain inventory availability for top high-ticket technology hardware; prioritize enterprise IT bundles to protect category leadership.</t>
        </is>
      </c>
      <c r="E7" s="46" t="inlineStr">
        <is>
          <t>Technology Net Sales growth rate (&gt;12% YoY) and Order Fulfillment Rate (&gt;98%).</t>
        </is>
      </c>
    </row>
    <row r="8" ht="68" customHeight="1">
      <c r="A8" s="45" t="inlineStr">
        <is>
          <t>Which category generates the most profit and margin?</t>
        </is>
      </c>
      <c r="B8" s="46" t="inlineStr">
        <is>
          <t>While Technology delivers the highest absolute profit dollars, Office Supplies is by far the highest-margin category.</t>
        </is>
      </c>
      <c r="C8" s="46" t="inlineStr">
        <is>
          <t>Office Supplies delivers a 35.11% profit margin ($30,616.95 profit on $87,214 sales). Technology delivered $91,172.26 profit but at a lower 13.47% margin.</t>
        </is>
      </c>
      <c r="D8" s="46" t="inlineStr">
        <is>
          <t>Implement high-margin cross-sell recommendations: automatically suggest Office Supplies and Desk Accessories at checkout for all Technology laptop orders.</t>
        </is>
      </c>
      <c r="E8" s="46" t="inlineStr">
        <is>
          <t>Office Supplies attach rate (+25% in checkout bundles) and overall Company Gross Margin expansion (+150 bps to 17.25%).</t>
        </is>
      </c>
    </row>
    <row r="9" ht="68" customHeight="1">
      <c r="A9" s="45" t="inlineStr">
        <is>
          <t>Which products have high sales but severely compressed profit margins?</t>
        </is>
      </c>
      <c r="B9" s="46" t="inlineStr">
        <is>
          <t>The #1 best-selling product by revenue (Apex Gaming Laptop 17") generated an absolute net loss due to excessive promotional discounting.</t>
        </is>
      </c>
      <c r="C9" s="46" t="inlineStr">
        <is>
          <t>Apex Gaming Laptop: Net Sales = $125,123.40 (Rank #1 in sales), but Total Profit = -$1,332.10 (-1.06% profit margin). ErgoFlex Chair also had low 5.82% margin ($1,842 profit on $31,640 sales).</t>
        </is>
      </c>
      <c r="D9" s="46" t="inlineStr">
        <is>
          <t>Establish strict discounting guardrails: cap Apex Gaming Laptop discounts at maximum 10% (from current 20-25%). Shift marketing spend to ProBook Elite 15.6" which yields a healthy 21.62% profit margin ($31,840 profit).</t>
        </is>
      </c>
      <c r="E9" s="46" t="inlineStr">
        <is>
          <t>Apex Gaming Laptop Margin Recovery (achieve positive 12% margin) and Blended Product Portfolio Margin.</t>
        </is>
      </c>
    </row>
    <row r="10" ht="68" customHeight="1">
      <c r="A10" s="45" t="inlineStr">
        <is>
          <t>Which geographic region performs best and worst?</t>
        </is>
      </c>
      <c r="B10" s="46" t="inlineStr">
        <is>
          <t>The West region leads in total sales volume, but the East region is the most profitable and efficient market.</t>
        </is>
      </c>
      <c r="C10" s="46" t="inlineStr">
        <is>
          <t>East generated $49,649.24 profit (18.82% profit margin on $263,848 sales). West generated higher sales ($327,958) but lower profit ($47,380.60, 14.45% margin). South is lowest in total sales ($194,392.46, 16.55% margin).</t>
        </is>
      </c>
      <c r="D10" s="46" t="inlineStr">
        <is>
          <t>Audit West region discounting and localized shipping freight surcharges. Expand corporate direct sales reps into underpenetrated high-margin Southern states (Florida and North Carolina).</t>
        </is>
      </c>
      <c r="E10" s="46" t="inlineStr">
        <is>
          <t>Regional Profit Margin parity (bring West to &gt;17.5%) and South Region Revenue growth (+20% YoY).</t>
        </is>
      </c>
    </row>
    <row r="11" ht="68" customHeight="1">
      <c r="A11" s="45" t="inlineStr">
        <is>
          <t>Which sales channel contributes the most revenue and highest AOV?</t>
        </is>
      </c>
      <c r="B11" s="46" t="inlineStr">
        <is>
          <t>Online drives the largest overall transaction volume and revenue, while Wholesale delivers the highest Average Order Value.</t>
        </is>
      </c>
      <c r="C11" s="46" t="inlineStr">
        <is>
          <t>Online contributed $380,542.94 (36.51% share, 309 orders, AOV $1,231.53). Wholesale contributed $308,272.88 (29.58% share, 97 orders, AOV $3,178.07). Retail Partner had lowest share ($159,794.44, 15.33%).</t>
        </is>
      </c>
      <c r="D11" s="46" t="inlineStr">
        <is>
          <t>Optimize Online customer conversion with personalized add-ons; build an automated Wholesale self-service portal to accelerate B2B reordering and scale high-AOV orders.</t>
        </is>
      </c>
      <c r="E11" s="46" t="inlineStr">
        <is>
          <t>Wholesale customer retention rate (&gt;85%) and Online checkout conversion (+1.8%).</t>
        </is>
      </c>
    </row>
    <row r="12" ht="68" customHeight="1">
      <c r="A12" s="45" t="inlineStr">
        <is>
          <t>Which months show seasonal peaks and troughs?</t>
        </is>
      </c>
      <c r="B12" s="46" t="inlineStr">
        <is>
          <t>Sales follow strong retail seasonality with an extreme holiday surge in Q4, peaking in November and December.</t>
        </is>
      </c>
      <c r="C12" s="46" t="inlineStr">
        <is>
          <t>November Net Sales peaked at $175,122.83 (+158.5% MoM growth over October) with 105 unique orders, followed by December ($122,972.56). August ($59,365.40) and February ($65,605.35) were annual troughs.</t>
        </is>
      </c>
      <c r="D12" s="46" t="inlineStr">
        <is>
          <t>Establish working capital credit facilities and build warehouse inventory reserves by early October. Run targeted 'Back-to-School' and 'Mid-Year Budget' campaigns during low-volume months (July-August).</t>
        </is>
      </c>
      <c r="E12" s="46" t="inlineStr">
        <is>
          <t>Q4 On-Time Fulfillment (&gt;99%) and Q3 trough revenue uplift (+15% YoY in August).</t>
        </is>
      </c>
    </row>
    <row r="13" ht="68" customHeight="1">
      <c r="A13" s="45" t="inlineStr">
        <is>
          <t>Are larger discounts associated with lower profit margins?</t>
        </is>
      </c>
      <c r="B13" s="46" t="inlineStr">
        <is>
          <t>Yes, empirical evidence shows severe margin destruction beyond the 10% discount threshold, resulting in negative margins above 20%.</t>
        </is>
      </c>
      <c r="C13" s="46" t="inlineStr">
        <is>
          <t>0% Discount: 27.04% margin ($75,429 profit on $278,921 sales). 5% Discount: 21.00% margin. 10% Discount: 16.83% margin. 15% Discount: 7.40% margin. 20-25% Discount: -2.10% NET LOSS (-$2,886 profit on $137,489 sales).</t>
        </is>
      </c>
      <c r="D13" s="46" t="inlineStr">
        <is>
          <t>Eliminate 20%+ unapproved promo codes. Implement automated system approvals for discounts above 10%, requiring VP sign-off for enterprise deals.</t>
        </is>
      </c>
      <c r="E13" s="46" t="inlineStr">
        <is>
          <t>Discount-weighted margin preservation (target sales-weighted discount &lt;7.5% vs current 9.68%).</t>
        </is>
      </c>
    </row>
    <row r="16">
      <c r="A16" s="16" t="inlineStr">
        <is>
          <t>2. STRATEGIC COMMERCIAL ROADMAP &amp; PRODUCT GOVERNANCE</t>
        </is>
      </c>
    </row>
    <row r="17" ht="42" customHeight="1">
      <c r="A17" s="4" t="inlineStr">
        <is>
          <t>Product Portfolio Rationalization</t>
        </is>
      </c>
      <c r="B17" s="5" t="inlineStr">
        <is>
          <t>Reposition 'Apex Gaming Laptop 17"' from a promotional loss-leader to a premium performance workstation. Bundle it with high-margin peripherals (e.g. UltraWireless Headset with 33% margin and Precision Laser Mouse with 45% margin) to ensure every transaction yields positive blended gross profit.</t>
        </is>
      </c>
    </row>
    <row r="18" ht="42" customHeight="1">
      <c r="A18" s="4" t="inlineStr">
        <is>
          <t>Dynamic Discount Governance</t>
        </is>
      </c>
      <c r="B18" s="5" t="inlineStr">
        <is>
          <t>Establish tier-based approval workflows in the CRM/ERP system. Eliminate blanket site-wide 20% discounts. Transactions in the 20-25% discount tier generated a net loss of $2,886. Capping discounts at 10% preserves an estimated $28,500 in additional annual bottom-line profit.</t>
        </is>
      </c>
    </row>
    <row r="19" ht="42" customHeight="1">
      <c r="A19" s="4" t="inlineStr">
        <is>
          <t>Regional Optimization &amp; Channel Synergies</t>
        </is>
      </c>
      <c r="B19" s="5" t="inlineStr">
        <is>
          <t>Replicate East Region sales practices (focused on corporate direct sales with 18.8% margin) in the Central and West regions. Expand B2B Wholesale programs in the South region to capitalize on untapped corporate enterprise demand.</t>
        </is>
      </c>
    </row>
  </sheetData>
  <mergeCells count="5">
    <mergeCell ref="B17:E17"/>
    <mergeCell ref="B18:E18"/>
    <mergeCell ref="A1:E2"/>
    <mergeCell ref="B19:E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2026-10-22T12:51:02Z</dcterms:created>
  <dcterms:modified xsi:type="dcterms:W3CDTF">2026-10-22T12:51:03Z</dcterms:modified>
</cp:coreProperties>
</file>